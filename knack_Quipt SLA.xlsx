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DIA WORK - EXCEL TEMPLATES\5. QUIPT SLA\"/>
    </mc:Choice>
  </mc:AlternateContent>
  <xr:revisionPtr revIDLastSave="0" documentId="13_ncr:1_{FB44661B-6DF8-48C2-B421-9D221C39AA76}" xr6:coauthVersionLast="47" xr6:coauthVersionMax="47" xr10:uidLastSave="{00000000-0000-0000-0000-000000000000}"/>
  <bookViews>
    <workbookView xWindow="-21720" yWindow="1275" windowWidth="21840" windowHeight="13020" activeTab="1" xr2:uid="{00000000-000D-0000-FFFF-FFFF00000000}"/>
  </bookViews>
  <sheets>
    <sheet name="Data" sheetId="1" r:id="rId1"/>
    <sheet name="SLA Report" sheetId="3" r:id="rId2"/>
    <sheet name="Sheet1" sheetId="2" r:id="rId3"/>
  </sheets>
  <definedNames>
    <definedName name="ExternalData_1" localSheetId="1" hidden="1">'SLA Report'!$A$1:$M$16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" l="1"/>
  <c r="N13" i="3"/>
  <c r="N8" i="3"/>
  <c r="N5" i="3"/>
  <c r="N14" i="3"/>
  <c r="N2" i="3"/>
  <c r="N10" i="3"/>
  <c r="N12" i="3"/>
  <c r="N3" i="3"/>
  <c r="N11" i="3"/>
  <c r="N15" i="3"/>
  <c r="N16" i="3"/>
  <c r="N6" i="3"/>
  <c r="N7" i="3"/>
  <c r="N4" i="3"/>
  <c r="O9" i="3"/>
  <c r="Q9" i="3" s="1"/>
  <c r="O13" i="3"/>
  <c r="O8" i="3"/>
  <c r="Q8" i="3" s="1"/>
  <c r="O5" i="3"/>
  <c r="Q5" i="3" s="1"/>
  <c r="O14" i="3"/>
  <c r="O2" i="3"/>
  <c r="O10" i="3"/>
  <c r="O12" i="3"/>
  <c r="O3" i="3"/>
  <c r="O11" i="3"/>
  <c r="O15" i="3"/>
  <c r="O16" i="3"/>
  <c r="O6" i="3"/>
  <c r="Q6" i="3" s="1"/>
  <c r="O7" i="3"/>
  <c r="O4" i="3"/>
  <c r="P13" i="3"/>
  <c r="P8" i="3"/>
  <c r="P5" i="3"/>
  <c r="P14" i="3"/>
  <c r="P7" i="3"/>
  <c r="P4" i="3"/>
  <c r="Q13" i="3"/>
  <c r="Q7" i="3"/>
  <c r="Q4" i="3"/>
  <c r="R9" i="3"/>
  <c r="P9" i="3" s="1"/>
  <c r="R13" i="3"/>
  <c r="R8" i="3"/>
  <c r="R5" i="3"/>
  <c r="R14" i="3"/>
  <c r="R2" i="3"/>
  <c r="P2" i="3" s="1"/>
  <c r="R10" i="3"/>
  <c r="P10" i="3" s="1"/>
  <c r="R12" i="3"/>
  <c r="P12" i="3" s="1"/>
  <c r="R3" i="3"/>
  <c r="P3" i="3" s="1"/>
  <c r="R11" i="3"/>
  <c r="P11" i="3" s="1"/>
  <c r="R15" i="3"/>
  <c r="P15" i="3" s="1"/>
  <c r="R16" i="3"/>
  <c r="Q16" i="3" s="1"/>
  <c r="R6" i="3"/>
  <c r="P6" i="3" s="1"/>
  <c r="R7" i="3"/>
  <c r="R4" i="3"/>
  <c r="N14" i="1"/>
  <c r="O14" i="1"/>
  <c r="Q14" i="1" s="1"/>
  <c r="R14" i="1"/>
  <c r="P14" i="1" s="1"/>
  <c r="O13" i="1"/>
  <c r="O2" i="1"/>
  <c r="O12" i="1"/>
  <c r="N10" i="1"/>
  <c r="O10" i="1"/>
  <c r="R10" i="1"/>
  <c r="P10" i="1" s="1"/>
  <c r="O4" i="1"/>
  <c r="O9" i="1"/>
  <c r="O8" i="1"/>
  <c r="O6" i="1"/>
  <c r="O7" i="1"/>
  <c r="O3" i="1"/>
  <c r="O5" i="1"/>
  <c r="O11" i="1"/>
  <c r="R3" i="1"/>
  <c r="P3" i="1" s="1"/>
  <c r="R8" i="1"/>
  <c r="P8" i="1" s="1"/>
  <c r="R6" i="1"/>
  <c r="P6" i="1" s="1"/>
  <c r="R12" i="1"/>
  <c r="P12" i="1" s="1"/>
  <c r="R4" i="1"/>
  <c r="P4" i="1" s="1"/>
  <c r="R13" i="1"/>
  <c r="P13" i="1" s="1"/>
  <c r="R9" i="1"/>
  <c r="P9" i="1" s="1"/>
  <c r="R5" i="1"/>
  <c r="P5" i="1" s="1"/>
  <c r="R11" i="1"/>
  <c r="P11" i="1" s="1"/>
  <c r="R7" i="1"/>
  <c r="P7" i="1" s="1"/>
  <c r="R2" i="1"/>
  <c r="P2" i="1" s="1"/>
  <c r="N5" i="1"/>
  <c r="N13" i="1"/>
  <c r="N12" i="1"/>
  <c r="N8" i="1"/>
  <c r="N3" i="1"/>
  <c r="N6" i="1"/>
  <c r="N11" i="1"/>
  <c r="N9" i="1"/>
  <c r="N2" i="1"/>
  <c r="N7" i="1"/>
  <c r="N4" i="1"/>
  <c r="Q11" i="3" l="1"/>
  <c r="Q3" i="3"/>
  <c r="Q12" i="3"/>
  <c r="Q10" i="3"/>
  <c r="Q2" i="3"/>
  <c r="Q14" i="3"/>
  <c r="Q15" i="3"/>
  <c r="P16" i="3"/>
  <c r="Q10" i="1"/>
  <c r="Q2" i="1"/>
  <c r="Q9" i="1"/>
  <c r="Q13" i="1"/>
  <c r="Q11" i="1"/>
  <c r="Q5" i="1"/>
  <c r="Q8" i="1"/>
  <c r="Q4" i="1"/>
  <c r="Q12" i="1"/>
  <c r="Q7" i="1"/>
  <c r="Q6" i="1"/>
  <c r="Q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5C93A-CD5A-4D8F-976B-5B0C6AF5BB5C}" keepAlive="1" name="Query - SLA Report" description="Connection to the 'SLA Report' query in the workbook." type="5" refreshedVersion="8" background="1" saveData="1">
    <dbPr connection="Provider=Microsoft.Mashup.OleDb.1;Data Source=$Workbook$;Location=&quot;SLA Report&quot;;Extended Properties=&quot;&quot;" command="SELECT * FROM [SLA Report]"/>
  </connection>
</connections>
</file>

<file path=xl/sharedStrings.xml><?xml version="1.0" encoding="utf-8"?>
<sst xmlns="http://schemas.openxmlformats.org/spreadsheetml/2006/main" count="64" uniqueCount="36">
  <si>
    <t>3 or less</t>
  </si>
  <si>
    <t>4 to 7</t>
  </si>
  <si>
    <t>7 or less</t>
  </si>
  <si>
    <t>7 to 10</t>
  </si>
  <si>
    <t>11 to 14</t>
  </si>
  <si>
    <t>15 to 21</t>
  </si>
  <si>
    <t>22 to 30</t>
  </si>
  <si>
    <t>31 to 60</t>
  </si>
  <si>
    <t>61 to 90</t>
  </si>
  <si>
    <t>91 to 120</t>
  </si>
  <si>
    <t>121 to 180</t>
  </si>
  <si>
    <t>181 plus</t>
  </si>
  <si>
    <t>Confirmed Sale / Medical Records Missing</t>
  </si>
  <si>
    <t>Confirmed Sale / Medical Records Need Review</t>
  </si>
  <si>
    <t>Confirmed Sale / Medical Records Rework</t>
  </si>
  <si>
    <t>Doctor Denied</t>
  </si>
  <si>
    <t>Patient Denied</t>
  </si>
  <si>
    <t>Patient Follow Up Call</t>
  </si>
  <si>
    <t>Rework</t>
  </si>
  <si>
    <t>Rx Chase</t>
  </si>
  <si>
    <t>Rx Chase / 10 or More Attempts</t>
  </si>
  <si>
    <t>Rx Chase / 5 to 10 Attempts</t>
  </si>
  <si>
    <t>Rx Chase / EDocument</t>
  </si>
  <si>
    <t>W/IN SLA</t>
  </si>
  <si>
    <t>TOTAL</t>
  </si>
  <si>
    <t>% OUTSIDE SLA</t>
  </si>
  <si>
    <t>Status</t>
  </si>
  <si>
    <t>OUTSIDE SLA</t>
  </si>
  <si>
    <t>Confirmed Sale / Medical Records Refused</t>
  </si>
  <si>
    <t>Doctor Research</t>
  </si>
  <si>
    <t>Patient Follow Up Call / Patient Call Max Attempts</t>
  </si>
  <si>
    <t>Rx Chase / Fax Attempts Exhausted</t>
  </si>
  <si>
    <t>% W/IN SLA</t>
  </si>
  <si>
    <t>STATUS</t>
  </si>
  <si>
    <t>Rx Chase / Edocument Attempts Exhausted</t>
  </si>
  <si>
    <t>Fax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</si>
</sst>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64" fontId="3" fillId="2" borderId="1" xfId="1" applyNumberFormat="1" applyFont="1" applyFill="1" applyBorder="1"/>
    <xf numFmtId="164" fontId="0" fillId="3" borderId="1" xfId="1" applyNumberFormat="1" applyFont="1" applyFill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10" fontId="0" fillId="4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18"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212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130B42-CF56-4992-B2AD-2D86A5EB673C}" autoFormatId="16" applyNumberFormats="0" applyBorderFormats="0" applyFontFormats="0" applyPatternFormats="0" applyAlignmentFormats="0" applyWidthHeightFormats="0">
  <queryTableRefresh nextId="22" unboundColumnsRight="5">
    <queryTableFields count="18">
      <queryTableField id="20" name="STATUS" tableColumnId="20"/>
      <queryTableField id="2" name="3 or less" tableColumnId="2"/>
      <queryTableField id="3" name="4 to 7" tableColumnId="3"/>
      <queryTableField id="4" name="7 or less" tableColumnId="4"/>
      <queryTableField id="5" name="7 to 10" tableColumnId="5"/>
      <queryTableField id="6" name="11 to 14" tableColumnId="6"/>
      <queryTableField id="7" name="15 to 21" tableColumnId="7"/>
      <queryTableField id="8" name="22 to 30" tableColumnId="8"/>
      <queryTableField id="9" name="31 to 60" tableColumnId="9"/>
      <queryTableField id="10" name="61 to 90" tableColumnId="10"/>
      <queryTableField id="11" name="91 to 120" tableColumnId="11"/>
      <queryTableField id="12" name="121 to 180" tableColumnId="12"/>
      <queryTableField id="13" name="181 plus" tableColumnId="13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B5D77-316E-4E5E-947B-F8A43B11C105}" name="SLA_Report" displayName="SLA_Report" ref="A1:R16" tableType="queryTable" totalsRowShown="0">
  <sortState xmlns:xlrd2="http://schemas.microsoft.com/office/spreadsheetml/2017/richdata2" ref="A2:R16">
    <sortCondition descending="1" ref="Q1:Q16"/>
  </sortState>
  <tableColumns count="18">
    <tableColumn id="20" xr3:uid="{B75412E0-AC13-4940-AADD-908D96EDCF21}" uniqueName="20" name="STATUS" queryTableFieldId="20" dataDxfId="17"/>
    <tableColumn id="2" xr3:uid="{CD1E0462-9A18-4A1B-9350-BCA2ECB8A467}" uniqueName="2" name="3 or less" queryTableFieldId="2" dataDxfId="16"/>
    <tableColumn id="3" xr3:uid="{4AE5B884-6E31-46D6-A59F-0F8F186F8584}" uniqueName="3" name="4 to 7" queryTableFieldId="3" dataDxfId="15"/>
    <tableColumn id="4" xr3:uid="{4AE82D99-B668-43B2-B293-2E04C4DF61B6}" uniqueName="4" name="7 or less" queryTableFieldId="4" dataDxfId="14"/>
    <tableColumn id="5" xr3:uid="{6F0AECD6-4F9C-4E16-8B82-67D96F32A410}" uniqueName="5" name="7 to 10" queryTableFieldId="5" dataDxfId="13"/>
    <tableColumn id="6" xr3:uid="{E136BD2E-C7A2-4C62-B3A3-FA53DE44FD38}" uniqueName="6" name="11 to 14" queryTableFieldId="6" dataDxfId="12"/>
    <tableColumn id="7" xr3:uid="{FD1EAF54-0D8D-49FA-9F05-34B9A802624B}" uniqueName="7" name="15 to 21" queryTableFieldId="7" dataDxfId="11"/>
    <tableColumn id="8" xr3:uid="{997AA793-0251-492A-983A-7743F79C79E3}" uniqueName="8" name="22 to 30" queryTableFieldId="8" dataDxfId="10"/>
    <tableColumn id="9" xr3:uid="{97BEA904-C12F-452B-B1AF-78FAE62730DE}" uniqueName="9" name="31 to 60" queryTableFieldId="9" dataDxfId="9"/>
    <tableColumn id="10" xr3:uid="{F26DEE42-C908-4D8E-B222-89F9ACDF6D84}" uniqueName="10" name="61 to 90" queryTableFieldId="10" dataDxfId="8"/>
    <tableColumn id="11" xr3:uid="{6BA19191-07C5-44CD-ACFF-1C601B522348}" uniqueName="11" name="91 to 120" queryTableFieldId="11" dataDxfId="7"/>
    <tableColumn id="12" xr3:uid="{39D10C6A-6495-4807-8551-57B9B62578BF}" uniqueName="12" name="121 to 180" queryTableFieldId="12" dataDxfId="6"/>
    <tableColumn id="13" xr3:uid="{A6E30635-02DF-4A00-A055-307BC186160F}" uniqueName="13" name="181 plus" queryTableFieldId="13" dataDxfId="5"/>
    <tableColumn id="15" xr3:uid="{10244492-4B99-4FCA-BFB8-663A4D495C0D}" uniqueName="15" name="W/IN SLA" queryTableFieldId="15" dataDxfId="4">
      <calculatedColumnFormula>B2</calculatedColumnFormula>
    </tableColumn>
    <tableColumn id="16" xr3:uid="{134E5B67-1D26-4AA1-9850-1373EE62F6CB}" uniqueName="16" name="OUTSIDE SLA" queryTableFieldId="16" dataDxfId="3">
      <calculatedColumnFormula>SUM(C2:M2)</calculatedColumnFormula>
    </tableColumn>
    <tableColumn id="17" xr3:uid="{E9884970-4C02-4934-A1B3-45DB306431A4}" uniqueName="17" name="% W/IN SLA" queryTableFieldId="17" dataDxfId="2">
      <calculatedColumnFormula>B2/R2</calculatedColumnFormula>
    </tableColumn>
    <tableColumn id="18" xr3:uid="{39C52C0E-6CA8-4E2B-9855-0CD35A4AC31E}" uniqueName="18" name="% OUTSIDE SLA" queryTableFieldId="18" dataDxfId="1">
      <calculatedColumnFormula>+O2/R2</calculatedColumnFormula>
    </tableColumn>
    <tableColumn id="19" xr3:uid="{BB02A63F-864F-4191-A44C-A63E3DB6B474}" uniqueName="19" name="TOTAL" queryTableFieldId="19" dataDxfId="0">
      <calculatedColumnFormula>SUM(B2:M2)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showGridLines="0" zoomScale="85" zoomScaleNormal="85" workbookViewId="0">
      <selection activeCell="R2" sqref="R2"/>
    </sheetView>
  </sheetViews>
  <sheetFormatPr defaultRowHeight="15.75" x14ac:dyDescent="0.25"/>
  <cols>
    <col min="1" max="1" width="41.125" bestFit="1" customWidth="1"/>
    <col min="2" max="14" width="8.75" customWidth="1"/>
    <col min="15" max="15" width="11.875" bestFit="1" customWidth="1"/>
    <col min="17" max="17" width="13.75" bestFit="1" customWidth="1"/>
    <col min="18" max="18" width="8.75" customWidth="1"/>
  </cols>
  <sheetData>
    <row r="1" spans="1:18" x14ac:dyDescent="0.25">
      <c r="A1" s="5" t="s">
        <v>26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5" t="s">
        <v>23</v>
      </c>
      <c r="O1" s="5" t="s">
        <v>27</v>
      </c>
      <c r="P1" s="5" t="s">
        <v>23</v>
      </c>
      <c r="Q1" s="5" t="s">
        <v>25</v>
      </c>
      <c r="R1" s="5" t="s">
        <v>24</v>
      </c>
    </row>
    <row r="2" spans="1:18" x14ac:dyDescent="0.25">
      <c r="A2" s="1" t="s">
        <v>16</v>
      </c>
      <c r="B2" s="4"/>
      <c r="C2" s="4"/>
      <c r="D2" s="4"/>
      <c r="E2" s="4">
        <v>2</v>
      </c>
      <c r="F2" s="4"/>
      <c r="G2" s="4">
        <v>1</v>
      </c>
      <c r="H2" s="4">
        <v>1</v>
      </c>
      <c r="I2" s="4"/>
      <c r="J2" s="4"/>
      <c r="K2" s="4"/>
      <c r="L2" s="4"/>
      <c r="M2" s="4"/>
      <c r="N2" s="1">
        <f t="shared" ref="N2:N13" si="0">B2</f>
        <v>0</v>
      </c>
      <c r="O2" s="1">
        <f t="shared" ref="O2:O13" si="1">SUM(C2:M2)</f>
        <v>4</v>
      </c>
      <c r="P2" s="3">
        <f t="shared" ref="P2:P13" si="2">B2/R2</f>
        <v>0</v>
      </c>
      <c r="Q2" s="2">
        <f t="shared" ref="Q2:Q13" si="3">+O2/R2</f>
        <v>1</v>
      </c>
      <c r="R2" s="1">
        <f t="shared" ref="R2:R13" si="4">SUM(B2:M2)</f>
        <v>4</v>
      </c>
    </row>
    <row r="3" spans="1:18" x14ac:dyDescent="0.25">
      <c r="A3" s="1" t="s">
        <v>14</v>
      </c>
      <c r="B3" s="4">
        <v>1</v>
      </c>
      <c r="C3" s="4">
        <v>1</v>
      </c>
      <c r="D3" s="4">
        <v>2</v>
      </c>
      <c r="E3" s="4"/>
      <c r="F3" s="4">
        <v>1</v>
      </c>
      <c r="G3" s="4"/>
      <c r="H3" s="4"/>
      <c r="I3" s="4"/>
      <c r="J3" s="4"/>
      <c r="K3" s="4"/>
      <c r="L3" s="4"/>
      <c r="M3" s="4"/>
      <c r="N3" s="1">
        <f t="shared" si="0"/>
        <v>1</v>
      </c>
      <c r="O3" s="1">
        <f t="shared" si="1"/>
        <v>4</v>
      </c>
      <c r="P3" s="3">
        <f t="shared" si="2"/>
        <v>0.2</v>
      </c>
      <c r="Q3" s="2">
        <f t="shared" si="3"/>
        <v>0.8</v>
      </c>
      <c r="R3" s="1">
        <f t="shared" si="4"/>
        <v>5</v>
      </c>
    </row>
    <row r="4" spans="1:18" x14ac:dyDescent="0.25">
      <c r="A4" s="1" t="s">
        <v>17</v>
      </c>
      <c r="B4" s="4">
        <v>34</v>
      </c>
      <c r="C4" s="4">
        <v>20</v>
      </c>
      <c r="D4" s="4">
        <v>54</v>
      </c>
      <c r="E4" s="4">
        <v>7</v>
      </c>
      <c r="F4" s="4">
        <v>1</v>
      </c>
      <c r="G4" s="4">
        <v>8</v>
      </c>
      <c r="H4" s="4"/>
      <c r="I4" s="4"/>
      <c r="J4" s="4"/>
      <c r="K4" s="4"/>
      <c r="L4" s="4"/>
      <c r="M4" s="4"/>
      <c r="N4" s="1">
        <f t="shared" si="0"/>
        <v>34</v>
      </c>
      <c r="O4" s="1">
        <f t="shared" si="1"/>
        <v>90</v>
      </c>
      <c r="P4" s="3">
        <f t="shared" si="2"/>
        <v>0.27419354838709675</v>
      </c>
      <c r="Q4" s="2">
        <f t="shared" si="3"/>
        <v>0.72580645161290325</v>
      </c>
      <c r="R4" s="1">
        <f t="shared" si="4"/>
        <v>124</v>
      </c>
    </row>
    <row r="5" spans="1:18" x14ac:dyDescent="0.25">
      <c r="A5" s="1" t="s">
        <v>12</v>
      </c>
      <c r="B5" s="4">
        <v>6</v>
      </c>
      <c r="C5" s="4">
        <v>3</v>
      </c>
      <c r="D5" s="4">
        <v>9</v>
      </c>
      <c r="E5" s="4"/>
      <c r="F5" s="4"/>
      <c r="G5" s="4"/>
      <c r="H5" s="4"/>
      <c r="I5" s="4"/>
      <c r="J5" s="4"/>
      <c r="K5" s="4"/>
      <c r="L5" s="4"/>
      <c r="M5" s="4"/>
      <c r="N5" s="1">
        <f t="shared" si="0"/>
        <v>6</v>
      </c>
      <c r="O5" s="1">
        <f t="shared" si="1"/>
        <v>12</v>
      </c>
      <c r="P5" s="3">
        <f t="shared" si="2"/>
        <v>0.33333333333333331</v>
      </c>
      <c r="Q5" s="2">
        <f t="shared" si="3"/>
        <v>0.66666666666666663</v>
      </c>
      <c r="R5" s="1">
        <f t="shared" si="4"/>
        <v>18</v>
      </c>
    </row>
    <row r="6" spans="1:18" x14ac:dyDescent="0.25">
      <c r="A6" s="1" t="s">
        <v>18</v>
      </c>
      <c r="B6" s="4">
        <v>3</v>
      </c>
      <c r="C6" s="4">
        <v>1</v>
      </c>
      <c r="D6" s="4">
        <v>4</v>
      </c>
      <c r="E6" s="4"/>
      <c r="F6" s="4"/>
      <c r="G6" s="4"/>
      <c r="H6" s="4"/>
      <c r="I6" s="4"/>
      <c r="J6" s="4"/>
      <c r="K6" s="4"/>
      <c r="L6" s="4"/>
      <c r="M6" s="4"/>
      <c r="N6" s="1">
        <f t="shared" si="0"/>
        <v>3</v>
      </c>
      <c r="O6" s="1">
        <f t="shared" si="1"/>
        <v>5</v>
      </c>
      <c r="P6" s="3">
        <f t="shared" si="2"/>
        <v>0.375</v>
      </c>
      <c r="Q6" s="2">
        <f t="shared" si="3"/>
        <v>0.625</v>
      </c>
      <c r="R6" s="1">
        <f t="shared" si="4"/>
        <v>8</v>
      </c>
    </row>
    <row r="7" spans="1:18" x14ac:dyDescent="0.25">
      <c r="A7" s="1" t="s">
        <v>15</v>
      </c>
      <c r="B7" s="4">
        <v>19</v>
      </c>
      <c r="C7" s="4">
        <v>2</v>
      </c>
      <c r="D7" s="4">
        <v>21</v>
      </c>
      <c r="E7" s="4">
        <v>5</v>
      </c>
      <c r="F7" s="4">
        <v>1</v>
      </c>
      <c r="G7" s="4"/>
      <c r="H7" s="4"/>
      <c r="I7" s="4"/>
      <c r="J7" s="4"/>
      <c r="K7" s="4"/>
      <c r="L7" s="4"/>
      <c r="M7" s="4"/>
      <c r="N7" s="1">
        <f t="shared" si="0"/>
        <v>19</v>
      </c>
      <c r="O7" s="1">
        <f t="shared" si="1"/>
        <v>29</v>
      </c>
      <c r="P7" s="3">
        <f t="shared" si="2"/>
        <v>0.39583333333333331</v>
      </c>
      <c r="Q7" s="2">
        <f t="shared" si="3"/>
        <v>0.60416666666666663</v>
      </c>
      <c r="R7" s="1">
        <f t="shared" si="4"/>
        <v>48</v>
      </c>
    </row>
    <row r="8" spans="1:18" x14ac:dyDescent="0.25">
      <c r="A8" s="1" t="s">
        <v>13</v>
      </c>
      <c r="B8" s="4">
        <v>5</v>
      </c>
      <c r="C8" s="4"/>
      <c r="D8" s="4">
        <v>5</v>
      </c>
      <c r="E8" s="4"/>
      <c r="F8" s="4"/>
      <c r="G8" s="4"/>
      <c r="H8" s="4"/>
      <c r="I8" s="4"/>
      <c r="J8" s="4"/>
      <c r="K8" s="4"/>
      <c r="L8" s="4"/>
      <c r="M8" s="4"/>
      <c r="N8" s="1">
        <f t="shared" si="0"/>
        <v>5</v>
      </c>
      <c r="O8" s="1">
        <f t="shared" si="1"/>
        <v>5</v>
      </c>
      <c r="P8" s="3">
        <f t="shared" si="2"/>
        <v>0.5</v>
      </c>
      <c r="Q8" s="2">
        <f t="shared" si="3"/>
        <v>0.5</v>
      </c>
      <c r="R8" s="1">
        <f t="shared" si="4"/>
        <v>10</v>
      </c>
    </row>
    <row r="9" spans="1:18" x14ac:dyDescent="0.25">
      <c r="A9" s="1" t="s">
        <v>28</v>
      </c>
      <c r="B9" s="4">
        <v>1</v>
      </c>
      <c r="C9" s="4"/>
      <c r="D9" s="4">
        <v>1</v>
      </c>
      <c r="E9" s="4"/>
      <c r="F9" s="4"/>
      <c r="G9" s="4"/>
      <c r="H9" s="4"/>
      <c r="I9" s="4"/>
      <c r="J9" s="4"/>
      <c r="K9" s="4"/>
      <c r="L9" s="4"/>
      <c r="M9" s="4"/>
      <c r="N9" s="1">
        <f t="shared" si="0"/>
        <v>1</v>
      </c>
      <c r="O9" s="1">
        <f t="shared" si="1"/>
        <v>1</v>
      </c>
      <c r="P9" s="3">
        <f t="shared" si="2"/>
        <v>0.5</v>
      </c>
      <c r="Q9" s="2">
        <f t="shared" si="3"/>
        <v>0.5</v>
      </c>
      <c r="R9" s="1">
        <f t="shared" si="4"/>
        <v>2</v>
      </c>
    </row>
    <row r="10" spans="1:18" x14ac:dyDescent="0.25">
      <c r="A10" s="1" t="s">
        <v>29</v>
      </c>
      <c r="B10" s="4">
        <v>1</v>
      </c>
      <c r="C10" s="4"/>
      <c r="D10" s="4">
        <v>1</v>
      </c>
      <c r="E10" s="4"/>
      <c r="F10" s="4"/>
      <c r="G10" s="4"/>
      <c r="H10" s="4"/>
      <c r="I10" s="4"/>
      <c r="J10" s="4"/>
      <c r="K10" s="4"/>
      <c r="L10" s="4"/>
      <c r="M10" s="4"/>
      <c r="N10" s="1">
        <f t="shared" si="0"/>
        <v>1</v>
      </c>
      <c r="O10" s="1">
        <f t="shared" si="1"/>
        <v>1</v>
      </c>
      <c r="P10" s="3">
        <f t="shared" si="2"/>
        <v>0.5</v>
      </c>
      <c r="Q10" s="2">
        <f t="shared" si="3"/>
        <v>0.5</v>
      </c>
      <c r="R10" s="1">
        <f t="shared" si="4"/>
        <v>2</v>
      </c>
    </row>
    <row r="11" spans="1:18" x14ac:dyDescent="0.25">
      <c r="A11" s="1" t="s">
        <v>19</v>
      </c>
      <c r="B11" s="4">
        <v>25</v>
      </c>
      <c r="C11" s="4"/>
      <c r="D11" s="4">
        <v>25</v>
      </c>
      <c r="E11" s="4"/>
      <c r="F11" s="4"/>
      <c r="G11" s="4"/>
      <c r="H11" s="4"/>
      <c r="I11" s="4"/>
      <c r="J11" s="4"/>
      <c r="K11" s="4"/>
      <c r="L11" s="4"/>
      <c r="M11" s="4"/>
      <c r="N11" s="1">
        <f t="shared" si="0"/>
        <v>25</v>
      </c>
      <c r="O11" s="1">
        <f t="shared" si="1"/>
        <v>25</v>
      </c>
      <c r="P11" s="3">
        <f t="shared" si="2"/>
        <v>0.5</v>
      </c>
      <c r="Q11" s="2">
        <f t="shared" si="3"/>
        <v>0.5</v>
      </c>
      <c r="R11" s="1">
        <f t="shared" si="4"/>
        <v>50</v>
      </c>
    </row>
    <row r="12" spans="1:18" x14ac:dyDescent="0.25">
      <c r="A12" s="1" t="s">
        <v>20</v>
      </c>
      <c r="B12" s="4">
        <v>6</v>
      </c>
      <c r="C12" s="4"/>
      <c r="D12" s="4">
        <v>6</v>
      </c>
      <c r="E12" s="4"/>
      <c r="F12" s="4"/>
      <c r="G12" s="4"/>
      <c r="H12" s="4"/>
      <c r="I12" s="4"/>
      <c r="J12" s="4"/>
      <c r="K12" s="4"/>
      <c r="L12" s="4"/>
      <c r="M12" s="4"/>
      <c r="N12" s="1">
        <f t="shared" si="0"/>
        <v>6</v>
      </c>
      <c r="O12" s="1">
        <f t="shared" si="1"/>
        <v>6</v>
      </c>
      <c r="P12" s="3">
        <f t="shared" si="2"/>
        <v>0.5</v>
      </c>
      <c r="Q12" s="2">
        <f t="shared" si="3"/>
        <v>0.5</v>
      </c>
      <c r="R12" s="1">
        <f t="shared" si="4"/>
        <v>12</v>
      </c>
    </row>
    <row r="13" spans="1:18" x14ac:dyDescent="0.25">
      <c r="A13" s="1" t="s">
        <v>21</v>
      </c>
      <c r="B13" s="4">
        <v>9</v>
      </c>
      <c r="C13" s="4"/>
      <c r="D13" s="4">
        <v>9</v>
      </c>
      <c r="E13" s="4"/>
      <c r="F13" s="4"/>
      <c r="G13" s="4"/>
      <c r="H13" s="4"/>
      <c r="I13" s="4"/>
      <c r="J13" s="4"/>
      <c r="K13" s="4"/>
      <c r="L13" s="4"/>
      <c r="M13" s="4"/>
      <c r="N13" s="1">
        <f t="shared" si="0"/>
        <v>9</v>
      </c>
      <c r="O13" s="1">
        <f t="shared" si="1"/>
        <v>9</v>
      </c>
      <c r="P13" s="3">
        <f t="shared" si="2"/>
        <v>0.5</v>
      </c>
      <c r="Q13" s="2">
        <f t="shared" si="3"/>
        <v>0.5</v>
      </c>
      <c r="R13" s="1">
        <f t="shared" si="4"/>
        <v>18</v>
      </c>
    </row>
    <row r="14" spans="1:18" x14ac:dyDescent="0.25">
      <c r="A14" s="1" t="s">
        <v>22</v>
      </c>
      <c r="B14" s="4">
        <v>57</v>
      </c>
      <c r="C14" s="4">
        <v>4</v>
      </c>
      <c r="D14" s="4">
        <v>61</v>
      </c>
      <c r="E14" s="4">
        <v>4</v>
      </c>
      <c r="F14" s="4"/>
      <c r="G14" s="4"/>
      <c r="H14" s="4"/>
      <c r="I14" s="4"/>
      <c r="J14" s="4"/>
      <c r="K14" s="4"/>
      <c r="L14" s="4"/>
      <c r="M14" s="4"/>
      <c r="N14" s="1">
        <f t="shared" ref="N14" si="5">B14</f>
        <v>57</v>
      </c>
      <c r="O14" s="1">
        <f t="shared" ref="O14" si="6">SUM(C14:M14)</f>
        <v>69</v>
      </c>
      <c r="P14" s="3">
        <f t="shared" ref="P14" si="7">B14/R14</f>
        <v>0.45238095238095238</v>
      </c>
      <c r="Q14" s="2">
        <f t="shared" ref="Q14" si="8">+O14/R14</f>
        <v>0.54761904761904767</v>
      </c>
      <c r="R14" s="1">
        <f t="shared" ref="R14" si="9">SUM(B14:M14)</f>
        <v>126</v>
      </c>
    </row>
  </sheetData>
  <sortState xmlns:xlrd2="http://schemas.microsoft.com/office/spreadsheetml/2017/richdata2" ref="A2:R14">
    <sortCondition descending="1" ref="Q1:Q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1FEC-E51D-4AD8-B710-6784F5CBF4E9}">
  <dimension ref="A1:R16"/>
  <sheetViews>
    <sheetView tabSelected="1" zoomScale="85" zoomScaleNormal="85" workbookViewId="0">
      <selection activeCell="L17" sqref="L17"/>
    </sheetView>
  </sheetViews>
  <sheetFormatPr defaultRowHeight="15.75" x14ac:dyDescent="0.25"/>
  <cols>
    <col min="1" max="1" width="43.5" bestFit="1" customWidth="1"/>
    <col min="2" max="2" width="8.125" bestFit="1" customWidth="1"/>
    <col min="3" max="3" width="5.875" bestFit="1" customWidth="1"/>
    <col min="4" max="4" width="8.125" bestFit="1" customWidth="1"/>
    <col min="5" max="5" width="6.875" bestFit="1" customWidth="1"/>
    <col min="6" max="10" width="7.875" bestFit="1" customWidth="1"/>
    <col min="11" max="11" width="9" bestFit="1" customWidth="1"/>
    <col min="12" max="12" width="10" bestFit="1" customWidth="1"/>
    <col min="13" max="13" width="8.25" bestFit="1" customWidth="1"/>
    <col min="14" max="14" width="9.25" bestFit="1" customWidth="1"/>
    <col min="15" max="15" width="12.125" bestFit="1" customWidth="1"/>
    <col min="16" max="16" width="11.125" bestFit="1" customWidth="1"/>
    <col min="17" max="17" width="14.25" style="7" bestFit="1" customWidth="1"/>
    <col min="18" max="18" width="6.5" style="7" bestFit="1" customWidth="1"/>
    <col min="19" max="19" width="8.75" bestFit="1" customWidth="1"/>
  </cols>
  <sheetData>
    <row r="1" spans="1:18" x14ac:dyDescent="0.25">
      <c r="A1" s="8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23</v>
      </c>
      <c r="O1" t="s">
        <v>27</v>
      </c>
      <c r="P1" s="7" t="s">
        <v>32</v>
      </c>
      <c r="Q1" s="7" t="s">
        <v>25</v>
      </c>
      <c r="R1" t="s">
        <v>24</v>
      </c>
    </row>
    <row r="2" spans="1:18" x14ac:dyDescent="0.25">
      <c r="A2" s="11" t="s">
        <v>16</v>
      </c>
      <c r="B2" s="8"/>
      <c r="C2" s="8">
        <v>1</v>
      </c>
      <c r="D2" s="8">
        <v>1</v>
      </c>
      <c r="E2" s="8"/>
      <c r="F2" s="8">
        <v>1</v>
      </c>
      <c r="G2" s="8">
        <v>2</v>
      </c>
      <c r="H2" s="8"/>
      <c r="I2" s="8">
        <v>4</v>
      </c>
      <c r="J2" s="8">
        <v>1</v>
      </c>
      <c r="K2" s="8"/>
      <c r="L2" s="8"/>
      <c r="M2" s="8"/>
      <c r="N2" s="12">
        <f>B2</f>
        <v>0</v>
      </c>
      <c r="O2" s="12">
        <f>SUM(C2:M2)</f>
        <v>10</v>
      </c>
      <c r="P2" s="9">
        <f>B2/R2</f>
        <v>0</v>
      </c>
      <c r="Q2" s="10">
        <f>+O2/R2</f>
        <v>1</v>
      </c>
      <c r="R2" s="12">
        <f>SUM(B2:M2)</f>
        <v>10</v>
      </c>
    </row>
    <row r="3" spans="1:18" x14ac:dyDescent="0.25">
      <c r="A3" s="11" t="s">
        <v>18</v>
      </c>
      <c r="B3" s="8"/>
      <c r="C3" s="8">
        <v>4</v>
      </c>
      <c r="D3" s="8">
        <v>4</v>
      </c>
      <c r="E3" s="8"/>
      <c r="F3" s="8"/>
      <c r="G3" s="8"/>
      <c r="H3" s="8"/>
      <c r="I3" s="8"/>
      <c r="J3" s="8"/>
      <c r="K3" s="8"/>
      <c r="L3" s="8"/>
      <c r="M3" s="8"/>
      <c r="N3" s="12">
        <f>B3</f>
        <v>0</v>
      </c>
      <c r="O3" s="12">
        <f>SUM(C3:M3)</f>
        <v>8</v>
      </c>
      <c r="P3" s="9">
        <f>B3/R3</f>
        <v>0</v>
      </c>
      <c r="Q3" s="10">
        <f>+O3/R3</f>
        <v>1</v>
      </c>
      <c r="R3" s="12">
        <f>SUM(B3:M3)</f>
        <v>8</v>
      </c>
    </row>
    <row r="4" spans="1:18" x14ac:dyDescent="0.25">
      <c r="A4" s="11" t="s">
        <v>31</v>
      </c>
      <c r="B4" s="8"/>
      <c r="C4" s="8"/>
      <c r="D4" s="8"/>
      <c r="E4" s="8"/>
      <c r="F4" s="8"/>
      <c r="G4" s="8">
        <v>3</v>
      </c>
      <c r="H4" s="8">
        <v>2</v>
      </c>
      <c r="I4" s="8"/>
      <c r="J4" s="8"/>
      <c r="K4" s="8"/>
      <c r="L4" s="8"/>
      <c r="M4" s="8"/>
      <c r="N4" s="12">
        <f>B4</f>
        <v>0</v>
      </c>
      <c r="O4" s="12">
        <f>SUM(C4:M4)</f>
        <v>5</v>
      </c>
      <c r="P4" s="9">
        <f>B4/R4</f>
        <v>0</v>
      </c>
      <c r="Q4" s="10">
        <f>+O4/R4</f>
        <v>1</v>
      </c>
      <c r="R4" s="12">
        <f>SUM(B4:M4)</f>
        <v>5</v>
      </c>
    </row>
    <row r="5" spans="1:18" x14ac:dyDescent="0.25">
      <c r="A5" s="11" t="s">
        <v>15</v>
      </c>
      <c r="B5" s="8">
        <v>2</v>
      </c>
      <c r="C5" s="8">
        <v>2</v>
      </c>
      <c r="D5" s="8">
        <v>4</v>
      </c>
      <c r="E5" s="8"/>
      <c r="F5" s="8">
        <v>3</v>
      </c>
      <c r="G5" s="8">
        <v>5</v>
      </c>
      <c r="H5" s="8">
        <v>3</v>
      </c>
      <c r="I5" s="8">
        <v>5</v>
      </c>
      <c r="J5" s="8"/>
      <c r="K5" s="8"/>
      <c r="L5" s="8"/>
      <c r="M5" s="8"/>
      <c r="N5" s="12">
        <f>B5</f>
        <v>2</v>
      </c>
      <c r="O5" s="12">
        <f>SUM(C5:M5)</f>
        <v>22</v>
      </c>
      <c r="P5" s="9">
        <f>B5/R5</f>
        <v>8.3333333333333329E-2</v>
      </c>
      <c r="Q5" s="10">
        <f>+O5/R5</f>
        <v>0.91666666666666663</v>
      </c>
      <c r="R5" s="12">
        <f>SUM(B5:M5)</f>
        <v>24</v>
      </c>
    </row>
    <row r="6" spans="1:18" x14ac:dyDescent="0.25">
      <c r="A6" s="11" t="s">
        <v>22</v>
      </c>
      <c r="B6" s="8">
        <v>8</v>
      </c>
      <c r="C6" s="8">
        <v>6</v>
      </c>
      <c r="D6" s="8">
        <v>14</v>
      </c>
      <c r="E6" s="8"/>
      <c r="F6" s="8">
        <v>2</v>
      </c>
      <c r="G6" s="8">
        <v>5</v>
      </c>
      <c r="H6" s="8">
        <v>32</v>
      </c>
      <c r="I6" s="8">
        <v>9</v>
      </c>
      <c r="J6" s="8"/>
      <c r="K6" s="8"/>
      <c r="L6" s="8"/>
      <c r="M6" s="8"/>
      <c r="N6" s="12">
        <f>B6</f>
        <v>8</v>
      </c>
      <c r="O6" s="12">
        <f>SUM(C6:M6)</f>
        <v>68</v>
      </c>
      <c r="P6" s="9">
        <f>B6/R6</f>
        <v>0.10526315789473684</v>
      </c>
      <c r="Q6" s="10">
        <f>+O6/R6</f>
        <v>0.89473684210526316</v>
      </c>
      <c r="R6" s="12">
        <f>SUM(B6:M6)</f>
        <v>76</v>
      </c>
    </row>
    <row r="7" spans="1:18" x14ac:dyDescent="0.25">
      <c r="A7" s="11" t="s">
        <v>34</v>
      </c>
      <c r="B7" s="8">
        <v>1</v>
      </c>
      <c r="C7" s="8"/>
      <c r="D7" s="8">
        <v>1</v>
      </c>
      <c r="E7" s="8"/>
      <c r="F7" s="8">
        <v>1</v>
      </c>
      <c r="G7" s="8">
        <v>3</v>
      </c>
      <c r="H7" s="8">
        <v>3</v>
      </c>
      <c r="I7" s="8"/>
      <c r="J7" s="8"/>
      <c r="K7" s="8"/>
      <c r="L7" s="8"/>
      <c r="M7" s="8"/>
      <c r="N7" s="12">
        <f>B7</f>
        <v>1</v>
      </c>
      <c r="O7" s="12">
        <f>SUM(C7:M7)</f>
        <v>8</v>
      </c>
      <c r="P7" s="9">
        <f>B7/R7</f>
        <v>0.1111111111111111</v>
      </c>
      <c r="Q7" s="10">
        <f>+O7/R7</f>
        <v>0.88888888888888884</v>
      </c>
      <c r="R7" s="12">
        <f>SUM(B7:M7)</f>
        <v>9</v>
      </c>
    </row>
    <row r="8" spans="1:18" x14ac:dyDescent="0.25">
      <c r="A8" s="11" t="s">
        <v>14</v>
      </c>
      <c r="B8" s="8">
        <v>2</v>
      </c>
      <c r="C8" s="8">
        <v>5</v>
      </c>
      <c r="D8" s="8">
        <v>7</v>
      </c>
      <c r="E8" s="8"/>
      <c r="F8" s="8">
        <v>1</v>
      </c>
      <c r="G8" s="8"/>
      <c r="H8" s="8"/>
      <c r="I8" s="8"/>
      <c r="J8" s="8"/>
      <c r="K8" s="8"/>
      <c r="L8" s="8"/>
      <c r="M8" s="8"/>
      <c r="N8" s="12">
        <f>B8</f>
        <v>2</v>
      </c>
      <c r="O8" s="12">
        <f>SUM(C8:M8)</f>
        <v>13</v>
      </c>
      <c r="P8" s="9">
        <f>B8/R8</f>
        <v>0.13333333333333333</v>
      </c>
      <c r="Q8" s="10">
        <f>+O8/R8</f>
        <v>0.8666666666666667</v>
      </c>
      <c r="R8" s="12">
        <f>SUM(B8:M8)</f>
        <v>15</v>
      </c>
    </row>
    <row r="9" spans="1:18" x14ac:dyDescent="0.25">
      <c r="A9" s="11" t="s">
        <v>12</v>
      </c>
      <c r="B9" s="8">
        <v>2</v>
      </c>
      <c r="C9" s="8">
        <v>2</v>
      </c>
      <c r="D9" s="8">
        <v>4</v>
      </c>
      <c r="E9" s="8"/>
      <c r="F9" s="8"/>
      <c r="G9" s="8">
        <v>2</v>
      </c>
      <c r="H9" s="8">
        <v>2</v>
      </c>
      <c r="I9" s="8">
        <v>1</v>
      </c>
      <c r="J9" s="8"/>
      <c r="K9" s="8"/>
      <c r="L9" s="8"/>
      <c r="M9" s="8"/>
      <c r="N9" s="12">
        <f>B9</f>
        <v>2</v>
      </c>
      <c r="O9" s="12">
        <f>SUM(C9:M9)</f>
        <v>11</v>
      </c>
      <c r="P9" s="9">
        <f>B9/R9</f>
        <v>0.15384615384615385</v>
      </c>
      <c r="Q9" s="10">
        <f>+O9/R9</f>
        <v>0.84615384615384615</v>
      </c>
      <c r="R9" s="12">
        <f>SUM(B9:M9)</f>
        <v>13</v>
      </c>
    </row>
    <row r="10" spans="1:18" x14ac:dyDescent="0.25">
      <c r="A10" s="11" t="s">
        <v>17</v>
      </c>
      <c r="B10" s="8">
        <v>10</v>
      </c>
      <c r="C10" s="8">
        <v>6</v>
      </c>
      <c r="D10" s="8">
        <v>16</v>
      </c>
      <c r="E10" s="8">
        <v>1</v>
      </c>
      <c r="F10" s="8">
        <v>3</v>
      </c>
      <c r="G10" s="8">
        <v>5</v>
      </c>
      <c r="H10" s="8">
        <v>5</v>
      </c>
      <c r="I10" s="8">
        <v>3</v>
      </c>
      <c r="J10" s="8"/>
      <c r="K10" s="8"/>
      <c r="L10" s="8"/>
      <c r="M10" s="8"/>
      <c r="N10" s="12">
        <f>B10</f>
        <v>10</v>
      </c>
      <c r="O10" s="12">
        <f>SUM(C10:M10)</f>
        <v>39</v>
      </c>
      <c r="P10" s="9">
        <f>B10/R10</f>
        <v>0.20408163265306123</v>
      </c>
      <c r="Q10" s="10">
        <f>+O10/R10</f>
        <v>0.79591836734693877</v>
      </c>
      <c r="R10" s="12">
        <f>SUM(B10:M10)</f>
        <v>49</v>
      </c>
    </row>
    <row r="11" spans="1:18" x14ac:dyDescent="0.25">
      <c r="A11" s="11" t="s">
        <v>19</v>
      </c>
      <c r="B11" s="8">
        <v>18</v>
      </c>
      <c r="C11" s="8">
        <v>8</v>
      </c>
      <c r="D11" s="8">
        <v>26</v>
      </c>
      <c r="E11" s="8">
        <v>1</v>
      </c>
      <c r="F11" s="8"/>
      <c r="G11" s="8">
        <v>2</v>
      </c>
      <c r="H11" s="8">
        <v>1</v>
      </c>
      <c r="I11" s="8">
        <v>3</v>
      </c>
      <c r="J11" s="8"/>
      <c r="K11" s="8"/>
      <c r="L11" s="8"/>
      <c r="M11" s="8"/>
      <c r="N11" s="12">
        <f>B11</f>
        <v>18</v>
      </c>
      <c r="O11" s="12">
        <f>SUM(C11:M11)</f>
        <v>41</v>
      </c>
      <c r="P11" s="9">
        <f>B11/R11</f>
        <v>0.30508474576271188</v>
      </c>
      <c r="Q11" s="10">
        <f>+O11/R11</f>
        <v>0.69491525423728817</v>
      </c>
      <c r="R11" s="12">
        <f>SUM(B11:M11)</f>
        <v>59</v>
      </c>
    </row>
    <row r="12" spans="1:18" x14ac:dyDescent="0.25">
      <c r="A12" s="11" t="s">
        <v>30</v>
      </c>
      <c r="B12" s="8">
        <v>3</v>
      </c>
      <c r="C12" s="8"/>
      <c r="D12" s="8">
        <v>3</v>
      </c>
      <c r="E12" s="8"/>
      <c r="F12" s="8"/>
      <c r="G12" s="8">
        <v>1</v>
      </c>
      <c r="H12" s="8"/>
      <c r="I12" s="8"/>
      <c r="J12" s="8"/>
      <c r="K12" s="8"/>
      <c r="L12" s="8"/>
      <c r="M12" s="8"/>
      <c r="N12" s="12">
        <f>B12</f>
        <v>3</v>
      </c>
      <c r="O12" s="12">
        <f>SUM(C12:M12)</f>
        <v>4</v>
      </c>
      <c r="P12" s="9">
        <f>B12/R12</f>
        <v>0.42857142857142855</v>
      </c>
      <c r="Q12" s="10">
        <f>+O12/R12</f>
        <v>0.5714285714285714</v>
      </c>
      <c r="R12" s="12">
        <f>SUM(B12:M12)</f>
        <v>7</v>
      </c>
    </row>
    <row r="13" spans="1:18" x14ac:dyDescent="0.25">
      <c r="A13" s="11" t="s">
        <v>13</v>
      </c>
      <c r="B13" s="8">
        <v>2</v>
      </c>
      <c r="C13" s="8"/>
      <c r="D13" s="8">
        <v>2</v>
      </c>
      <c r="E13" s="8"/>
      <c r="F13" s="8"/>
      <c r="G13" s="8"/>
      <c r="H13" s="8"/>
      <c r="I13" s="8"/>
      <c r="J13" s="8"/>
      <c r="K13" s="8"/>
      <c r="L13" s="8"/>
      <c r="M13" s="8"/>
      <c r="N13" s="12">
        <f>B13</f>
        <v>2</v>
      </c>
      <c r="O13" s="12">
        <f>SUM(C13:M13)</f>
        <v>2</v>
      </c>
      <c r="P13" s="9">
        <f>B13/R13</f>
        <v>0.5</v>
      </c>
      <c r="Q13" s="10">
        <f>+O13/R13</f>
        <v>0.5</v>
      </c>
      <c r="R13" s="12">
        <f>SUM(B13:M13)</f>
        <v>4</v>
      </c>
    </row>
    <row r="14" spans="1:18" x14ac:dyDescent="0.25">
      <c r="A14" s="11" t="s">
        <v>35</v>
      </c>
      <c r="B14" s="8">
        <v>1</v>
      </c>
      <c r="C14" s="8"/>
      <c r="D14" s="8">
        <v>1</v>
      </c>
      <c r="E14" s="8"/>
      <c r="F14" s="8"/>
      <c r="G14" s="8"/>
      <c r="H14" s="8"/>
      <c r="I14" s="8"/>
      <c r="J14" s="8"/>
      <c r="K14" s="8"/>
      <c r="L14" s="8"/>
      <c r="M14" s="8"/>
      <c r="N14" s="12">
        <f>B14</f>
        <v>1</v>
      </c>
      <c r="O14" s="12">
        <f>SUM(C14:M14)</f>
        <v>1</v>
      </c>
      <c r="P14" s="9">
        <f>B14/R14</f>
        <v>0.5</v>
      </c>
      <c r="Q14" s="10">
        <f>+O14/R14</f>
        <v>0.5</v>
      </c>
      <c r="R14" s="12">
        <f>SUM(B14:M14)</f>
        <v>2</v>
      </c>
    </row>
    <row r="15" spans="1:18" x14ac:dyDescent="0.25">
      <c r="A15" s="11" t="s">
        <v>20</v>
      </c>
      <c r="B15" s="8">
        <v>3</v>
      </c>
      <c r="C15" s="8"/>
      <c r="D15" s="8">
        <v>3</v>
      </c>
      <c r="E15" s="8"/>
      <c r="F15" s="8"/>
      <c r="G15" s="8"/>
      <c r="H15" s="8"/>
      <c r="I15" s="8"/>
      <c r="J15" s="8"/>
      <c r="K15" s="8"/>
      <c r="L15" s="8"/>
      <c r="M15" s="8"/>
      <c r="N15" s="12">
        <f>B15</f>
        <v>3</v>
      </c>
      <c r="O15" s="12">
        <f>SUM(C15:M15)</f>
        <v>3</v>
      </c>
      <c r="P15" s="9">
        <f>B15/R15</f>
        <v>0.5</v>
      </c>
      <c r="Q15" s="10">
        <f>+O15/R15</f>
        <v>0.5</v>
      </c>
      <c r="R15" s="12">
        <f>SUM(B15:M15)</f>
        <v>6</v>
      </c>
    </row>
    <row r="16" spans="1:18" x14ac:dyDescent="0.25">
      <c r="A16" s="11" t="s">
        <v>21</v>
      </c>
      <c r="B16" s="8">
        <v>25</v>
      </c>
      <c r="C16" s="8"/>
      <c r="D16" s="8">
        <v>25</v>
      </c>
      <c r="E16" s="8"/>
      <c r="F16" s="8"/>
      <c r="G16" s="8"/>
      <c r="H16" s="8"/>
      <c r="I16" s="8"/>
      <c r="J16" s="8"/>
      <c r="K16" s="8"/>
      <c r="L16" s="8"/>
      <c r="M16" s="8"/>
      <c r="N16" s="12">
        <f>B16</f>
        <v>25</v>
      </c>
      <c r="O16" s="12">
        <f>SUM(C16:M16)</f>
        <v>25</v>
      </c>
      <c r="P16" s="9">
        <f>B16/R16</f>
        <v>0.5</v>
      </c>
      <c r="Q16" s="10">
        <f>+O16/R16</f>
        <v>0.5</v>
      </c>
      <c r="R16" s="12">
        <f>SUM(B16:M16)</f>
        <v>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DB27-3003-4EF6-B6B7-F7BD96A6F48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A3544-501F-4A30-BFD9-F1885C008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SLA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Alodia Bendicio</cp:lastModifiedBy>
  <dcterms:created xsi:type="dcterms:W3CDTF">2025-07-02T12:13:20Z</dcterms:created>
  <dcterms:modified xsi:type="dcterms:W3CDTF">2025-08-26T18:55:24Z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2025-06-30T11:35:13-04:00</dcterms:created>
  <dcterms:modified xsi:type="dcterms:W3CDTF">2025-06-30T11:35:13-04:00</dcterms:modified>
  <cp:revision>0</cp:revision>
</cp:coreProperties>
</file>