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odia Bendicio\Downloads\9. HELD Completes\"/>
    </mc:Choice>
  </mc:AlternateContent>
  <xr:revisionPtr revIDLastSave="0" documentId="13_ncr:1_{8C46B078-0026-4C62-9266-D14BEB54F395}" xr6:coauthVersionLast="47" xr6:coauthVersionMax="47" xr10:uidLastSave="{00000000-0000-0000-0000-000000000000}"/>
  <bookViews>
    <workbookView xWindow="-108" yWindow="-108" windowWidth="23256" windowHeight="12456" tabRatio="757" firstSheet="2" activeTab="6" xr2:uid="{00000000-000D-0000-FFFF-FFFF00000000}"/>
  </bookViews>
  <sheets>
    <sheet name="Links" sheetId="1" state="hidden" r:id="rId1"/>
    <sheet name="SLA" sheetId="2" state="hidden" r:id="rId2"/>
    <sheet name="reference" sheetId="4" r:id="rId3"/>
    <sheet name="Team Report" sheetId="14" r:id="rId4"/>
    <sheet name="Campaign Report" sheetId="15" r:id="rId5"/>
    <sheet name="Pivots" sheetId="6" r:id="rId6"/>
    <sheet name="Completion" sheetId="3" r:id="rId7"/>
    <sheet name="Sheet1" sheetId="13" r:id="rId8"/>
  </sheets>
  <definedNames>
    <definedName name="ExternalData_1" localSheetId="5" hidden="1">Pivots!#REF!</definedName>
    <definedName name="ExternalData_3" localSheetId="3" hidden="1">'Team Report'!$A$1:$AI$61</definedName>
    <definedName name="ExternalData_4" localSheetId="4" hidden="1">'Campaign Report'!$A$1:$AI$164</definedName>
  </definedNames>
  <calcPr calcId="191028"/>
  <pivotCaches>
    <pivotCache cacheId="89" r:id="rId9"/>
    <pivotCache cacheId="9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" i="3" l="1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9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6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33" i="3"/>
  <c r="AJ2" i="15"/>
  <c r="AJ3" i="15"/>
  <c r="AJ4" i="15"/>
  <c r="AJ5" i="15"/>
  <c r="AJ6" i="15"/>
  <c r="AJ7" i="15"/>
  <c r="AJ8" i="15"/>
  <c r="AJ9" i="15"/>
  <c r="AJ10" i="15"/>
  <c r="AJ11" i="15"/>
  <c r="AJ12" i="15"/>
  <c r="AJ13" i="15"/>
  <c r="AJ14" i="15"/>
  <c r="AJ15" i="15"/>
  <c r="AJ16" i="15"/>
  <c r="AJ17" i="15"/>
  <c r="AJ18" i="15"/>
  <c r="AJ19" i="15"/>
  <c r="AJ20" i="15"/>
  <c r="AJ21" i="15"/>
  <c r="AJ22" i="15"/>
  <c r="AJ23" i="15"/>
  <c r="AJ24" i="15"/>
  <c r="AJ25" i="15"/>
  <c r="AJ26" i="15"/>
  <c r="AJ27" i="15"/>
  <c r="AJ28" i="15"/>
  <c r="AJ29" i="15"/>
  <c r="AJ30" i="15"/>
  <c r="AJ31" i="15"/>
  <c r="AJ32" i="15"/>
  <c r="AJ33" i="15"/>
  <c r="AJ34" i="15"/>
  <c r="AJ35" i="15"/>
  <c r="AJ36" i="15"/>
  <c r="AJ37" i="15"/>
  <c r="AJ38" i="15"/>
  <c r="AJ39" i="15"/>
  <c r="AJ40" i="15"/>
  <c r="AJ41" i="15"/>
  <c r="AJ42" i="15"/>
  <c r="AJ43" i="15"/>
  <c r="AJ44" i="15"/>
  <c r="AJ45" i="15"/>
  <c r="AJ46" i="15"/>
  <c r="AJ47" i="15"/>
  <c r="AJ48" i="15"/>
  <c r="AJ49" i="15"/>
  <c r="AJ50" i="15"/>
  <c r="AJ51" i="15"/>
  <c r="AJ52" i="15"/>
  <c r="AJ53" i="15"/>
  <c r="AJ54" i="15"/>
  <c r="AJ55" i="15"/>
  <c r="AJ56" i="15"/>
  <c r="AJ57" i="15"/>
  <c r="AJ58" i="15"/>
  <c r="AJ59" i="15"/>
  <c r="AJ60" i="15"/>
  <c r="AJ61" i="15"/>
  <c r="AJ62" i="15"/>
  <c r="AJ63" i="15"/>
  <c r="AJ64" i="15"/>
  <c r="AJ65" i="15"/>
  <c r="AJ66" i="15"/>
  <c r="AJ67" i="15"/>
  <c r="AJ68" i="15"/>
  <c r="AJ69" i="15"/>
  <c r="AJ70" i="15"/>
  <c r="AJ71" i="15"/>
  <c r="AJ72" i="15"/>
  <c r="AJ73" i="15"/>
  <c r="AJ74" i="15"/>
  <c r="AJ75" i="15"/>
  <c r="AJ76" i="15"/>
  <c r="AJ77" i="15"/>
  <c r="AJ78" i="15"/>
  <c r="AJ79" i="15"/>
  <c r="AJ80" i="15"/>
  <c r="AJ81" i="15"/>
  <c r="AJ82" i="15"/>
  <c r="AJ83" i="15"/>
  <c r="AJ84" i="15"/>
  <c r="AJ85" i="15"/>
  <c r="AJ86" i="15"/>
  <c r="AJ87" i="15"/>
  <c r="AJ88" i="15"/>
  <c r="AJ89" i="15"/>
  <c r="AJ90" i="15"/>
  <c r="AJ91" i="15"/>
  <c r="AJ92" i="15"/>
  <c r="AJ93" i="15"/>
  <c r="AJ94" i="15"/>
  <c r="AJ95" i="15"/>
  <c r="AJ96" i="15"/>
  <c r="AJ97" i="15"/>
  <c r="AJ98" i="15"/>
  <c r="AJ99" i="15"/>
  <c r="AJ100" i="15"/>
  <c r="AJ101" i="15"/>
  <c r="AJ102" i="15"/>
  <c r="AJ103" i="15"/>
  <c r="AJ104" i="15"/>
  <c r="AJ105" i="15"/>
  <c r="AJ106" i="15"/>
  <c r="AJ107" i="15"/>
  <c r="AJ108" i="15"/>
  <c r="AJ109" i="15"/>
  <c r="AJ110" i="15"/>
  <c r="AJ111" i="15"/>
  <c r="AJ112" i="15"/>
  <c r="AJ113" i="15"/>
  <c r="AJ114" i="15"/>
  <c r="AJ115" i="15"/>
  <c r="AJ116" i="15"/>
  <c r="AJ117" i="15"/>
  <c r="AJ118" i="15"/>
  <c r="AJ119" i="15"/>
  <c r="AJ120" i="15"/>
  <c r="AJ121" i="15"/>
  <c r="AJ122" i="15"/>
  <c r="AJ123" i="15"/>
  <c r="AJ124" i="15"/>
  <c r="AJ125" i="15"/>
  <c r="AJ126" i="15"/>
  <c r="AJ127" i="15"/>
  <c r="AJ128" i="15"/>
  <c r="AJ129" i="15"/>
  <c r="AJ130" i="15"/>
  <c r="AJ131" i="15"/>
  <c r="AJ132" i="15"/>
  <c r="AJ133" i="15"/>
  <c r="AJ134" i="15"/>
  <c r="AJ135" i="15"/>
  <c r="AJ136" i="15"/>
  <c r="AJ137" i="15"/>
  <c r="AJ138" i="15"/>
  <c r="AJ139" i="15"/>
  <c r="AJ140" i="15"/>
  <c r="AJ141" i="15"/>
  <c r="AJ142" i="15"/>
  <c r="AJ143" i="15"/>
  <c r="AJ144" i="15"/>
  <c r="AJ145" i="15"/>
  <c r="AJ146" i="15"/>
  <c r="AJ147" i="15"/>
  <c r="AJ148" i="15"/>
  <c r="AJ149" i="15"/>
  <c r="AJ150" i="15"/>
  <c r="AJ151" i="15"/>
  <c r="AJ152" i="15"/>
  <c r="AJ153" i="15"/>
  <c r="AJ154" i="15"/>
  <c r="AJ155" i="15"/>
  <c r="AJ156" i="15"/>
  <c r="AJ157" i="15"/>
  <c r="AJ158" i="15"/>
  <c r="AJ159" i="15"/>
  <c r="AJ160" i="15"/>
  <c r="AJ161" i="15"/>
  <c r="AJ162" i="15"/>
  <c r="AJ163" i="15"/>
  <c r="AJ164" i="15"/>
  <c r="AK2" i="15"/>
  <c r="AK3" i="15"/>
  <c r="AK4" i="15"/>
  <c r="AK5" i="15"/>
  <c r="AK6" i="15"/>
  <c r="AK7" i="15"/>
  <c r="AK8" i="15"/>
  <c r="AK9" i="15"/>
  <c r="AK10" i="15"/>
  <c r="AK11" i="15"/>
  <c r="AK12" i="15"/>
  <c r="AK13" i="15"/>
  <c r="AK14" i="15"/>
  <c r="AK15" i="15"/>
  <c r="AK16" i="15"/>
  <c r="AK17" i="15"/>
  <c r="AK18" i="15"/>
  <c r="AK19" i="15"/>
  <c r="AK20" i="15"/>
  <c r="AK21" i="15"/>
  <c r="AK22" i="15"/>
  <c r="AK23" i="15"/>
  <c r="AK24" i="15"/>
  <c r="AK25" i="15"/>
  <c r="AK26" i="15"/>
  <c r="AK27" i="15"/>
  <c r="AK28" i="15"/>
  <c r="AK29" i="15"/>
  <c r="AK30" i="15"/>
  <c r="AK31" i="15"/>
  <c r="AK32" i="15"/>
  <c r="AK33" i="15"/>
  <c r="AK34" i="15"/>
  <c r="AK35" i="15"/>
  <c r="AK36" i="15"/>
  <c r="AK37" i="15"/>
  <c r="AK38" i="15"/>
  <c r="AK39" i="15"/>
  <c r="AK40" i="15"/>
  <c r="AK41" i="15"/>
  <c r="AK42" i="15"/>
  <c r="AK43" i="15"/>
  <c r="AK44" i="15"/>
  <c r="AK45" i="15"/>
  <c r="AK46" i="15"/>
  <c r="AK47" i="15"/>
  <c r="AK48" i="15"/>
  <c r="AK49" i="15"/>
  <c r="AK50" i="15"/>
  <c r="AK51" i="15"/>
  <c r="AK52" i="15"/>
  <c r="AK53" i="15"/>
  <c r="AK54" i="15"/>
  <c r="AK55" i="15"/>
  <c r="AK56" i="15"/>
  <c r="AK57" i="15"/>
  <c r="AK58" i="15"/>
  <c r="AK59" i="15"/>
  <c r="AK60" i="15"/>
  <c r="AK61" i="15"/>
  <c r="AK62" i="15"/>
  <c r="AK63" i="15"/>
  <c r="AK64" i="15"/>
  <c r="AK65" i="15"/>
  <c r="AK66" i="15"/>
  <c r="AK67" i="15"/>
  <c r="AK68" i="15"/>
  <c r="AK69" i="15"/>
  <c r="AK70" i="15"/>
  <c r="AK71" i="15"/>
  <c r="AK72" i="15"/>
  <c r="AK73" i="15"/>
  <c r="AK74" i="15"/>
  <c r="AK75" i="15"/>
  <c r="AK76" i="15"/>
  <c r="AK77" i="15"/>
  <c r="AK78" i="15"/>
  <c r="AK79" i="15"/>
  <c r="AK80" i="15"/>
  <c r="AK81" i="15"/>
  <c r="AK82" i="15"/>
  <c r="AK83" i="15"/>
  <c r="AK84" i="15"/>
  <c r="AK85" i="15"/>
  <c r="AK86" i="15"/>
  <c r="AK87" i="15"/>
  <c r="AK88" i="15"/>
  <c r="AK89" i="15"/>
  <c r="AK90" i="15"/>
  <c r="AK91" i="15"/>
  <c r="AK92" i="15"/>
  <c r="AK93" i="15"/>
  <c r="AK94" i="15"/>
  <c r="AK95" i="15"/>
  <c r="AK96" i="15"/>
  <c r="AK97" i="15"/>
  <c r="AK98" i="15"/>
  <c r="AK99" i="15"/>
  <c r="AK100" i="15"/>
  <c r="AK101" i="15"/>
  <c r="AK102" i="15"/>
  <c r="AK103" i="15"/>
  <c r="AK104" i="15"/>
  <c r="AK105" i="15"/>
  <c r="AK106" i="15"/>
  <c r="AK107" i="15"/>
  <c r="AK108" i="15"/>
  <c r="AK109" i="15"/>
  <c r="AK110" i="15"/>
  <c r="AK111" i="15"/>
  <c r="AK112" i="15"/>
  <c r="AK113" i="15"/>
  <c r="AK114" i="15"/>
  <c r="AK115" i="15"/>
  <c r="AK116" i="15"/>
  <c r="AK117" i="15"/>
  <c r="AK118" i="15"/>
  <c r="AK119" i="15"/>
  <c r="AK120" i="15"/>
  <c r="AK121" i="15"/>
  <c r="AK122" i="15"/>
  <c r="AK123" i="15"/>
  <c r="AK124" i="15"/>
  <c r="AK125" i="15"/>
  <c r="AK126" i="15"/>
  <c r="AK127" i="15"/>
  <c r="AK128" i="15"/>
  <c r="AK129" i="15"/>
  <c r="AK130" i="15"/>
  <c r="AK131" i="15"/>
  <c r="AK132" i="15"/>
  <c r="AK133" i="15"/>
  <c r="AK134" i="15"/>
  <c r="AK135" i="15"/>
  <c r="AK136" i="15"/>
  <c r="AK137" i="15"/>
  <c r="AK138" i="15"/>
  <c r="AK139" i="15"/>
  <c r="AK140" i="15"/>
  <c r="AK141" i="15"/>
  <c r="AK142" i="15"/>
  <c r="AK143" i="15"/>
  <c r="AK144" i="15"/>
  <c r="AK145" i="15"/>
  <c r="AK146" i="15"/>
  <c r="AK147" i="15"/>
  <c r="AK148" i="15"/>
  <c r="AK149" i="15"/>
  <c r="AK150" i="15"/>
  <c r="AK151" i="15"/>
  <c r="AK152" i="15"/>
  <c r="AK153" i="15"/>
  <c r="AK154" i="15"/>
  <c r="AK155" i="15"/>
  <c r="AK156" i="15"/>
  <c r="AK157" i="15"/>
  <c r="AK158" i="15"/>
  <c r="AK159" i="15"/>
  <c r="AK160" i="15"/>
  <c r="AK161" i="15"/>
  <c r="AK162" i="15"/>
  <c r="AK163" i="15"/>
  <c r="AK164" i="15"/>
  <c r="AL2" i="15"/>
  <c r="AL3" i="15"/>
  <c r="AL4" i="15"/>
  <c r="AL5" i="15"/>
  <c r="AM5" i="15" s="1"/>
  <c r="AL6" i="15"/>
  <c r="AM6" i="15" s="1"/>
  <c r="AL7" i="15"/>
  <c r="AM7" i="15" s="1"/>
  <c r="AL8" i="15"/>
  <c r="AM8" i="15" s="1"/>
  <c r="AL9" i="15"/>
  <c r="AM9" i="15" s="1"/>
  <c r="AL10" i="15"/>
  <c r="AM10" i="15" s="1"/>
  <c r="AL11" i="15"/>
  <c r="AM11" i="15" s="1"/>
  <c r="AL12" i="15"/>
  <c r="AL13" i="15"/>
  <c r="AL14" i="15"/>
  <c r="AL15" i="15"/>
  <c r="AL16" i="15"/>
  <c r="AL17" i="15"/>
  <c r="AM17" i="15" s="1"/>
  <c r="AL18" i="15"/>
  <c r="AM18" i="15" s="1"/>
  <c r="AL19" i="15"/>
  <c r="AM19" i="15" s="1"/>
  <c r="AL20" i="15"/>
  <c r="AM20" i="15" s="1"/>
  <c r="AL21" i="15"/>
  <c r="AM21" i="15" s="1"/>
  <c r="AL22" i="15"/>
  <c r="AM22" i="15" s="1"/>
  <c r="AL23" i="15"/>
  <c r="AM23" i="15" s="1"/>
  <c r="AL24" i="15"/>
  <c r="AL25" i="15"/>
  <c r="AL26" i="15"/>
  <c r="AL27" i="15"/>
  <c r="AL28" i="15"/>
  <c r="AL29" i="15"/>
  <c r="AM29" i="15" s="1"/>
  <c r="AL30" i="15"/>
  <c r="AM30" i="15" s="1"/>
  <c r="AL31" i="15"/>
  <c r="AM31" i="15" s="1"/>
  <c r="AL32" i="15"/>
  <c r="AM32" i="15" s="1"/>
  <c r="AL33" i="15"/>
  <c r="AM33" i="15" s="1"/>
  <c r="AL34" i="15"/>
  <c r="AM34" i="15" s="1"/>
  <c r="AL35" i="15"/>
  <c r="AM35" i="15" s="1"/>
  <c r="AL36" i="15"/>
  <c r="AL37" i="15"/>
  <c r="AL38" i="15"/>
  <c r="AL39" i="15"/>
  <c r="AL40" i="15"/>
  <c r="AM40" i="15" s="1"/>
  <c r="AL41" i="15"/>
  <c r="AM41" i="15" s="1"/>
  <c r="AL42" i="15"/>
  <c r="AM42" i="15" s="1"/>
  <c r="AL43" i="15"/>
  <c r="AM43" i="15" s="1"/>
  <c r="AL44" i="15"/>
  <c r="AM44" i="15" s="1"/>
  <c r="AL45" i="15"/>
  <c r="AM45" i="15" s="1"/>
  <c r="AL46" i="15"/>
  <c r="AM46" i="15" s="1"/>
  <c r="AL47" i="15"/>
  <c r="AM47" i="15" s="1"/>
  <c r="AL48" i="15"/>
  <c r="AL49" i="15"/>
  <c r="AL50" i="15"/>
  <c r="AL51" i="15"/>
  <c r="AL52" i="15"/>
  <c r="AL53" i="15"/>
  <c r="AM53" i="15" s="1"/>
  <c r="AL54" i="15"/>
  <c r="AM54" i="15" s="1"/>
  <c r="AL55" i="15"/>
  <c r="AM55" i="15" s="1"/>
  <c r="AL56" i="15"/>
  <c r="AM56" i="15" s="1"/>
  <c r="AL57" i="15"/>
  <c r="AM57" i="15" s="1"/>
  <c r="AL58" i="15"/>
  <c r="AM58" i="15" s="1"/>
  <c r="AL59" i="15"/>
  <c r="AM59" i="15" s="1"/>
  <c r="AL60" i="15"/>
  <c r="AL61" i="15"/>
  <c r="AL62" i="15"/>
  <c r="AL63" i="15"/>
  <c r="AL64" i="15"/>
  <c r="AM64" i="15" s="1"/>
  <c r="AL65" i="15"/>
  <c r="AM65" i="15" s="1"/>
  <c r="AL66" i="15"/>
  <c r="AM66" i="15" s="1"/>
  <c r="AL67" i="15"/>
  <c r="AM67" i="15" s="1"/>
  <c r="AL68" i="15"/>
  <c r="AM68" i="15" s="1"/>
  <c r="AL69" i="15"/>
  <c r="AM69" i="15" s="1"/>
  <c r="AL70" i="15"/>
  <c r="AM70" i="15" s="1"/>
  <c r="AL71" i="15"/>
  <c r="AM71" i="15" s="1"/>
  <c r="AL72" i="15"/>
  <c r="AL73" i="15"/>
  <c r="AL74" i="15"/>
  <c r="AL75" i="15"/>
  <c r="AL76" i="15"/>
  <c r="AL77" i="15"/>
  <c r="AM77" i="15" s="1"/>
  <c r="AL78" i="15"/>
  <c r="AM78" i="15" s="1"/>
  <c r="AL79" i="15"/>
  <c r="AM79" i="15" s="1"/>
  <c r="AL80" i="15"/>
  <c r="AM80" i="15" s="1"/>
  <c r="AL81" i="15"/>
  <c r="AM81" i="15" s="1"/>
  <c r="AL82" i="15"/>
  <c r="AM82" i="15" s="1"/>
  <c r="AL83" i="15"/>
  <c r="AM83" i="15" s="1"/>
  <c r="AL84" i="15"/>
  <c r="AL85" i="15"/>
  <c r="AL86" i="15"/>
  <c r="AL87" i="15"/>
  <c r="AL88" i="15"/>
  <c r="AL89" i="15"/>
  <c r="AM89" i="15" s="1"/>
  <c r="AL90" i="15"/>
  <c r="AM90" i="15" s="1"/>
  <c r="AL91" i="15"/>
  <c r="AM91" i="15" s="1"/>
  <c r="AL92" i="15"/>
  <c r="AM92" i="15" s="1"/>
  <c r="AL93" i="15"/>
  <c r="AM93" i="15" s="1"/>
  <c r="AL94" i="15"/>
  <c r="AM94" i="15" s="1"/>
  <c r="AL95" i="15"/>
  <c r="AM95" i="15" s="1"/>
  <c r="AL96" i="15"/>
  <c r="AL97" i="15"/>
  <c r="AL98" i="15"/>
  <c r="AL99" i="15"/>
  <c r="AL100" i="15"/>
  <c r="AM100" i="15" s="1"/>
  <c r="AL101" i="15"/>
  <c r="AM101" i="15" s="1"/>
  <c r="AL102" i="15"/>
  <c r="AM102" i="15" s="1"/>
  <c r="AL103" i="15"/>
  <c r="AM103" i="15" s="1"/>
  <c r="AL104" i="15"/>
  <c r="AM104" i="15" s="1"/>
  <c r="AL105" i="15"/>
  <c r="AM105" i="15" s="1"/>
  <c r="AL106" i="15"/>
  <c r="AM106" i="15" s="1"/>
  <c r="AL107" i="15"/>
  <c r="AM107" i="15" s="1"/>
  <c r="AL108" i="15"/>
  <c r="AL109" i="15"/>
  <c r="AL110" i="15"/>
  <c r="AL111" i="15"/>
  <c r="AL112" i="15"/>
  <c r="AL113" i="15"/>
  <c r="AM113" i="15" s="1"/>
  <c r="AL114" i="15"/>
  <c r="AM114" i="15" s="1"/>
  <c r="AL115" i="15"/>
  <c r="AM115" i="15" s="1"/>
  <c r="AL116" i="15"/>
  <c r="AM116" i="15" s="1"/>
  <c r="AL117" i="15"/>
  <c r="AM117" i="15" s="1"/>
  <c r="AL118" i="15"/>
  <c r="AM118" i="15" s="1"/>
  <c r="AL119" i="15"/>
  <c r="AM119" i="15" s="1"/>
  <c r="AL120" i="15"/>
  <c r="AL121" i="15"/>
  <c r="AL122" i="15"/>
  <c r="AL123" i="15"/>
  <c r="AL124" i="15"/>
  <c r="AM124" i="15" s="1"/>
  <c r="AL125" i="15"/>
  <c r="AM125" i="15" s="1"/>
  <c r="AL126" i="15"/>
  <c r="AM126" i="15" s="1"/>
  <c r="AL127" i="15"/>
  <c r="AM127" i="15" s="1"/>
  <c r="AL128" i="15"/>
  <c r="AM128" i="15" s="1"/>
  <c r="AL129" i="15"/>
  <c r="AM129" i="15" s="1"/>
  <c r="AL130" i="15"/>
  <c r="AM130" i="15" s="1"/>
  <c r="AL131" i="15"/>
  <c r="AM131" i="15" s="1"/>
  <c r="AL132" i="15"/>
  <c r="AL133" i="15"/>
  <c r="AL134" i="15"/>
  <c r="AL135" i="15"/>
  <c r="AL136" i="15"/>
  <c r="AL137" i="15"/>
  <c r="AM137" i="15" s="1"/>
  <c r="AL138" i="15"/>
  <c r="AM138" i="15" s="1"/>
  <c r="AL139" i="15"/>
  <c r="AM139" i="15" s="1"/>
  <c r="AL140" i="15"/>
  <c r="AM140" i="15" s="1"/>
  <c r="AL141" i="15"/>
  <c r="AM141" i="15" s="1"/>
  <c r="AL142" i="15"/>
  <c r="AM142" i="15" s="1"/>
  <c r="AL143" i="15"/>
  <c r="AM143" i="15" s="1"/>
  <c r="AL144" i="15"/>
  <c r="AL145" i="15"/>
  <c r="AL146" i="15"/>
  <c r="AL147" i="15"/>
  <c r="AL148" i="15"/>
  <c r="AL149" i="15"/>
  <c r="AM149" i="15" s="1"/>
  <c r="AL150" i="15"/>
  <c r="AM150" i="15" s="1"/>
  <c r="AL151" i="15"/>
  <c r="AM151" i="15" s="1"/>
  <c r="AL152" i="15"/>
  <c r="AM152" i="15" s="1"/>
  <c r="AL153" i="15"/>
  <c r="AM153" i="15" s="1"/>
  <c r="AL154" i="15"/>
  <c r="AM154" i="15" s="1"/>
  <c r="AL155" i="15"/>
  <c r="AM155" i="15" s="1"/>
  <c r="AL156" i="15"/>
  <c r="AL157" i="15"/>
  <c r="AL158" i="15"/>
  <c r="AL159" i="15"/>
  <c r="AL160" i="15"/>
  <c r="AL161" i="15"/>
  <c r="AM161" i="15" s="1"/>
  <c r="AL162" i="15"/>
  <c r="AM162" i="15" s="1"/>
  <c r="AL163" i="15"/>
  <c r="AM163" i="15" s="1"/>
  <c r="AL164" i="15"/>
  <c r="AM164" i="15" s="1"/>
  <c r="AM2" i="15"/>
  <c r="AM3" i="15"/>
  <c r="AM4" i="15"/>
  <c r="AM12" i="15"/>
  <c r="AM13" i="15"/>
  <c r="AM14" i="15"/>
  <c r="AM15" i="15"/>
  <c r="AM16" i="15"/>
  <c r="AM24" i="15"/>
  <c r="AM25" i="15"/>
  <c r="AM26" i="15"/>
  <c r="AM27" i="15"/>
  <c r="AM28" i="15"/>
  <c r="AM36" i="15"/>
  <c r="AM37" i="15"/>
  <c r="AM38" i="15"/>
  <c r="AM39" i="15"/>
  <c r="AM48" i="15"/>
  <c r="AM49" i="15"/>
  <c r="AM50" i="15"/>
  <c r="AM51" i="15"/>
  <c r="AM52" i="15"/>
  <c r="AM60" i="15"/>
  <c r="AM61" i="15"/>
  <c r="AM62" i="15"/>
  <c r="AM63" i="15"/>
  <c r="AM72" i="15"/>
  <c r="AM73" i="15"/>
  <c r="AM74" i="15"/>
  <c r="AM75" i="15"/>
  <c r="AM76" i="15"/>
  <c r="AM84" i="15"/>
  <c r="AM85" i="15"/>
  <c r="AM86" i="15"/>
  <c r="AM87" i="15"/>
  <c r="AM88" i="15"/>
  <c r="AM96" i="15"/>
  <c r="AM97" i="15"/>
  <c r="AM98" i="15"/>
  <c r="AM99" i="15"/>
  <c r="AM108" i="15"/>
  <c r="AM109" i="15"/>
  <c r="AM110" i="15"/>
  <c r="AM111" i="15"/>
  <c r="AM112" i="15"/>
  <c r="AM120" i="15"/>
  <c r="AM121" i="15"/>
  <c r="AM122" i="15"/>
  <c r="AM123" i="15"/>
  <c r="AM132" i="15"/>
  <c r="AM133" i="15"/>
  <c r="AM134" i="15"/>
  <c r="AM135" i="15"/>
  <c r="AM136" i="15"/>
  <c r="AM144" i="15"/>
  <c r="AM145" i="15"/>
  <c r="AM146" i="15"/>
  <c r="AM147" i="15"/>
  <c r="AM148" i="15"/>
  <c r="AM156" i="15"/>
  <c r="AM157" i="15"/>
  <c r="AM158" i="15"/>
  <c r="AM159" i="15"/>
  <c r="AM160" i="15"/>
  <c r="AJ2" i="14"/>
  <c r="AJ3" i="14"/>
  <c r="AJ4" i="14"/>
  <c r="AJ5" i="14"/>
  <c r="AJ6" i="14"/>
  <c r="AJ7" i="14"/>
  <c r="AJ8" i="14"/>
  <c r="AJ9" i="14"/>
  <c r="AJ10" i="14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K2" i="14"/>
  <c r="AK3" i="14"/>
  <c r="AK4" i="14"/>
  <c r="AK5" i="14"/>
  <c r="AK6" i="14"/>
  <c r="AK7" i="14"/>
  <c r="AK8" i="14"/>
  <c r="AK9" i="14"/>
  <c r="AK10" i="14"/>
  <c r="AK11" i="14"/>
  <c r="AK12" i="14"/>
  <c r="AK13" i="14"/>
  <c r="AK14" i="14"/>
  <c r="AK15" i="14"/>
  <c r="AK16" i="14"/>
  <c r="AK17" i="14"/>
  <c r="AK18" i="14"/>
  <c r="AK19" i="14"/>
  <c r="AK20" i="14"/>
  <c r="AK21" i="14"/>
  <c r="AK22" i="14"/>
  <c r="AK23" i="14"/>
  <c r="AK24" i="14"/>
  <c r="AK25" i="14"/>
  <c r="AK26" i="14"/>
  <c r="AK27" i="14"/>
  <c r="AK28" i="14"/>
  <c r="AK29" i="14"/>
  <c r="AK30" i="14"/>
  <c r="AK31" i="14"/>
  <c r="AK32" i="14"/>
  <c r="AK33" i="14"/>
  <c r="AK34" i="14"/>
  <c r="AK35" i="14"/>
  <c r="AK36" i="14"/>
  <c r="AK37" i="14"/>
  <c r="AK38" i="14"/>
  <c r="AK39" i="14"/>
  <c r="AK40" i="14"/>
  <c r="AK41" i="14"/>
  <c r="AK42" i="14"/>
  <c r="AK43" i="14"/>
  <c r="AK44" i="14"/>
  <c r="AK45" i="14"/>
  <c r="AK46" i="14"/>
  <c r="AK47" i="14"/>
  <c r="AK48" i="14"/>
  <c r="AK49" i="14"/>
  <c r="AK50" i="14"/>
  <c r="AK51" i="14"/>
  <c r="AK52" i="14"/>
  <c r="AK53" i="14"/>
  <c r="AK54" i="14"/>
  <c r="AK55" i="14"/>
  <c r="AK56" i="14"/>
  <c r="AK57" i="14"/>
  <c r="AK58" i="14"/>
  <c r="AK59" i="14"/>
  <c r="AK60" i="14"/>
  <c r="AK61" i="14"/>
  <c r="AL2" i="14"/>
  <c r="AL3" i="14"/>
  <c r="AL4" i="14"/>
  <c r="AM4" i="14" s="1"/>
  <c r="AN4" i="14" s="1"/>
  <c r="AL5" i="14"/>
  <c r="AL6" i="14"/>
  <c r="AL7" i="14"/>
  <c r="AL8" i="14"/>
  <c r="AL9" i="14"/>
  <c r="AL10" i="14"/>
  <c r="AL11" i="14"/>
  <c r="AL12" i="14"/>
  <c r="AL13" i="14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M30" i="14" s="1"/>
  <c r="AN30" i="14" s="1"/>
  <c r="AL31" i="14"/>
  <c r="AL32" i="14"/>
  <c r="AL33" i="14"/>
  <c r="AL34" i="14"/>
  <c r="AL35" i="14"/>
  <c r="AL36" i="14"/>
  <c r="AL37" i="14"/>
  <c r="AL38" i="14"/>
  <c r="AL39" i="14"/>
  <c r="AL40" i="14"/>
  <c r="AL41" i="14"/>
  <c r="AM41" i="14" s="1"/>
  <c r="AN41" i="14" s="1"/>
  <c r="AL42" i="14"/>
  <c r="AL43" i="14"/>
  <c r="AL44" i="14"/>
  <c r="AL45" i="14"/>
  <c r="AL46" i="14"/>
  <c r="AL47" i="14"/>
  <c r="AM47" i="14" s="1"/>
  <c r="AN47" i="14" s="1"/>
  <c r="AL48" i="14"/>
  <c r="AL49" i="14"/>
  <c r="AL50" i="14"/>
  <c r="AL51" i="14"/>
  <c r="AL52" i="14"/>
  <c r="AM52" i="14" s="1"/>
  <c r="AN52" i="14" s="1"/>
  <c r="AL53" i="14"/>
  <c r="AM53" i="14" s="1"/>
  <c r="AN53" i="14" s="1"/>
  <c r="AL54" i="14"/>
  <c r="AM54" i="14" s="1"/>
  <c r="AN54" i="14" s="1"/>
  <c r="AL55" i="14"/>
  <c r="AM55" i="14" s="1"/>
  <c r="AN55" i="14" s="1"/>
  <c r="AL56" i="14"/>
  <c r="AL57" i="14"/>
  <c r="AL58" i="14"/>
  <c r="AL59" i="14"/>
  <c r="AM59" i="14" s="1"/>
  <c r="AN59" i="14" s="1"/>
  <c r="AL60" i="14"/>
  <c r="AL61" i="14"/>
  <c r="AM2" i="14"/>
  <c r="AN2" i="14" s="1"/>
  <c r="AM3" i="14"/>
  <c r="AM5" i="14"/>
  <c r="AN5" i="14" s="1"/>
  <c r="AM6" i="14"/>
  <c r="AN6" i="14" s="1"/>
  <c r="AM7" i="14"/>
  <c r="AN7" i="14" s="1"/>
  <c r="AM8" i="14"/>
  <c r="AM9" i="14"/>
  <c r="AM10" i="14"/>
  <c r="AM11" i="14"/>
  <c r="AN11" i="14" s="1"/>
  <c r="AM12" i="14"/>
  <c r="AM13" i="14"/>
  <c r="AM14" i="14"/>
  <c r="AM15" i="14"/>
  <c r="AM16" i="14"/>
  <c r="AN16" i="14" s="1"/>
  <c r="AM17" i="14"/>
  <c r="AN17" i="14" s="1"/>
  <c r="AM18" i="14"/>
  <c r="AN18" i="14" s="1"/>
  <c r="AM19" i="14"/>
  <c r="AN19" i="14" s="1"/>
  <c r="AM20" i="14"/>
  <c r="AM21" i="14"/>
  <c r="AM22" i="14"/>
  <c r="AM23" i="14"/>
  <c r="AN23" i="14" s="1"/>
  <c r="AM24" i="14"/>
  <c r="AM25" i="14"/>
  <c r="AM26" i="14"/>
  <c r="AM27" i="14"/>
  <c r="AM28" i="14"/>
  <c r="AN28" i="14" s="1"/>
  <c r="AM29" i="14"/>
  <c r="AN29" i="14" s="1"/>
  <c r="AM31" i="14"/>
  <c r="AN31" i="14" s="1"/>
  <c r="AM32" i="14"/>
  <c r="AM33" i="14"/>
  <c r="AM34" i="14"/>
  <c r="AM35" i="14"/>
  <c r="AN35" i="14" s="1"/>
  <c r="AM36" i="14"/>
  <c r="AN36" i="14" s="1"/>
  <c r="AM37" i="14"/>
  <c r="AM38" i="14"/>
  <c r="AM39" i="14"/>
  <c r="AM40" i="14"/>
  <c r="AM42" i="14"/>
  <c r="AN42" i="14" s="1"/>
  <c r="AM43" i="14"/>
  <c r="AN43" i="14" s="1"/>
  <c r="AM44" i="14"/>
  <c r="AM45" i="14"/>
  <c r="AM46" i="14"/>
  <c r="AM48" i="14"/>
  <c r="AN48" i="14" s="1"/>
  <c r="AM49" i="14"/>
  <c r="AN49" i="14" s="1"/>
  <c r="AM50" i="14"/>
  <c r="AM51" i="14"/>
  <c r="AM56" i="14"/>
  <c r="AN56" i="14" s="1"/>
  <c r="AM57" i="14"/>
  <c r="AM58" i="14"/>
  <c r="AM60" i="14"/>
  <c r="AN60" i="14" s="1"/>
  <c r="AM61" i="14"/>
  <c r="AN61" i="14" s="1"/>
  <c r="AN3" i="14"/>
  <c r="AN8" i="14"/>
  <c r="AN9" i="14"/>
  <c r="AN10" i="14"/>
  <c r="AN12" i="14"/>
  <c r="AN13" i="14"/>
  <c r="AN14" i="14"/>
  <c r="AN15" i="14"/>
  <c r="AN20" i="14"/>
  <c r="AN21" i="14"/>
  <c r="AN22" i="14"/>
  <c r="AN24" i="14"/>
  <c r="AN25" i="14"/>
  <c r="AN26" i="14"/>
  <c r="AN27" i="14"/>
  <c r="AN32" i="14"/>
  <c r="AN33" i="14"/>
  <c r="AN34" i="14"/>
  <c r="AN37" i="14"/>
  <c r="AN38" i="14"/>
  <c r="AN39" i="14"/>
  <c r="AN40" i="14"/>
  <c r="AN44" i="14"/>
  <c r="AN45" i="14"/>
  <c r="AN46" i="14"/>
  <c r="AN50" i="14"/>
  <c r="AN51" i="14"/>
  <c r="AN57" i="14"/>
  <c r="AN58" i="14"/>
  <c r="K106" i="3"/>
  <c r="K76" i="3"/>
  <c r="K46" i="3"/>
  <c r="K105" i="3" l="1"/>
  <c r="K75" i="3"/>
  <c r="K45" i="3"/>
  <c r="D30" i="4"/>
  <c r="D29" i="4"/>
  <c r="J119" i="3"/>
  <c r="J89" i="3"/>
  <c r="J59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3" i="3"/>
  <c r="J29" i="3" l="1"/>
  <c r="K94" i="3"/>
  <c r="K95" i="3"/>
  <c r="K96" i="3"/>
  <c r="K97" i="3"/>
  <c r="K98" i="3"/>
  <c r="K99" i="3"/>
  <c r="K100" i="3"/>
  <c r="K101" i="3"/>
  <c r="K102" i="3"/>
  <c r="K103" i="3"/>
  <c r="K104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93" i="3"/>
  <c r="K64" i="3"/>
  <c r="K65" i="3"/>
  <c r="K66" i="3"/>
  <c r="K67" i="3"/>
  <c r="K68" i="3"/>
  <c r="K69" i="3"/>
  <c r="K70" i="3"/>
  <c r="K71" i="3"/>
  <c r="K72" i="3"/>
  <c r="K73" i="3"/>
  <c r="K74" i="3"/>
  <c r="K77" i="3"/>
  <c r="K78" i="3"/>
  <c r="K79" i="3"/>
  <c r="K80" i="3"/>
  <c r="K81" i="3"/>
  <c r="K82" i="3"/>
  <c r="K83" i="3"/>
  <c r="K84" i="3"/>
  <c r="K85" i="3"/>
  <c r="K86" i="3"/>
  <c r="K87" i="3"/>
  <c r="K88" i="3"/>
  <c r="K63" i="3"/>
  <c r="K34" i="3"/>
  <c r="K35" i="3"/>
  <c r="K36" i="3"/>
  <c r="K37" i="3"/>
  <c r="K38" i="3"/>
  <c r="K39" i="3"/>
  <c r="K40" i="3"/>
  <c r="K41" i="3"/>
  <c r="K42" i="3"/>
  <c r="K43" i="3"/>
  <c r="K44" i="3"/>
  <c r="K47" i="3"/>
  <c r="K48" i="3"/>
  <c r="K49" i="3"/>
  <c r="K50" i="3"/>
  <c r="K51" i="3"/>
  <c r="K52" i="3"/>
  <c r="K53" i="3"/>
  <c r="K54" i="3"/>
  <c r="K55" i="3"/>
  <c r="K56" i="3"/>
  <c r="K57" i="3"/>
  <c r="K58" i="3"/>
  <c r="K33" i="3"/>
  <c r="K15" i="3" l="1"/>
  <c r="K16" i="3"/>
  <c r="K28" i="3"/>
  <c r="K119" i="3" l="1"/>
  <c r="F119" i="3"/>
  <c r="E119" i="3"/>
  <c r="K89" i="3"/>
  <c r="F89" i="3"/>
  <c r="E89" i="3"/>
  <c r="K59" i="3"/>
  <c r="F59" i="3"/>
  <c r="E59" i="3"/>
  <c r="AC85" i="6" l="1"/>
  <c r="AC86" i="6"/>
  <c r="AC87" i="6"/>
  <c r="AC88" i="6"/>
  <c r="AC89" i="6"/>
  <c r="AC90" i="6"/>
  <c r="T26" i="6"/>
  <c r="T27" i="6"/>
  <c r="T28" i="6"/>
  <c r="T29" i="6"/>
  <c r="T30" i="6"/>
  <c r="T31" i="6"/>
  <c r="T32" i="6"/>
  <c r="T33" i="6"/>
  <c r="T34" i="6"/>
  <c r="T35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D47" i="4"/>
  <c r="AC58" i="6"/>
  <c r="AC59" i="6"/>
  <c r="AC60" i="6"/>
  <c r="AC61" i="6"/>
  <c r="AC62" i="6"/>
  <c r="AC63" i="6"/>
  <c r="AC64" i="6"/>
  <c r="AC65" i="6"/>
  <c r="AC66" i="6"/>
  <c r="AC67" i="6"/>
  <c r="AC56" i="6"/>
  <c r="AC57" i="6"/>
  <c r="T20" i="6" l="1"/>
  <c r="T21" i="6"/>
  <c r="T22" i="6"/>
  <c r="T23" i="6"/>
  <c r="T24" i="6"/>
  <c r="T25" i="6"/>
  <c r="B27" i="3"/>
  <c r="E27" i="3"/>
  <c r="F27" i="3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AC53" i="6"/>
  <c r="AC54" i="6"/>
  <c r="AC55" i="6"/>
  <c r="I119" i="3"/>
  <c r="C119" i="3"/>
  <c r="B116" i="3"/>
  <c r="H116" i="3" s="1"/>
  <c r="B115" i="3"/>
  <c r="H115" i="3" s="1"/>
  <c r="B114" i="3"/>
  <c r="H114" i="3" s="1"/>
  <c r="B113" i="3"/>
  <c r="H113" i="3" s="1"/>
  <c r="B112" i="3"/>
  <c r="H112" i="3" s="1"/>
  <c r="B111" i="3"/>
  <c r="G111" i="3" s="1"/>
  <c r="L111" i="3" s="1"/>
  <c r="M111" i="3" s="1"/>
  <c r="B110" i="3"/>
  <c r="H110" i="3" s="1"/>
  <c r="B109" i="3"/>
  <c r="G109" i="3" s="1"/>
  <c r="L109" i="3" s="1"/>
  <c r="M109" i="3" s="1"/>
  <c r="B108" i="3"/>
  <c r="G108" i="3" s="1"/>
  <c r="L108" i="3" s="1"/>
  <c r="M108" i="3" s="1"/>
  <c r="B107" i="3"/>
  <c r="H107" i="3" s="1"/>
  <c r="B106" i="3"/>
  <c r="H106" i="3" s="1"/>
  <c r="B105" i="3"/>
  <c r="H105" i="3" s="1"/>
  <c r="B104" i="3"/>
  <c r="G104" i="3" s="1"/>
  <c r="L104" i="3" s="1"/>
  <c r="M104" i="3" s="1"/>
  <c r="B103" i="3"/>
  <c r="H103" i="3" s="1"/>
  <c r="B102" i="3"/>
  <c r="H102" i="3" s="1"/>
  <c r="B101" i="3"/>
  <c r="H101" i="3" s="1"/>
  <c r="B100" i="3"/>
  <c r="H100" i="3" s="1"/>
  <c r="B99" i="3"/>
  <c r="H99" i="3" s="1"/>
  <c r="B98" i="3"/>
  <c r="H98" i="3" s="1"/>
  <c r="B97" i="3"/>
  <c r="H97" i="3" s="1"/>
  <c r="B96" i="3"/>
  <c r="G96" i="3" s="1"/>
  <c r="L96" i="3" s="1"/>
  <c r="M96" i="3" s="1"/>
  <c r="B95" i="3"/>
  <c r="H95" i="3" s="1"/>
  <c r="B94" i="3"/>
  <c r="H94" i="3" s="1"/>
  <c r="B93" i="3"/>
  <c r="G93" i="3" s="1"/>
  <c r="L93" i="3" s="1"/>
  <c r="M93" i="3" s="1"/>
  <c r="I89" i="3"/>
  <c r="C89" i="3"/>
  <c r="B86" i="3"/>
  <c r="G86" i="3" s="1"/>
  <c r="L86" i="3" s="1"/>
  <c r="M86" i="3" s="1"/>
  <c r="B85" i="3"/>
  <c r="H85" i="3" s="1"/>
  <c r="B84" i="3"/>
  <c r="G84" i="3" s="1"/>
  <c r="L84" i="3" s="1"/>
  <c r="M84" i="3" s="1"/>
  <c r="B83" i="3"/>
  <c r="H83" i="3" s="1"/>
  <c r="B82" i="3"/>
  <c r="H82" i="3" s="1"/>
  <c r="B81" i="3"/>
  <c r="H81" i="3" s="1"/>
  <c r="B80" i="3"/>
  <c r="H80" i="3" s="1"/>
  <c r="B79" i="3"/>
  <c r="H79" i="3" s="1"/>
  <c r="B78" i="3"/>
  <c r="H78" i="3" s="1"/>
  <c r="B77" i="3"/>
  <c r="H77" i="3" s="1"/>
  <c r="B76" i="3"/>
  <c r="H76" i="3" s="1"/>
  <c r="B75" i="3"/>
  <c r="G75" i="3" s="1"/>
  <c r="L75" i="3" s="1"/>
  <c r="M75" i="3" s="1"/>
  <c r="B74" i="3"/>
  <c r="H74" i="3" s="1"/>
  <c r="B73" i="3"/>
  <c r="G73" i="3" s="1"/>
  <c r="L73" i="3" s="1"/>
  <c r="M73" i="3" s="1"/>
  <c r="B72" i="3"/>
  <c r="G72" i="3" s="1"/>
  <c r="L72" i="3" s="1"/>
  <c r="M72" i="3" s="1"/>
  <c r="B71" i="3"/>
  <c r="H71" i="3" s="1"/>
  <c r="B70" i="3"/>
  <c r="G70" i="3" s="1"/>
  <c r="L70" i="3" s="1"/>
  <c r="M70" i="3" s="1"/>
  <c r="B69" i="3"/>
  <c r="H69" i="3" s="1"/>
  <c r="B68" i="3"/>
  <c r="G68" i="3" s="1"/>
  <c r="L68" i="3" s="1"/>
  <c r="M68" i="3" s="1"/>
  <c r="B67" i="3"/>
  <c r="H67" i="3" s="1"/>
  <c r="B66" i="3"/>
  <c r="H66" i="3" s="1"/>
  <c r="B65" i="3"/>
  <c r="H65" i="3" s="1"/>
  <c r="B64" i="3"/>
  <c r="G64" i="3" s="1"/>
  <c r="L64" i="3" s="1"/>
  <c r="M64" i="3" s="1"/>
  <c r="B63" i="3"/>
  <c r="H63" i="3" s="1"/>
  <c r="I59" i="3"/>
  <c r="C59" i="3"/>
  <c r="B56" i="3"/>
  <c r="H56" i="3" s="1"/>
  <c r="B55" i="3"/>
  <c r="H55" i="3" s="1"/>
  <c r="B54" i="3"/>
  <c r="H54" i="3" s="1"/>
  <c r="B53" i="3"/>
  <c r="G53" i="3" s="1"/>
  <c r="L53" i="3" s="1"/>
  <c r="M53" i="3" s="1"/>
  <c r="B52" i="3"/>
  <c r="G52" i="3" s="1"/>
  <c r="L52" i="3" s="1"/>
  <c r="M52" i="3" s="1"/>
  <c r="B51" i="3"/>
  <c r="H51" i="3" s="1"/>
  <c r="B50" i="3"/>
  <c r="G50" i="3" s="1"/>
  <c r="L50" i="3" s="1"/>
  <c r="M50" i="3" s="1"/>
  <c r="B49" i="3"/>
  <c r="G49" i="3" s="1"/>
  <c r="L49" i="3" s="1"/>
  <c r="M49" i="3" s="1"/>
  <c r="B48" i="3"/>
  <c r="H48" i="3" s="1"/>
  <c r="B47" i="3"/>
  <c r="H47" i="3" s="1"/>
  <c r="B46" i="3"/>
  <c r="G46" i="3" s="1"/>
  <c r="L46" i="3" s="1"/>
  <c r="M46" i="3" s="1"/>
  <c r="B45" i="3"/>
  <c r="H45" i="3" s="1"/>
  <c r="B44" i="3"/>
  <c r="G44" i="3" s="1"/>
  <c r="L44" i="3" s="1"/>
  <c r="M44" i="3" s="1"/>
  <c r="B43" i="3"/>
  <c r="H43" i="3" s="1"/>
  <c r="B42" i="3"/>
  <c r="H42" i="3" s="1"/>
  <c r="B41" i="3"/>
  <c r="H41" i="3" s="1"/>
  <c r="B40" i="3"/>
  <c r="H40" i="3" s="1"/>
  <c r="B39" i="3"/>
  <c r="H39" i="3" s="1"/>
  <c r="B38" i="3"/>
  <c r="H38" i="3" s="1"/>
  <c r="B37" i="3"/>
  <c r="G37" i="3" s="1"/>
  <c r="L37" i="3" s="1"/>
  <c r="M37" i="3" s="1"/>
  <c r="B36" i="3"/>
  <c r="G36" i="3" s="1"/>
  <c r="L36" i="3" s="1"/>
  <c r="M36" i="3" s="1"/>
  <c r="B35" i="3"/>
  <c r="H35" i="3" s="1"/>
  <c r="B34" i="3"/>
  <c r="H34" i="3" s="1"/>
  <c r="B33" i="3"/>
  <c r="H33" i="3" s="1"/>
  <c r="I29" i="3"/>
  <c r="C29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K23" i="3" l="1"/>
  <c r="K17" i="3"/>
  <c r="K11" i="3"/>
  <c r="K5" i="3"/>
  <c r="K26" i="3"/>
  <c r="K20" i="3"/>
  <c r="K14" i="3"/>
  <c r="K24" i="3"/>
  <c r="K18" i="3"/>
  <c r="K12" i="3"/>
  <c r="K6" i="3"/>
  <c r="N33" i="3"/>
  <c r="H37" i="3"/>
  <c r="K19" i="3"/>
  <c r="K21" i="3"/>
  <c r="K9" i="3"/>
  <c r="K3" i="3"/>
  <c r="K8" i="3"/>
  <c r="G27" i="3"/>
  <c r="K27" i="3"/>
  <c r="K25" i="3"/>
  <c r="K13" i="3"/>
  <c r="K7" i="3"/>
  <c r="K22" i="3"/>
  <c r="K10" i="3"/>
  <c r="K4" i="3"/>
  <c r="H111" i="3"/>
  <c r="B119" i="3"/>
  <c r="H119" i="3" s="1"/>
  <c r="H50" i="3"/>
  <c r="H86" i="3"/>
  <c r="G105" i="3"/>
  <c r="L105" i="3" s="1"/>
  <c r="M105" i="3" s="1"/>
  <c r="H27" i="3"/>
  <c r="B89" i="3"/>
  <c r="H89" i="3" s="1"/>
  <c r="H14" i="3"/>
  <c r="H13" i="3"/>
  <c r="G48" i="3"/>
  <c r="L48" i="3" s="1"/>
  <c r="M48" i="3" s="1"/>
  <c r="H20" i="3"/>
  <c r="H12" i="3"/>
  <c r="H75" i="3"/>
  <c r="H70" i="3"/>
  <c r="G56" i="3"/>
  <c r="L56" i="3" s="1"/>
  <c r="M56" i="3" s="1"/>
  <c r="H72" i="3"/>
  <c r="H3" i="3"/>
  <c r="H19" i="3"/>
  <c r="E29" i="3"/>
  <c r="H22" i="3"/>
  <c r="H6" i="3"/>
  <c r="K29" i="3"/>
  <c r="H7" i="3"/>
  <c r="H23" i="3"/>
  <c r="G8" i="3"/>
  <c r="G24" i="3"/>
  <c r="H21" i="3"/>
  <c r="H9" i="3"/>
  <c r="H25" i="3"/>
  <c r="G10" i="3"/>
  <c r="G26" i="3"/>
  <c r="G11" i="3"/>
  <c r="G20" i="3"/>
  <c r="G12" i="3"/>
  <c r="L12" i="3" s="1"/>
  <c r="M12" i="3" s="1"/>
  <c r="G13" i="3"/>
  <c r="G14" i="3"/>
  <c r="H15" i="3"/>
  <c r="H4" i="3"/>
  <c r="G16" i="3"/>
  <c r="L16" i="3" s="1"/>
  <c r="M16" i="3" s="1"/>
  <c r="H5" i="3"/>
  <c r="G17" i="3"/>
  <c r="H18" i="3"/>
  <c r="B29" i="3"/>
  <c r="G110" i="3"/>
  <c r="L110" i="3" s="1"/>
  <c r="M110" i="3" s="1"/>
  <c r="G55" i="3"/>
  <c r="L55" i="3" s="1"/>
  <c r="M55" i="3" s="1"/>
  <c r="G69" i="3"/>
  <c r="L69" i="3" s="1"/>
  <c r="M69" i="3" s="1"/>
  <c r="G19" i="3"/>
  <c r="G80" i="3"/>
  <c r="L80" i="3" s="1"/>
  <c r="M80" i="3" s="1"/>
  <c r="H104" i="3"/>
  <c r="G33" i="3"/>
  <c r="L33" i="3" s="1"/>
  <c r="G54" i="3"/>
  <c r="L54" i="3" s="1"/>
  <c r="M54" i="3" s="1"/>
  <c r="G18" i="3"/>
  <c r="G94" i="3"/>
  <c r="L94" i="3" s="1"/>
  <c r="M94" i="3" s="1"/>
  <c r="H68" i="3"/>
  <c r="H49" i="3"/>
  <c r="B59" i="3"/>
  <c r="H84" i="3"/>
  <c r="G95" i="3"/>
  <c r="L95" i="3" s="1"/>
  <c r="M95" i="3" s="1"/>
  <c r="G85" i="3"/>
  <c r="L85" i="3" s="1"/>
  <c r="M85" i="3" s="1"/>
  <c r="H108" i="3"/>
  <c r="H109" i="3"/>
  <c r="G112" i="3"/>
  <c r="L112" i="3" s="1"/>
  <c r="M112" i="3" s="1"/>
  <c r="G34" i="3"/>
  <c r="L34" i="3" s="1"/>
  <c r="M34" i="3" s="1"/>
  <c r="G76" i="3"/>
  <c r="L76" i="3" s="1"/>
  <c r="M76" i="3" s="1"/>
  <c r="H17" i="3"/>
  <c r="H53" i="3"/>
  <c r="G106" i="3"/>
  <c r="L106" i="3" s="1"/>
  <c r="M106" i="3" s="1"/>
  <c r="G38" i="3"/>
  <c r="L38" i="3" s="1"/>
  <c r="M38" i="3" s="1"/>
  <c r="H73" i="3"/>
  <c r="G39" i="3"/>
  <c r="L39" i="3" s="1"/>
  <c r="M39" i="3" s="1"/>
  <c r="G74" i="3"/>
  <c r="L74" i="3" s="1"/>
  <c r="M74" i="3" s="1"/>
  <c r="G100" i="3"/>
  <c r="L100" i="3" s="1"/>
  <c r="M100" i="3" s="1"/>
  <c r="G116" i="3"/>
  <c r="L116" i="3" s="1"/>
  <c r="M116" i="3" s="1"/>
  <c r="H96" i="3"/>
  <c r="G3" i="3"/>
  <c r="H93" i="3"/>
  <c r="H52" i="3"/>
  <c r="G101" i="3"/>
  <c r="L101" i="3" s="1"/>
  <c r="M101" i="3" s="1"/>
  <c r="H36" i="3"/>
  <c r="G4" i="3"/>
  <c r="G40" i="3"/>
  <c r="L40" i="3" s="1"/>
  <c r="M40" i="3" s="1"/>
  <c r="H16" i="3"/>
  <c r="G119" i="3"/>
  <c r="L119" i="3" s="1"/>
  <c r="M119" i="3" s="1"/>
  <c r="G67" i="3"/>
  <c r="L67" i="3" s="1"/>
  <c r="M67" i="3" s="1"/>
  <c r="G83" i="3"/>
  <c r="L83" i="3" s="1"/>
  <c r="M83" i="3" s="1"/>
  <c r="G103" i="3"/>
  <c r="L103" i="3" s="1"/>
  <c r="M103" i="3" s="1"/>
  <c r="G5" i="3"/>
  <c r="L5" i="3" s="1"/>
  <c r="M5" i="3" s="1"/>
  <c r="H8" i="3"/>
  <c r="G21" i="3"/>
  <c r="H24" i="3"/>
  <c r="G41" i="3"/>
  <c r="L41" i="3" s="1"/>
  <c r="M41" i="3" s="1"/>
  <c r="H44" i="3"/>
  <c r="H64" i="3"/>
  <c r="G77" i="3"/>
  <c r="L77" i="3" s="1"/>
  <c r="M77" i="3" s="1"/>
  <c r="G97" i="3"/>
  <c r="L97" i="3" s="1"/>
  <c r="M97" i="3" s="1"/>
  <c r="G113" i="3"/>
  <c r="L113" i="3" s="1"/>
  <c r="M113" i="3" s="1"/>
  <c r="G15" i="3"/>
  <c r="L15" i="3" s="1"/>
  <c r="M15" i="3" s="1"/>
  <c r="G35" i="3"/>
  <c r="L35" i="3" s="1"/>
  <c r="M35" i="3" s="1"/>
  <c r="G51" i="3"/>
  <c r="L51" i="3" s="1"/>
  <c r="M51" i="3" s="1"/>
  <c r="G71" i="3"/>
  <c r="L71" i="3" s="1"/>
  <c r="M71" i="3" s="1"/>
  <c r="G107" i="3"/>
  <c r="L107" i="3" s="1"/>
  <c r="M107" i="3" s="1"/>
  <c r="G9" i="3"/>
  <c r="L9" i="3" s="1"/>
  <c r="M9" i="3" s="1"/>
  <c r="G25" i="3"/>
  <c r="G65" i="3"/>
  <c r="L65" i="3" s="1"/>
  <c r="M65" i="3" s="1"/>
  <c r="G47" i="3"/>
  <c r="L47" i="3" s="1"/>
  <c r="M47" i="3" s="1"/>
  <c r="G45" i="3"/>
  <c r="L45" i="3" s="1"/>
  <c r="M45" i="3" s="1"/>
  <c r="G81" i="3"/>
  <c r="L81" i="3" s="1"/>
  <c r="M81" i="3" s="1"/>
  <c r="G6" i="3"/>
  <c r="G22" i="3"/>
  <c r="G42" i="3"/>
  <c r="L42" i="3" s="1"/>
  <c r="M42" i="3" s="1"/>
  <c r="G78" i="3"/>
  <c r="L78" i="3" s="1"/>
  <c r="M78" i="3" s="1"/>
  <c r="G98" i="3"/>
  <c r="L98" i="3" s="1"/>
  <c r="M98" i="3" s="1"/>
  <c r="G114" i="3"/>
  <c r="L114" i="3" s="1"/>
  <c r="M114" i="3" s="1"/>
  <c r="H11" i="3"/>
  <c r="G102" i="3"/>
  <c r="L102" i="3" s="1"/>
  <c r="M102" i="3" s="1"/>
  <c r="G66" i="3"/>
  <c r="L66" i="3" s="1"/>
  <c r="M66" i="3" s="1"/>
  <c r="G82" i="3"/>
  <c r="L82" i="3" s="1"/>
  <c r="M82" i="3" s="1"/>
  <c r="G7" i="3"/>
  <c r="H10" i="3"/>
  <c r="G23" i="3"/>
  <c r="H26" i="3"/>
  <c r="G43" i="3"/>
  <c r="L43" i="3" s="1"/>
  <c r="M43" i="3" s="1"/>
  <c r="H46" i="3"/>
  <c r="G63" i="3"/>
  <c r="L63" i="3" s="1"/>
  <c r="M63" i="3" s="1"/>
  <c r="G79" i="3"/>
  <c r="L79" i="3" s="1"/>
  <c r="M79" i="3" s="1"/>
  <c r="G99" i="3"/>
  <c r="L99" i="3" s="1"/>
  <c r="M99" i="3" s="1"/>
  <c r="G115" i="3"/>
  <c r="L115" i="3" s="1"/>
  <c r="M115" i="3" s="1"/>
  <c r="L3" i="3" l="1"/>
  <c r="M3" i="3" s="1"/>
  <c r="L11" i="3"/>
  <c r="M11" i="3" s="1"/>
  <c r="L17" i="3"/>
  <c r="M17" i="3" s="1"/>
  <c r="L10" i="3"/>
  <c r="M10" i="3" s="1"/>
  <c r="L18" i="3"/>
  <c r="M18" i="3" s="1"/>
  <c r="L23" i="3"/>
  <c r="M23" i="3" s="1"/>
  <c r="L24" i="3"/>
  <c r="M24" i="3" s="1"/>
  <c r="L22" i="3"/>
  <c r="M22" i="3" s="1"/>
  <c r="L6" i="3"/>
  <c r="M6" i="3" s="1"/>
  <c r="L14" i="3"/>
  <c r="M14" i="3" s="1"/>
  <c r="L20" i="3"/>
  <c r="M20" i="3" s="1"/>
  <c r="L26" i="3"/>
  <c r="M26" i="3" s="1"/>
  <c r="L4" i="3"/>
  <c r="M4" i="3" s="1"/>
  <c r="L27" i="3"/>
  <c r="M27" i="3" s="1"/>
  <c r="L21" i="3"/>
  <c r="M21" i="3" s="1"/>
  <c r="L19" i="3"/>
  <c r="M19" i="3" s="1"/>
  <c r="G89" i="3"/>
  <c r="L89" i="3" s="1"/>
  <c r="M89" i="3" s="1"/>
  <c r="L25" i="3"/>
  <c r="M25" i="3" s="1"/>
  <c r="M33" i="3"/>
  <c r="L8" i="3"/>
  <c r="M8" i="3" s="1"/>
  <c r="L13" i="3"/>
  <c r="M13" i="3" s="1"/>
  <c r="L7" i="3"/>
  <c r="M7" i="3" s="1"/>
  <c r="AC51" i="6"/>
  <c r="AC52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T19" i="6"/>
  <c r="D12" i="4"/>
  <c r="D10" i="4"/>
  <c r="D11" i="4"/>
  <c r="D9" i="4"/>
  <c r="D32" i="4" l="1"/>
  <c r="D44" i="4"/>
  <c r="D46" i="4"/>
  <c r="D8" i="4"/>
  <c r="D15" i="4"/>
  <c r="D34" i="4"/>
  <c r="D41" i="4"/>
  <c r="D40" i="4"/>
  <c r="D42" i="4"/>
  <c r="D13" i="4"/>
  <c r="D17" i="4"/>
  <c r="D37" i="4"/>
  <c r="D18" i="4"/>
  <c r="D20" i="4"/>
  <c r="D24" i="4"/>
  <c r="D28" i="4"/>
  <c r="D22" i="4"/>
  <c r="D33" i="4"/>
  <c r="D26" i="4"/>
  <c r="D35" i="4"/>
  <c r="D38" i="4"/>
  <c r="D43" i="4"/>
  <c r="D16" i="4"/>
  <c r="D45" i="4"/>
  <c r="D19" i="4"/>
  <c r="D21" i="4"/>
  <c r="D25" i="4"/>
  <c r="D27" i="4"/>
  <c r="D31" i="4"/>
  <c r="D23" i="4"/>
  <c r="D14" i="4"/>
  <c r="D7" i="4"/>
  <c r="D36" i="4"/>
  <c r="D39" i="4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2" i="6"/>
  <c r="AR3" i="6" l="1"/>
  <c r="AR2" i="6"/>
  <c r="AQ14" i="6"/>
  <c r="AP4" i="6"/>
  <c r="AN12" i="6"/>
  <c r="AR4" i="6"/>
  <c r="AQ3" i="6"/>
  <c r="AQ2" i="6"/>
  <c r="AR5" i="6"/>
  <c r="AQ4" i="6"/>
  <c r="AP14" i="6"/>
  <c r="AP2" i="6"/>
  <c r="AO14" i="6"/>
  <c r="AN13" i="6"/>
  <c r="AR6" i="6"/>
  <c r="AQ5" i="6"/>
  <c r="AP13" i="6"/>
  <c r="AO3" i="6"/>
  <c r="AO2" i="6"/>
  <c r="AN14" i="6"/>
  <c r="AO5" i="6"/>
  <c r="AR7" i="6"/>
  <c r="AQ6" i="6"/>
  <c r="AP12" i="6"/>
  <c r="AO4" i="6"/>
  <c r="AN3" i="6"/>
  <c r="AN2" i="6"/>
  <c r="AQ7" i="6"/>
  <c r="AP11" i="6"/>
  <c r="AN5" i="6"/>
  <c r="AR8" i="6"/>
  <c r="AN4" i="6"/>
  <c r="AR9" i="6"/>
  <c r="AQ8" i="6"/>
  <c r="AP10" i="6"/>
  <c r="AO6" i="6"/>
  <c r="AR10" i="6"/>
  <c r="AQ9" i="6"/>
  <c r="AP9" i="6"/>
  <c r="AO7" i="6"/>
  <c r="AN6" i="6"/>
  <c r="AR11" i="6"/>
  <c r="AQ10" i="6"/>
  <c r="AP8" i="6"/>
  <c r="AO8" i="6"/>
  <c r="AN7" i="6"/>
  <c r="AN11" i="6"/>
  <c r="AR12" i="6"/>
  <c r="AQ11" i="6"/>
  <c r="AP7" i="6"/>
  <c r="AO9" i="6"/>
  <c r="AN8" i="6"/>
  <c r="AO11" i="6"/>
  <c r="AP3" i="6"/>
  <c r="AR13" i="6"/>
  <c r="AQ12" i="6"/>
  <c r="AP6" i="6"/>
  <c r="AO10" i="6"/>
  <c r="AN9" i="6"/>
  <c r="AR14" i="6"/>
  <c r="AQ13" i="6"/>
  <c r="AP5" i="6"/>
  <c r="AN10" i="6"/>
  <c r="AO12" i="6"/>
  <c r="AO13" i="6"/>
  <c r="T12" i="6"/>
  <c r="T13" i="6"/>
  <c r="T14" i="6"/>
  <c r="T15" i="6"/>
  <c r="T16" i="6"/>
  <c r="T17" i="6"/>
  <c r="T18" i="6"/>
  <c r="T3" i="6"/>
  <c r="T4" i="6"/>
  <c r="T5" i="6"/>
  <c r="T6" i="6"/>
  <c r="T7" i="6"/>
  <c r="T8" i="6"/>
  <c r="T9" i="6"/>
  <c r="T10" i="6"/>
  <c r="T11" i="6"/>
  <c r="T2" i="6"/>
  <c r="Q12" i="6" l="1"/>
  <c r="Q13" i="6"/>
  <c r="Q14" i="6"/>
  <c r="Q26" i="6"/>
  <c r="E23" i="6"/>
  <c r="Q3" i="6"/>
  <c r="Q15" i="6"/>
  <c r="Q4" i="6"/>
  <c r="Q16" i="6"/>
  <c r="Q2" i="6"/>
  <c r="K14" i="6"/>
  <c r="K26" i="6"/>
  <c r="E12" i="6"/>
  <c r="E24" i="6"/>
  <c r="Q17" i="6"/>
  <c r="K3" i="6"/>
  <c r="K15" i="6"/>
  <c r="K27" i="6"/>
  <c r="E13" i="6"/>
  <c r="E25" i="6"/>
  <c r="Q18" i="6"/>
  <c r="K4" i="6"/>
  <c r="K16" i="6"/>
  <c r="K2" i="6"/>
  <c r="E14" i="6"/>
  <c r="E26" i="6"/>
  <c r="Q19" i="6"/>
  <c r="K5" i="6"/>
  <c r="K17" i="6"/>
  <c r="E3" i="6"/>
  <c r="E15" i="6"/>
  <c r="E27" i="6"/>
  <c r="Q20" i="6"/>
  <c r="K6" i="6"/>
  <c r="K18" i="6"/>
  <c r="E4" i="6"/>
  <c r="E16" i="6"/>
  <c r="E2" i="6"/>
  <c r="Q21" i="6"/>
  <c r="K7" i="6"/>
  <c r="K19" i="6"/>
  <c r="E5" i="6"/>
  <c r="E17" i="6"/>
  <c r="Q22" i="6"/>
  <c r="K8" i="6"/>
  <c r="K20" i="6"/>
  <c r="E6" i="6"/>
  <c r="E18" i="6"/>
  <c r="E9" i="6"/>
  <c r="K12" i="6"/>
  <c r="E10" i="6"/>
  <c r="Q27" i="6"/>
  <c r="K25" i="6"/>
  <c r="Q5" i="6"/>
  <c r="Q6" i="6"/>
  <c r="Q7" i="6"/>
  <c r="Q8" i="6"/>
  <c r="Q9" i="6"/>
  <c r="Q10" i="6"/>
  <c r="Q11" i="6"/>
  <c r="Q23" i="6"/>
  <c r="K9" i="6"/>
  <c r="K21" i="6"/>
  <c r="E7" i="6"/>
  <c r="E19" i="6"/>
  <c r="Q24" i="6"/>
  <c r="K10" i="6"/>
  <c r="K22" i="6"/>
  <c r="E8" i="6"/>
  <c r="E20" i="6"/>
  <c r="Q25" i="6"/>
  <c r="K11" i="6"/>
  <c r="K23" i="6"/>
  <c r="E21" i="6"/>
  <c r="K24" i="6"/>
  <c r="E22" i="6"/>
  <c r="K13" i="6"/>
  <c r="E11" i="6"/>
  <c r="L14" i="6"/>
  <c r="F15" i="6"/>
  <c r="F14" i="6"/>
  <c r="R14" i="6"/>
  <c r="R15" i="6"/>
  <c r="L15" i="6"/>
  <c r="O22" i="6"/>
  <c r="O6" i="6"/>
  <c r="I16" i="6"/>
  <c r="O21" i="6"/>
  <c r="O5" i="6"/>
  <c r="I15" i="6"/>
  <c r="O20" i="6"/>
  <c r="O4" i="6"/>
  <c r="I14" i="6"/>
  <c r="O19" i="6"/>
  <c r="O3" i="6"/>
  <c r="I13" i="6"/>
  <c r="O18" i="6"/>
  <c r="O2" i="6"/>
  <c r="I12" i="6"/>
  <c r="O17" i="6"/>
  <c r="I27" i="6"/>
  <c r="I11" i="6"/>
  <c r="O16" i="6"/>
  <c r="I26" i="6"/>
  <c r="I10" i="6"/>
  <c r="O15" i="6"/>
  <c r="I25" i="6"/>
  <c r="I9" i="6"/>
  <c r="O14" i="6"/>
  <c r="I24" i="6"/>
  <c r="I8" i="6"/>
  <c r="O13" i="6"/>
  <c r="I23" i="6"/>
  <c r="I7" i="6"/>
  <c r="O7" i="6"/>
  <c r="O12" i="6"/>
  <c r="I22" i="6"/>
  <c r="I6" i="6"/>
  <c r="O23" i="6"/>
  <c r="O27" i="6"/>
  <c r="O11" i="6"/>
  <c r="I21" i="6"/>
  <c r="I5" i="6"/>
  <c r="O26" i="6"/>
  <c r="O10" i="6"/>
  <c r="I20" i="6"/>
  <c r="I4" i="6"/>
  <c r="O25" i="6"/>
  <c r="O9" i="6"/>
  <c r="I19" i="6"/>
  <c r="I3" i="6"/>
  <c r="O24" i="6"/>
  <c r="O8" i="6"/>
  <c r="I18" i="6"/>
  <c r="I2" i="6"/>
  <c r="I17" i="6"/>
  <c r="C18" i="6"/>
  <c r="C16" i="6"/>
  <c r="C12" i="6"/>
  <c r="C9" i="6"/>
  <c r="C8" i="6"/>
  <c r="C5" i="6"/>
  <c r="C6" i="6"/>
  <c r="C3" i="6"/>
  <c r="C21" i="6"/>
  <c r="C11" i="6"/>
  <c r="C25" i="6"/>
  <c r="C20" i="6"/>
  <c r="C27" i="6"/>
  <c r="C10" i="6"/>
  <c r="C2" i="6"/>
  <c r="C24" i="6"/>
  <c r="C14" i="6"/>
  <c r="C19" i="6"/>
  <c r="C22" i="6"/>
  <c r="C13" i="6"/>
  <c r="C15" i="6"/>
  <c r="C7" i="6"/>
  <c r="C4" i="6"/>
  <c r="C17" i="6"/>
  <c r="C26" i="6"/>
  <c r="C23" i="6"/>
  <c r="J27" i="6"/>
  <c r="D27" i="6"/>
  <c r="P27" i="6"/>
  <c r="D26" i="6"/>
  <c r="J26" i="6"/>
  <c r="P26" i="6"/>
  <c r="P13" i="6"/>
  <c r="P10" i="6"/>
  <c r="P24" i="6"/>
  <c r="P12" i="6"/>
  <c r="P8" i="6"/>
  <c r="P11" i="6"/>
  <c r="P25" i="6"/>
  <c r="P9" i="6"/>
  <c r="P23" i="6"/>
  <c r="P7" i="6"/>
  <c r="P20" i="6"/>
  <c r="P2" i="6"/>
  <c r="P17" i="6"/>
  <c r="P16" i="6"/>
  <c r="P22" i="6"/>
  <c r="R22" i="6" s="1"/>
  <c r="P6" i="6"/>
  <c r="R6" i="6" s="1"/>
  <c r="P4" i="6"/>
  <c r="P3" i="6"/>
  <c r="P14" i="6"/>
  <c r="P21" i="6"/>
  <c r="P5" i="6"/>
  <c r="P19" i="6"/>
  <c r="P15" i="6"/>
  <c r="P18" i="6"/>
  <c r="R18" i="6" s="1"/>
  <c r="J16" i="6"/>
  <c r="D22" i="6"/>
  <c r="D6" i="6"/>
  <c r="J15" i="6"/>
  <c r="D21" i="6"/>
  <c r="D5" i="6"/>
  <c r="D8" i="6"/>
  <c r="J14" i="6"/>
  <c r="D20" i="6"/>
  <c r="D4" i="6"/>
  <c r="J19" i="6"/>
  <c r="L19" i="6" s="1"/>
  <c r="J13" i="6"/>
  <c r="L13" i="6" s="1"/>
  <c r="D19" i="6"/>
  <c r="F19" i="6" s="1"/>
  <c r="D3" i="6"/>
  <c r="J12" i="6"/>
  <c r="L12" i="6" s="1"/>
  <c r="D18" i="6"/>
  <c r="D2" i="6"/>
  <c r="J5" i="6"/>
  <c r="J3" i="6"/>
  <c r="J11" i="6"/>
  <c r="L11" i="6" s="1"/>
  <c r="D17" i="6"/>
  <c r="J21" i="6"/>
  <c r="D23" i="6"/>
  <c r="J10" i="6"/>
  <c r="L10" i="6" s="1"/>
  <c r="D16" i="6"/>
  <c r="D11" i="6"/>
  <c r="F11" i="6" s="1"/>
  <c r="J25" i="6"/>
  <c r="J9" i="6"/>
  <c r="L9" i="6" s="1"/>
  <c r="D15" i="6"/>
  <c r="D9" i="6"/>
  <c r="J24" i="6"/>
  <c r="J8" i="6"/>
  <c r="D14" i="6"/>
  <c r="J23" i="6"/>
  <c r="J7" i="6"/>
  <c r="L7" i="6" s="1"/>
  <c r="D13" i="6"/>
  <c r="F13" i="6" s="1"/>
  <c r="J17" i="6"/>
  <c r="J22" i="6"/>
  <c r="J6" i="6"/>
  <c r="L6" i="6" s="1"/>
  <c r="D12" i="6"/>
  <c r="D24" i="6"/>
  <c r="D7" i="6"/>
  <c r="J20" i="6"/>
  <c r="J4" i="6"/>
  <c r="L4" i="6" s="1"/>
  <c r="D10" i="6"/>
  <c r="D25" i="6"/>
  <c r="J18" i="6"/>
  <c r="J2" i="6"/>
  <c r="L22" i="6" l="1"/>
  <c r="R8" i="6"/>
  <c r="F21" i="6"/>
  <c r="F3" i="6"/>
  <c r="L20" i="6"/>
  <c r="F2" i="6"/>
  <c r="R4" i="6"/>
  <c r="F12" i="6"/>
  <c r="R12" i="6"/>
  <c r="L25" i="6"/>
  <c r="R16" i="6"/>
  <c r="F16" i="6"/>
  <c r="F23" i="6"/>
  <c r="L26" i="6"/>
  <c r="R7" i="6"/>
  <c r="F10" i="6"/>
  <c r="R27" i="6"/>
  <c r="F18" i="6"/>
  <c r="R24" i="6"/>
  <c r="R10" i="6"/>
  <c r="L17" i="6"/>
  <c r="L16" i="6"/>
  <c r="R17" i="6"/>
  <c r="R13" i="6"/>
  <c r="L2" i="6"/>
  <c r="R2" i="6"/>
  <c r="L18" i="6"/>
  <c r="R20" i="6"/>
  <c r="F25" i="6"/>
  <c r="L23" i="6"/>
  <c r="L21" i="6"/>
  <c r="F4" i="6"/>
  <c r="R19" i="6"/>
  <c r="R5" i="6"/>
  <c r="R23" i="6"/>
  <c r="L8" i="6"/>
  <c r="R21" i="6"/>
  <c r="R9" i="6"/>
  <c r="F27" i="6"/>
  <c r="L24" i="6"/>
  <c r="L3" i="6"/>
  <c r="L27" i="6"/>
  <c r="F7" i="6"/>
  <c r="L5" i="6"/>
  <c r="F5" i="6"/>
  <c r="R3" i="6"/>
  <c r="R11" i="6"/>
  <c r="F20" i="6"/>
  <c r="F8" i="6"/>
  <c r="F6" i="6"/>
  <c r="F9" i="6"/>
  <c r="F24" i="6"/>
  <c r="R25" i="6"/>
  <c r="F22" i="6"/>
  <c r="F17" i="6"/>
  <c r="R26" i="6"/>
  <c r="F26" i="6"/>
  <c r="F29" i="3"/>
  <c r="H29" i="3" s="1"/>
  <c r="G59" i="3"/>
  <c r="L59" i="3" s="1"/>
  <c r="M59" i="3" s="1"/>
  <c r="H59" i="3"/>
  <c r="G29" i="3" l="1"/>
  <c r="L29" i="3" s="1"/>
  <c r="M29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A9D884-41D4-4F23-8FAF-B4099F295645}" keepAlive="1" name="Query - Campaign Report" description="Connection to the 'Campaign Report' query in the workbook." type="5" refreshedVersion="8" background="1" saveData="1">
    <dbPr connection="Provider=Microsoft.Mashup.OleDb.1;Data Source=$Workbook$;Location=&quot;Campaign Report&quot;;Extended Properties=&quot;&quot;" command="SELECT * FROM [Campaign Report]"/>
  </connection>
  <connection id="2" xr16:uid="{20542735-18EE-4982-BC98-BD39D58DB8F2}" keepAlive="1" name="Query - Team Report" description="Connection to the 'Team Report' query in the workbook." type="5" refreshedVersion="8" background="1" saveData="1">
    <dbPr connection="Provider=Microsoft.Mashup.OleDb.1;Data Source=$Workbook$;Location=&quot;Team Report&quot;;Extended Properties=&quot;&quot;" command="SELECT * FROM [Team Report]"/>
  </connection>
</connections>
</file>

<file path=xl/sharedStrings.xml><?xml version="1.0" encoding="utf-8"?>
<sst xmlns="http://schemas.openxmlformats.org/spreadsheetml/2006/main" count="4004" uniqueCount="1008">
  <si>
    <t>Helpdesk:</t>
  </si>
  <si>
    <t>https://adapthealthhelpdesk.freshservice.com/support/tickets/</t>
  </si>
  <si>
    <t>https://hbos.freshdesk.com/support/tickets/new</t>
  </si>
  <si>
    <t>Dashboard</t>
  </si>
  <si>
    <t>Performance Dashboard (Revised) (google.com)</t>
  </si>
  <si>
    <t>Count of Days Grouping</t>
  </si>
  <si>
    <t>Column Labels</t>
  </si>
  <si>
    <t>WORKFLOW</t>
  </si>
  <si>
    <t>RPH</t>
  </si>
  <si>
    <t>Hrts</t>
  </si>
  <si>
    <t>Days to Work</t>
  </si>
  <si>
    <t>FTE</t>
  </si>
  <si>
    <t>SLA</t>
  </si>
  <si>
    <t>Row Labels</t>
  </si>
  <si>
    <t>3 or less</t>
  </si>
  <si>
    <t>4 to 7</t>
  </si>
  <si>
    <t>7 to 10</t>
  </si>
  <si>
    <t>11 to 14</t>
  </si>
  <si>
    <t>15 to 21</t>
  </si>
  <si>
    <t>22 to 30</t>
  </si>
  <si>
    <t>31 to 60</t>
  </si>
  <si>
    <t>61 to 90</t>
  </si>
  <si>
    <t>91 to 120</t>
  </si>
  <si>
    <t>121 to 180</t>
  </si>
  <si>
    <t>181 plus</t>
  </si>
  <si>
    <t>Grand Total</t>
  </si>
  <si>
    <t>DCAH</t>
  </si>
  <si>
    <t>Audit Only</t>
  </si>
  <si>
    <t>PCAH</t>
  </si>
  <si>
    <t>Benefit Verification</t>
  </si>
  <si>
    <t>Confirmed Sales</t>
  </si>
  <si>
    <t>Doctor Call</t>
  </si>
  <si>
    <t>Edocument</t>
  </si>
  <si>
    <t>Doctor Denied</t>
  </si>
  <si>
    <t>Edocument Exceptions List</t>
  </si>
  <si>
    <t>Doctor Research</t>
  </si>
  <si>
    <t>Inbound Call</t>
  </si>
  <si>
    <t>1% Abandoned Rate</t>
  </si>
  <si>
    <t>Fax Research</t>
  </si>
  <si>
    <t>DCAH Scrubs</t>
  </si>
  <si>
    <t>Patient Follow Up Call</t>
  </si>
  <si>
    <t>ARM/FTP</t>
  </si>
  <si>
    <t>Rework</t>
  </si>
  <si>
    <t>VSA</t>
  </si>
  <si>
    <t>Rx Chase</t>
  </si>
  <si>
    <t>Benver</t>
  </si>
  <si>
    <t>Aging 180 days</t>
  </si>
  <si>
    <t>Friday</t>
  </si>
  <si>
    <t>Aging 30 days</t>
  </si>
  <si>
    <t>UHC Special Project</t>
  </si>
  <si>
    <t>CDT review</t>
  </si>
  <si>
    <t>FaxRes</t>
  </si>
  <si>
    <t>DocRes</t>
  </si>
  <si>
    <t>DocMatch</t>
  </si>
  <si>
    <t>FaxMap</t>
  </si>
  <si>
    <t>AH DIAB pending</t>
  </si>
  <si>
    <t>FaxReview</t>
  </si>
  <si>
    <t>Email/VM Response</t>
  </si>
  <si>
    <t>Blank Held</t>
  </si>
  <si>
    <t>VA MCD</t>
  </si>
  <si>
    <t>TriCare</t>
  </si>
  <si>
    <t>AtRisk</t>
  </si>
  <si>
    <t>Age Resting Orders Review</t>
  </si>
  <si>
    <t>Days Grouping</t>
  </si>
  <si>
    <t>WKS16</t>
  </si>
  <si>
    <t>Status</t>
  </si>
  <si>
    <t>SubStatus</t>
  </si>
  <si>
    <t>-</t>
  </si>
  <si>
    <t>Call First</t>
  </si>
  <si>
    <t>EDocument</t>
  </si>
  <si>
    <t>Edocument Attempts Exhausted</t>
  </si>
  <si>
    <t>FTP Post</t>
  </si>
  <si>
    <t>Max Attempts</t>
  </si>
  <si>
    <t>POC Email Attempts Exhausted</t>
  </si>
  <si>
    <t>09/13/2024 - 12:30</t>
  </si>
  <si>
    <t>09/13/2024 EOD</t>
  </si>
  <si>
    <t>Doctor Match</t>
  </si>
  <si>
    <t>KIm to update the assigned HC right after the planning call</t>
  </si>
  <si>
    <t xml:space="preserve">Weng to update the number of completes and actual RPH and actual log in hours </t>
  </si>
  <si>
    <t>Callshaper campaign</t>
  </si>
  <si>
    <t>CDP Team</t>
  </si>
  <si>
    <t>Camp+Team</t>
  </si>
  <si>
    <t>PPH/RPH</t>
  </si>
  <si>
    <t>AH-AeroHeld-Aging-Prod</t>
  </si>
  <si>
    <t>Aging</t>
  </si>
  <si>
    <t>AH-SnapHeld-Aging-Prod</t>
  </si>
  <si>
    <t>AH-AeroHeld-ARM-Prod</t>
  </si>
  <si>
    <t>AH-SnapHeld-FTP-Prod</t>
  </si>
  <si>
    <t>ARM</t>
  </si>
  <si>
    <t>AH-SnapHeld-ARM-Prod</t>
  </si>
  <si>
    <t>AH-AeroHeld-FTP-Prod</t>
  </si>
  <si>
    <t>AH-SnapHeld-Benver-Prod</t>
  </si>
  <si>
    <t>BenVer</t>
  </si>
  <si>
    <t>AH-AeroHeld-Benver-Prod</t>
  </si>
  <si>
    <t>AH-SnapHeld-Special Project - Billable</t>
  </si>
  <si>
    <t>HBOSS BT Project-Blank Held</t>
  </si>
  <si>
    <t>AH-AeroHeld-Fax Map-Prod</t>
  </si>
  <si>
    <t>CDT,AddDoctor,GS Escal</t>
  </si>
  <si>
    <t>CDT Review</t>
  </si>
  <si>
    <t>PPH</t>
  </si>
  <si>
    <t>AH-SnapHeld-Special Project - NonBillable</t>
  </si>
  <si>
    <t>AH-SnapHeld-CS-Prod</t>
  </si>
  <si>
    <t>AH-AeroHeld-Special Project - Billable</t>
  </si>
  <si>
    <t>AH-AeroHeld-CS-Prod</t>
  </si>
  <si>
    <t>AH-SnapHeld-CommSurgDCAH-Prod</t>
  </si>
  <si>
    <t>AH-SnapHeld-DCAH-Prod</t>
  </si>
  <si>
    <t>AH-AEROHeld-DCAH-Prod</t>
  </si>
  <si>
    <t>AH-SnapHeld-DCScrubs-Prod</t>
  </si>
  <si>
    <t>AH-AEROHeld-DCScrubs-Prod</t>
  </si>
  <si>
    <t>HBOSS Portal Fax Mapping</t>
  </si>
  <si>
    <t>AH-SnapHeld-DM-Prod</t>
  </si>
  <si>
    <t>AH-AeroHeld-DM-Prod</t>
  </si>
  <si>
    <t>HBOSS Portal Doctor Research</t>
  </si>
  <si>
    <t>AH-AeroHeld-DocRes-Prod</t>
  </si>
  <si>
    <t>AH-SnapHeld-Edocument-Prod</t>
  </si>
  <si>
    <t>AH-AeroHeld-Edocument-Prod</t>
  </si>
  <si>
    <t>AH-SNAPHELD-FM-PROD</t>
  </si>
  <si>
    <t>Fax Mapping</t>
  </si>
  <si>
    <t>AH-AeroHeld-FM-Prod</t>
  </si>
  <si>
    <t>HBOSS Portal Fax Research</t>
  </si>
  <si>
    <t>AH-SnapHeld-FaxRes-Prod</t>
  </si>
  <si>
    <t>AH-SnapHeld-FaxRev-Prod</t>
  </si>
  <si>
    <t>Fax Review</t>
  </si>
  <si>
    <t>HBOSS BT Project-No Mask Revie</t>
  </si>
  <si>
    <t>No Mask</t>
  </si>
  <si>
    <t>AH-SnapHeld-PTCall-Prod</t>
  </si>
  <si>
    <t>AH-AeroHeld-PTCall-Prod</t>
  </si>
  <si>
    <t>AH-SnapHeld-CommSurgRewrk-Prod</t>
  </si>
  <si>
    <t>AH-SnapHeld-Rework-Prod</t>
  </si>
  <si>
    <t>AH-AeroHeld-Rework-Prod</t>
  </si>
  <si>
    <t>Tricare East RX Review</t>
  </si>
  <si>
    <t>HBOSS BT Project - UHC</t>
  </si>
  <si>
    <t>VA MEDICAID HELD</t>
  </si>
  <si>
    <t>VA Medicaid</t>
  </si>
  <si>
    <t>AH-SnapHeld-VSA-Prod</t>
  </si>
  <si>
    <t>AH-AEROHeld-VSA-Prod</t>
  </si>
  <si>
    <t>AH-AeroHeld-Special Project - NonBillable</t>
  </si>
  <si>
    <t>AH-AeroHeld-Nonbill</t>
  </si>
  <si>
    <t>Team</t>
  </si>
  <si>
    <t>Agent</t>
  </si>
  <si>
    <t>Agent Email</t>
  </si>
  <si>
    <t>Calls</t>
  </si>
  <si>
    <t>Calls/Hr</t>
  </si>
  <si>
    <t>Talk</t>
  </si>
  <si>
    <t>Wrap Up</t>
  </si>
  <si>
    <t>Conv</t>
  </si>
  <si>
    <t>Conv %</t>
  </si>
  <si>
    <t>Conv/Hr</t>
  </si>
  <si>
    <t>Points</t>
  </si>
  <si>
    <t>Points/Hr</t>
  </si>
  <si>
    <t>Logged In</t>
  </si>
  <si>
    <t>Eff %</t>
  </si>
  <si>
    <t>AAT</t>
  </si>
  <si>
    <t>AHT</t>
  </si>
  <si>
    <t>ATT</t>
  </si>
  <si>
    <t>AWT</t>
  </si>
  <si>
    <t>Administrative</t>
  </si>
  <si>
    <t>Break</t>
  </si>
  <si>
    <t>Coaching</t>
  </si>
  <si>
    <t>Unavailable</t>
  </si>
  <si>
    <t>QA Score</t>
  </si>
  <si>
    <t>Scorecards</t>
  </si>
  <si>
    <t>Passed</t>
  </si>
  <si>
    <t>Auto Fails</t>
  </si>
  <si>
    <t>Holds</t>
  </si>
  <si>
    <t>Hold</t>
  </si>
  <si>
    <t>Hold/Call</t>
  </si>
  <si>
    <t>Rings Tot</t>
  </si>
  <si>
    <t>Rings Ans</t>
  </si>
  <si>
    <t>Rings Decl</t>
  </si>
  <si>
    <t>Rings Timeout</t>
  </si>
  <si>
    <t>Rings Miss</t>
  </si>
  <si>
    <t>Rings Aban</t>
  </si>
  <si>
    <t>Site</t>
  </si>
  <si>
    <t>AgentName</t>
  </si>
  <si>
    <t>Campaign2</t>
  </si>
  <si>
    <t>Workflow</t>
  </si>
  <si>
    <t>CampMatch</t>
  </si>
  <si>
    <t>BCD</t>
  </si>
  <si>
    <t>Hours</t>
  </si>
  <si>
    <t>Completes</t>
  </si>
  <si>
    <r>
      <t>RPH/</t>
    </r>
    <r>
      <rPr>
        <b/>
        <sz val="10"/>
        <color theme="5" tint="0.59999389629810485"/>
        <rFont val="Arial"/>
        <family val="2"/>
      </rPr>
      <t>PPH</t>
    </r>
  </si>
  <si>
    <t>ILO</t>
  </si>
  <si>
    <t>BTG</t>
  </si>
  <si>
    <t>CAMPAIGN BASE</t>
  </si>
  <si>
    <t>Sum of Calls</t>
  </si>
  <si>
    <t>Sum of Logged In</t>
  </si>
  <si>
    <t>Sum of RPH</t>
  </si>
  <si>
    <t>Sum of PPH</t>
  </si>
  <si>
    <t>TEAM BASE</t>
  </si>
  <si>
    <t>Team Report</t>
  </si>
  <si>
    <t>BCD-Confirmed Sales</t>
  </si>
  <si>
    <t>ILO-Confirmed Sales</t>
  </si>
  <si>
    <t>BTG-Confirmed Sales</t>
  </si>
  <si>
    <t>BCD-Blank Held</t>
  </si>
  <si>
    <t>BCD-Edocument</t>
  </si>
  <si>
    <t>ILO-Edocument</t>
  </si>
  <si>
    <t>BTG-Edocument</t>
  </si>
  <si>
    <t>BCD-Edocument Prio</t>
  </si>
  <si>
    <t>ILO-Edocument Prio</t>
  </si>
  <si>
    <t>BTG-Edocument Prio</t>
  </si>
  <si>
    <t>BCD-DCAH scrubs</t>
  </si>
  <si>
    <t>ILO-DCAH scrubs</t>
  </si>
  <si>
    <t>BTG-DCAH scrubs</t>
  </si>
  <si>
    <t>BCD-Fax Research</t>
  </si>
  <si>
    <t>BCD-DCAH</t>
  </si>
  <si>
    <t>ILO-DCAH</t>
  </si>
  <si>
    <t>BTG-DCAH</t>
  </si>
  <si>
    <t>BCD-No Mask</t>
  </si>
  <si>
    <t>BCD-ARM</t>
  </si>
  <si>
    <t>ILO-ARM</t>
  </si>
  <si>
    <t>BTG-ARM</t>
  </si>
  <si>
    <t>BCD-UHC Special Project</t>
  </si>
  <si>
    <t>BCD-PCAH</t>
  </si>
  <si>
    <t>ILO-PCAH</t>
  </si>
  <si>
    <t>BTG-PCAH</t>
  </si>
  <si>
    <t>BCD-VA Medicaid</t>
  </si>
  <si>
    <t>BCD-VSA</t>
  </si>
  <si>
    <t>ILO-VSA</t>
  </si>
  <si>
    <t>BTG-VSA</t>
  </si>
  <si>
    <t>Grand Total-</t>
  </si>
  <si>
    <t>BCD-Benver</t>
  </si>
  <si>
    <t>ILO-Benver</t>
  </si>
  <si>
    <t>BTG-Benver</t>
  </si>
  <si>
    <t>BCD-Rework</t>
  </si>
  <si>
    <t>ILO-Rework</t>
  </si>
  <si>
    <t>BTG-Rework</t>
  </si>
  <si>
    <t>ILO-BenVer</t>
  </si>
  <si>
    <t>BCD-Doctor research</t>
  </si>
  <si>
    <t>ILO-Doctor research</t>
  </si>
  <si>
    <t>BTG-Doctor research</t>
  </si>
  <si>
    <t>ILO-CDT Review</t>
  </si>
  <si>
    <t>ILO-Fax Research</t>
  </si>
  <si>
    <t>BTG-Fax Research</t>
  </si>
  <si>
    <t>ILO-Doctor Match</t>
  </si>
  <si>
    <t>BCD-Fax Mapping</t>
  </si>
  <si>
    <t>ILO-Fax Mapping</t>
  </si>
  <si>
    <t>BTG-Fax Mapping</t>
  </si>
  <si>
    <t>BCD-Fax Review</t>
  </si>
  <si>
    <t>ILO-Fax Review</t>
  </si>
  <si>
    <t>BTG-Fax Review</t>
  </si>
  <si>
    <t>BCD-Doctor Match</t>
  </si>
  <si>
    <t>BTG-Doctor Match</t>
  </si>
  <si>
    <t>ILO-Blank Held</t>
  </si>
  <si>
    <t>BTG-Blank Held</t>
  </si>
  <si>
    <t>ILO-UHC Special Project</t>
  </si>
  <si>
    <t>BCD-Aging</t>
  </si>
  <si>
    <t>ILO-Aging</t>
  </si>
  <si>
    <t>BTG-Aging</t>
  </si>
  <si>
    <t>BTG-UHC Special Project</t>
  </si>
  <si>
    <t>BCD-Inbound Call</t>
  </si>
  <si>
    <t>ILO-Inbound Call</t>
  </si>
  <si>
    <t>BTG-Inbound Call</t>
  </si>
  <si>
    <t>BCD-CDT review</t>
  </si>
  <si>
    <t>ILO-CDT review</t>
  </si>
  <si>
    <t>BTG-CDT review</t>
  </si>
  <si>
    <t>BCD-Atrisk</t>
  </si>
  <si>
    <t>ILO-Atrisk</t>
  </si>
  <si>
    <t>BTG-Atrisk</t>
  </si>
  <si>
    <t>ILO-No Mask</t>
  </si>
  <si>
    <t>BTG-No Mask</t>
  </si>
  <si>
    <t>BCD-PAR RX Review</t>
  </si>
  <si>
    <t>ILO-PAR RX Review</t>
  </si>
  <si>
    <t>BTG-PAR RX Review</t>
  </si>
  <si>
    <t>ILO-VA Medicaid</t>
  </si>
  <si>
    <t>BTG-VA Medicaid</t>
  </si>
  <si>
    <t>OVERALL</t>
  </si>
  <si>
    <t>Campaign</t>
  </si>
  <si>
    <t>RECORDS ASSIGNED</t>
  </si>
  <si>
    <t>Headcount Assigned</t>
  </si>
  <si>
    <t>Hours Assigned</t>
  </si>
  <si>
    <t>Actual Log in hours</t>
  </si>
  <si>
    <t>RECORDS COMPLETED</t>
  </si>
  <si>
    <t>RECORDS REMAINING</t>
  </si>
  <si>
    <t>COMPLETION RATE</t>
  </si>
  <si>
    <t>RPH GOAL</t>
  </si>
  <si>
    <t>ACTUAL RPH/PPH</t>
  </si>
  <si>
    <t>HOURS NEEDED TO COMPLETE</t>
  </si>
  <si>
    <t>HC NEEDED TO COMPLETE</t>
  </si>
  <si>
    <t>SLA %</t>
  </si>
  <si>
    <t>Edocument Prio</t>
  </si>
  <si>
    <t>DCAH scrubs</t>
  </si>
  <si>
    <t>Patient Call</t>
  </si>
  <si>
    <t>Doctor research</t>
  </si>
  <si>
    <t>Aging Prod Held</t>
  </si>
  <si>
    <t>Atrisk</t>
  </si>
  <si>
    <t>PAR RX Review</t>
  </si>
  <si>
    <t>Total</t>
  </si>
  <si>
    <t>Headcount</t>
  </si>
  <si>
    <t>ACTUAL RPH</t>
  </si>
  <si>
    <t>BCD-Tricare East RX Review</t>
  </si>
  <si>
    <t>ILO-Tricare East RX Review</t>
  </si>
  <si>
    <t>BTG-Tricare East RX Review</t>
  </si>
  <si>
    <t>AH SNAPHELD - SP Team</t>
  </si>
  <si>
    <t>BCD-</t>
  </si>
  <si>
    <t>ILO-</t>
  </si>
  <si>
    <t>BTG-</t>
  </si>
  <si>
    <t>BCD-0</t>
  </si>
  <si>
    <t>ILO-0</t>
  </si>
  <si>
    <t>Sum of Points</t>
  </si>
  <si>
    <t>Diab FM</t>
  </si>
  <si>
    <t>AH DiabeticHeld-FaxMap-prod</t>
  </si>
  <si>
    <t>BCD	Geron Poda</t>
  </si>
  <si>
    <t>geron.poda@company.com</t>
  </si>
  <si>
    <t>0:02</t>
  </si>
  <si>
    <t>0:23</t>
  </si>
  <si>
    <t>0:08</t>
  </si>
  <si>
    <t>0:14</t>
  </si>
  <si>
    <t>0:00</t>
  </si>
  <si>
    <t>40:01</t>
  </si>
  <si>
    <t>BTG  Airel Tumambing</t>
  </si>
  <si>
    <t>airel.tumambing@company.com</t>
  </si>
  <si>
    <t>0:03</t>
  </si>
  <si>
    <t>1:07</t>
  </si>
  <si>
    <t>1:00</t>
  </si>
  <si>
    <t>0:06</t>
  </si>
  <si>
    <t>30:18</t>
  </si>
  <si>
    <t>ILO	Shara Marie Baler</t>
  </si>
  <si>
    <t>shara.baler@company.com</t>
  </si>
  <si>
    <t>0:01</t>
  </si>
  <si>
    <t>1:01</t>
  </si>
  <si>
    <t>0:41</t>
  </si>
  <si>
    <t>0:19</t>
  </si>
  <si>
    <t>54:38</t>
  </si>
  <si>
    <t>ILO	Arabella Joy Borromeo</t>
  </si>
  <si>
    <t>arabella.borromeo@company.com</t>
  </si>
  <si>
    <t>4:25</t>
  </si>
  <si>
    <t>1:24</t>
  </si>
  <si>
    <t>3:00</t>
  </si>
  <si>
    <t>ILO	Cherryl Rose Gabinera</t>
  </si>
  <si>
    <t>cherryl.gabinera@company.com</t>
  </si>
  <si>
    <t>4:36</t>
  </si>
  <si>
    <t>4:21</t>
  </si>
  <si>
    <t>0:15</t>
  </si>
  <si>
    <t>52:16</t>
  </si>
  <si>
    <t>ILO	Geric Perlas</t>
  </si>
  <si>
    <t>geric.perlas@company.com</t>
  </si>
  <si>
    <t>4:37</t>
  </si>
  <si>
    <t>4:30</t>
  </si>
  <si>
    <t>0:07</t>
  </si>
  <si>
    <t>52:43</t>
  </si>
  <si>
    <t>ILO	Kaixen Gail Arceta</t>
  </si>
  <si>
    <t>kaixen.arceta@company.com</t>
  </si>
  <si>
    <t>4:34</t>
  </si>
  <si>
    <t>3:41</t>
  </si>
  <si>
    <t>0:53</t>
  </si>
  <si>
    <t>ILO	Reynald Jomadiao</t>
  </si>
  <si>
    <t>reynald.jomadiao@company.com</t>
  </si>
  <si>
    <t>2:04</t>
  </si>
  <si>
    <t>1:58</t>
  </si>
  <si>
    <t>46:40</t>
  </si>
  <si>
    <t>ILO  Aliyaah Bianca Candoleza</t>
  </si>
  <si>
    <t>aliyaah.candoleza@company.com</t>
  </si>
  <si>
    <t>2:57</t>
  </si>
  <si>
    <t>2:46</t>
  </si>
  <si>
    <t>0:10</t>
  </si>
  <si>
    <t>36:32</t>
  </si>
  <si>
    <t>ILO  Deimple Jolo</t>
  </si>
  <si>
    <t>deimple.jolo@company.com</t>
  </si>
  <si>
    <t>3:11</t>
  </si>
  <si>
    <t>2:56</t>
  </si>
  <si>
    <t>27:44</t>
  </si>
  <si>
    <t>ILO  Hanz Kimcy Esing</t>
  </si>
  <si>
    <t>hanz.esing@company.com</t>
  </si>
  <si>
    <t>2:27</t>
  </si>
  <si>
    <t>0:55</t>
  </si>
  <si>
    <t>1:32</t>
  </si>
  <si>
    <t>12:27</t>
  </si>
  <si>
    <t>ILO  Rovy Belarmino</t>
  </si>
  <si>
    <t>rovy.belarmino@company.com</t>
  </si>
  <si>
    <t>6:06</t>
  </si>
  <si>
    <t>2:51</t>
  </si>
  <si>
    <t>3:14</t>
  </si>
  <si>
    <t>49:52</t>
  </si>
  <si>
    <t>ILO  Sherlem Tonio</t>
  </si>
  <si>
    <t>sherlem.tonio@company.com</t>
  </si>
  <si>
    <t>2:33</t>
  </si>
  <si>
    <t>2:19</t>
  </si>
  <si>
    <t>31:47</t>
  </si>
  <si>
    <t>BTG  Chrizza Marquez</t>
  </si>
  <si>
    <t>chrizza.marquez@company.com</t>
  </si>
  <si>
    <t>3:32</t>
  </si>
  <si>
    <t>3:24</t>
  </si>
  <si>
    <t>BTG  Sheila Rocero</t>
  </si>
  <si>
    <t>sheila.rocero@company.com</t>
  </si>
  <si>
    <t>6:10</t>
  </si>
  <si>
    <t>BTG Angelo Jade Garcia</t>
  </si>
  <si>
    <t>angelo.garcia@company.com</t>
  </si>
  <si>
    <t>0:31</t>
  </si>
  <si>
    <t>0:30</t>
  </si>
  <si>
    <t>0:28</t>
  </si>
  <si>
    <t>BTG Ariane Lois Mea</t>
  </si>
  <si>
    <t>ariane.mea@company.com</t>
  </si>
  <si>
    <t>5:30</t>
  </si>
  <si>
    <t>5:20</t>
  </si>
  <si>
    <t>0:09</t>
  </si>
  <si>
    <t>BTG Arlan Cordero</t>
  </si>
  <si>
    <t>arlan.cordero@company.com</t>
  </si>
  <si>
    <t>7:41</t>
  </si>
  <si>
    <t>7:33</t>
  </si>
  <si>
    <t>BTG Aunila Regodos</t>
  </si>
  <si>
    <t>aunila.regodos@company.com</t>
  </si>
  <si>
    <t>8:57</t>
  </si>
  <si>
    <t>8:45</t>
  </si>
  <si>
    <t>0:12</t>
  </si>
  <si>
    <t>BTG Austin Rg Abrenica</t>
  </si>
  <si>
    <t>austin.abrenica@company.com</t>
  </si>
  <si>
    <t>0:58</t>
  </si>
  <si>
    <t>0:46</t>
  </si>
  <si>
    <t>0:11</t>
  </si>
  <si>
    <t>18:56</t>
  </si>
  <si>
    <t>BTG Beverly Vargas</t>
  </si>
  <si>
    <t>beverly.vargas@company.com</t>
  </si>
  <si>
    <t>12:42</t>
  </si>
  <si>
    <t>12:00</t>
  </si>
  <si>
    <t>0:42</t>
  </si>
  <si>
    <t>BTG Christian Sulabo</t>
  </si>
  <si>
    <t>christian.sulabo@company.com</t>
  </si>
  <si>
    <t>1:23</t>
  </si>
  <si>
    <t>1:22</t>
  </si>
  <si>
    <t>BTG Cresia Mae Millave</t>
  </si>
  <si>
    <t>cresia.millave@company.com</t>
  </si>
  <si>
    <t>10:12</t>
  </si>
  <si>
    <t>9:39</t>
  </si>
  <si>
    <t>0:33</t>
  </si>
  <si>
    <t>BTG Deo Medrano</t>
  </si>
  <si>
    <t>deo.medrano@company.com</t>
  </si>
  <si>
    <t>7:36</t>
  </si>
  <si>
    <t>6:55</t>
  </si>
  <si>
    <t>BTG Desiree Joy Basco</t>
  </si>
  <si>
    <t>desiree.basco@company.com</t>
  </si>
  <si>
    <t>11:38</t>
  </si>
  <si>
    <t>11:30</t>
  </si>
  <si>
    <t>BTG Jaja Zapata</t>
  </si>
  <si>
    <t>jaja.zapata@company.com</t>
  </si>
  <si>
    <t>11:00</t>
  </si>
  <si>
    <t>10:25</t>
  </si>
  <si>
    <t>0:34</t>
  </si>
  <si>
    <t>BTG Jerimo Dave Reyes</t>
  </si>
  <si>
    <t>jerimo.reyes@company.com</t>
  </si>
  <si>
    <t>0:44</t>
  </si>
  <si>
    <t>3:15</t>
  </si>
  <si>
    <t>3:06</t>
  </si>
  <si>
    <t>BTG Jerlyn Albiso</t>
  </si>
  <si>
    <t>jerlyn.albiso@company.com</t>
  </si>
  <si>
    <t>0:45</t>
  </si>
  <si>
    <t>1:25</t>
  </si>
  <si>
    <t>BTG Jershey Macaraig</t>
  </si>
  <si>
    <t>jershey.macaraig@company.com</t>
  </si>
  <si>
    <t>0:43</t>
  </si>
  <si>
    <t>2:59</t>
  </si>
  <si>
    <t>2:49</t>
  </si>
  <si>
    <t>BTG Jhessusa Andal</t>
  </si>
  <si>
    <t>jhessusa.andal@company.com</t>
  </si>
  <si>
    <t>2:34</t>
  </si>
  <si>
    <t>2:25</t>
  </si>
  <si>
    <t>BTG John Lloyd Violante</t>
  </si>
  <si>
    <t>john.violante@company.com</t>
  </si>
  <si>
    <t>36:06</t>
  </si>
  <si>
    <t>BTG Jomar Untalan</t>
  </si>
  <si>
    <t>jomar.untalan@company.com</t>
  </si>
  <si>
    <t>6:57</t>
  </si>
  <si>
    <t>6:33</t>
  </si>
  <si>
    <t>0:24</t>
  </si>
  <si>
    <t>BTG Joshua James Maranan</t>
  </si>
  <si>
    <t>joshua.maranan@company.com</t>
  </si>
  <si>
    <t>0:56</t>
  </si>
  <si>
    <t>3:28</t>
  </si>
  <si>
    <t>3:07</t>
  </si>
  <si>
    <t>0:21</t>
  </si>
  <si>
    <t>BTG Kathy Mendoza</t>
  </si>
  <si>
    <t>kathy.mendoza@company.com</t>
  </si>
  <si>
    <t>5:29</t>
  </si>
  <si>
    <t>5:08</t>
  </si>
  <si>
    <t>BTG Kean Jezzel Papa</t>
  </si>
  <si>
    <t>kean.papa@company.com</t>
  </si>
  <si>
    <t>1:50</t>
  </si>
  <si>
    <t>3:35</t>
  </si>
  <si>
    <t>31:30</t>
  </si>
  <si>
    <t>BTG Kia Delizo</t>
  </si>
  <si>
    <t>kia.delizo@company.com</t>
  </si>
  <si>
    <t>0:54</t>
  </si>
  <si>
    <t>1:15</t>
  </si>
  <si>
    <t>24:59</t>
  </si>
  <si>
    <t>BTG Liemund Laquerez</t>
  </si>
  <si>
    <t>liemund.laquerez@company.com</t>
  </si>
  <si>
    <t>0:37</t>
  </si>
  <si>
    <t>1:56</t>
  </si>
  <si>
    <t>1:52</t>
  </si>
  <si>
    <t>BTG Ma Francia Tandaan</t>
  </si>
  <si>
    <t>ma.tandaan@company.com</t>
  </si>
  <si>
    <t>8:39</t>
  </si>
  <si>
    <t>8:31</t>
  </si>
  <si>
    <t>BTG Maila Donisa</t>
  </si>
  <si>
    <t>maila.donisa@company.com</t>
  </si>
  <si>
    <t>BTG Margarette Gay Ilagan</t>
  </si>
  <si>
    <t>margarette.ilagan@company.com</t>
  </si>
  <si>
    <t>5:02</t>
  </si>
  <si>
    <t>0:32</t>
  </si>
  <si>
    <t>BTG Maria Fidelis Araja</t>
  </si>
  <si>
    <t>maria.araja@company.com</t>
  </si>
  <si>
    <t>1:11</t>
  </si>
  <si>
    <t>5:10</t>
  </si>
  <si>
    <t>5:04</t>
  </si>
  <si>
    <t>0:05</t>
  </si>
  <si>
    <t>BTG Mikee Cryz</t>
  </si>
  <si>
    <t>mikee.cryz@company.com</t>
  </si>
  <si>
    <t>1:02</t>
  </si>
  <si>
    <t>3:22</t>
  </si>
  <si>
    <t>3:20</t>
  </si>
  <si>
    <t>BTG Nicko Masangqui</t>
  </si>
  <si>
    <t>nicko.masangqui@company.com</t>
  </si>
  <si>
    <t>2:42</t>
  </si>
  <si>
    <t>2:39</t>
  </si>
  <si>
    <t>BTG Quene Mae Rotoni</t>
  </si>
  <si>
    <t>quene.rotoni@company.com</t>
  </si>
  <si>
    <t>0:35</t>
  </si>
  <si>
    <t>2:36</t>
  </si>
  <si>
    <t>2:31</t>
  </si>
  <si>
    <t>BTG Ramel Ubana</t>
  </si>
  <si>
    <t>ramel.ubana@company.com</t>
  </si>
  <si>
    <t>1:18</t>
  </si>
  <si>
    <t>1:43</t>
  </si>
  <si>
    <t>BTG Ruthmabelle Alday</t>
  </si>
  <si>
    <t>ruthmabelle.alday@company.com</t>
  </si>
  <si>
    <t>14:09</t>
  </si>
  <si>
    <t>13:52</t>
  </si>
  <si>
    <t>0:17</t>
  </si>
  <si>
    <t>BTG Sernad De Silva</t>
  </si>
  <si>
    <t>sernad.desilva@company.com</t>
  </si>
  <si>
    <t>0:36</t>
  </si>
  <si>
    <t>2:05</t>
  </si>
  <si>
    <t>2:03</t>
  </si>
  <si>
    <t>2:45</t>
  </si>
  <si>
    <t>4:07</t>
  </si>
  <si>
    <t>3:48</t>
  </si>
  <si>
    <t>3:02</t>
  </si>
  <si>
    <t>4:45</t>
  </si>
  <si>
    <t>ILO  Aira Plaza</t>
  </si>
  <si>
    <t>aira.plaza@company.com</t>
  </si>
  <si>
    <t>1:21</t>
  </si>
  <si>
    <t>2:22</t>
  </si>
  <si>
    <t>1:37</t>
  </si>
  <si>
    <t>1:31</t>
  </si>
  <si>
    <t>2:52</t>
  </si>
  <si>
    <t>2:18</t>
  </si>
  <si>
    <t>ILO  John Lawrence Esteva</t>
  </si>
  <si>
    <t>john.esteva@company.com</t>
  </si>
  <si>
    <t>1:26</t>
  </si>
  <si>
    <t>2:29</t>
  </si>
  <si>
    <t>BCD Aguijon Antonio Jr</t>
  </si>
  <si>
    <t>aguijon.antonio@company.com</t>
  </si>
  <si>
    <t>3:49</t>
  </si>
  <si>
    <t>26:43</t>
  </si>
  <si>
    <t>BCD Darnel Torres</t>
  </si>
  <si>
    <t>darnel.torres@company.com</t>
  </si>
  <si>
    <t>1:46</t>
  </si>
  <si>
    <t>0:52</t>
  </si>
  <si>
    <t>27:19</t>
  </si>
  <si>
    <t>BCD Karen Joy Canlas</t>
  </si>
  <si>
    <t>karen.canlas@company.com</t>
  </si>
  <si>
    <t>3:27</t>
  </si>
  <si>
    <t>30:31</t>
  </si>
  <si>
    <t>BTG	Meynard Selera</t>
  </si>
  <si>
    <t>meynard.selera@company.com</t>
  </si>
  <si>
    <t>4:50</t>
  </si>
  <si>
    <t>BTG  Angela Mae Daluz</t>
  </si>
  <si>
    <t>angela.daluz@company.com</t>
  </si>
  <si>
    <t>BTG  Bing Bong Lescano</t>
  </si>
  <si>
    <t>bing.lescano@company.com</t>
  </si>
  <si>
    <t>3:23</t>
  </si>
  <si>
    <t>26:12</t>
  </si>
  <si>
    <t>BTG  Erica DeGuzman</t>
  </si>
  <si>
    <t>erica.deguzman@company.com</t>
  </si>
  <si>
    <t>1:44</t>
  </si>
  <si>
    <t>29:08</t>
  </si>
  <si>
    <t>BTG  Grasie Abanilla</t>
  </si>
  <si>
    <t>grasie.abanilla@company.com</t>
  </si>
  <si>
    <t>0:18</t>
  </si>
  <si>
    <t>5:33</t>
  </si>
  <si>
    <t>5:27</t>
  </si>
  <si>
    <t>25:05</t>
  </si>
  <si>
    <t>BTG  Janciel Carandang</t>
  </si>
  <si>
    <t>janciel.carandang@company.com</t>
  </si>
  <si>
    <t>1:27</t>
  </si>
  <si>
    <t>1:20</t>
  </si>
  <si>
    <t>21:14</t>
  </si>
  <si>
    <t>BTG  Jason De Villa</t>
  </si>
  <si>
    <t>jason.devilla@company.com</t>
  </si>
  <si>
    <t>3:42</t>
  </si>
  <si>
    <t>3:33</t>
  </si>
  <si>
    <t>24:39</t>
  </si>
  <si>
    <t>BTG  Loren Villanueva</t>
  </si>
  <si>
    <t>loren.villanueva@company.com</t>
  </si>
  <si>
    <t>24:17</t>
  </si>
  <si>
    <t>BTG  Ma. Rustia Camil Denson</t>
  </si>
  <si>
    <t>ma.denson@company.com</t>
  </si>
  <si>
    <t>3:05</t>
  </si>
  <si>
    <t>3:03</t>
  </si>
  <si>
    <t>BTG  Renz Irvin Mata</t>
  </si>
  <si>
    <t>renz.mata@company.com</t>
  </si>
  <si>
    <t>29:18</t>
  </si>
  <si>
    <t>BCD	Edrian Apillano</t>
  </si>
  <si>
    <t>edrian.apillano@company.com</t>
  </si>
  <si>
    <t>5:57</t>
  </si>
  <si>
    <t>3:44</t>
  </si>
  <si>
    <t>0:59</t>
  </si>
  <si>
    <t>2:44</t>
  </si>
  <si>
    <t>38:17</t>
  </si>
  <si>
    <t>BCD	Janine Hisita</t>
  </si>
  <si>
    <t>janine.hisita@company.com</t>
  </si>
  <si>
    <t>4:18</t>
  </si>
  <si>
    <t>4:14</t>
  </si>
  <si>
    <t>0:04</t>
  </si>
  <si>
    <t>48:45</t>
  </si>
  <si>
    <t>BCD	Nelrose Saguire</t>
  </si>
  <si>
    <t>nelrose.saguire@company.com</t>
  </si>
  <si>
    <t>6:44</t>
  </si>
  <si>
    <t>4:23</t>
  </si>
  <si>
    <t>2:21</t>
  </si>
  <si>
    <t>BCD	Rimakezia Margate</t>
  </si>
  <si>
    <t>rimakezia.margate@company.com</t>
  </si>
  <si>
    <t>6:19</t>
  </si>
  <si>
    <t>3:55</t>
  </si>
  <si>
    <t>2:55</t>
  </si>
  <si>
    <t>BCD	Ronnie Alvarez</t>
  </si>
  <si>
    <t>ronnie.alvarez@company.com</t>
  </si>
  <si>
    <t>2:32</t>
  </si>
  <si>
    <t>10:43</t>
  </si>
  <si>
    <t>7:59</t>
  </si>
  <si>
    <t>19:31</t>
  </si>
  <si>
    <t>BCD	Roter John Espanola</t>
  </si>
  <si>
    <t>roter.espanola@company.com</t>
  </si>
  <si>
    <t>4:02</t>
  </si>
  <si>
    <t>5:13</t>
  </si>
  <si>
    <t>3:30</t>
  </si>
  <si>
    <t>1:42</t>
  </si>
  <si>
    <t>41:44</t>
  </si>
  <si>
    <t>BCD	Ryan Francisco</t>
  </si>
  <si>
    <t>ryan.francisco@company.com</t>
  </si>
  <si>
    <t>39:20</t>
  </si>
  <si>
    <t>11:51</t>
  </si>
  <si>
    <t>10:21</t>
  </si>
  <si>
    <t>1:30</t>
  </si>
  <si>
    <t>42:34</t>
  </si>
  <si>
    <t>BCD Archie Ledesma</t>
  </si>
  <si>
    <t>archie.ledesma@company.com</t>
  </si>
  <si>
    <t>6:17</t>
  </si>
  <si>
    <t>4:16</t>
  </si>
  <si>
    <t>2:01</t>
  </si>
  <si>
    <t>36:11</t>
  </si>
  <si>
    <t>BCD Carejun Umbao</t>
  </si>
  <si>
    <t>carejun.umbao@company.com</t>
  </si>
  <si>
    <t>8:35</t>
  </si>
  <si>
    <t>6:09</t>
  </si>
  <si>
    <t>3:16</t>
  </si>
  <si>
    <t>2:53</t>
  </si>
  <si>
    <t>35:49</t>
  </si>
  <si>
    <t>BCD Divine Grace Benignos</t>
  </si>
  <si>
    <t>divine.benignos@company.com</t>
  </si>
  <si>
    <t>4:27</t>
  </si>
  <si>
    <t>65:52</t>
  </si>
  <si>
    <t>BCD LA Blessed Ann Gonzales</t>
  </si>
  <si>
    <t>blessed.gonzales@company.com</t>
  </si>
  <si>
    <t>7:29</t>
  </si>
  <si>
    <t>1:55</t>
  </si>
  <si>
    <t>BCD Narciso Aguilar</t>
  </si>
  <si>
    <t>narciso.aguilar@company.com</t>
  </si>
  <si>
    <t>4:33</t>
  </si>
  <si>
    <t>61:43</t>
  </si>
  <si>
    <t>BTG  Aljon Maranan</t>
  </si>
  <si>
    <t>aljon.maranan@company.com</t>
  </si>
  <si>
    <t>0:47</t>
  </si>
  <si>
    <t>53:18</t>
  </si>
  <si>
    <t>BTG  Jayvee Recinto</t>
  </si>
  <si>
    <t>jayvee.recinto@company.com</t>
  </si>
  <si>
    <t>1:34</t>
  </si>
  <si>
    <t>30:48</t>
  </si>
  <si>
    <t>BTG  Joshua Tiquis</t>
  </si>
  <si>
    <t>joshua.tiquis@company.com</t>
  </si>
  <si>
    <t>16:19</t>
  </si>
  <si>
    <t>BTG  Richard John Reyes</t>
  </si>
  <si>
    <t>richard.reyes@company.com</t>
  </si>
  <si>
    <t>1:33</t>
  </si>
  <si>
    <t>1:28</t>
  </si>
  <si>
    <t>5:38</t>
  </si>
  <si>
    <t>18:10</t>
  </si>
  <si>
    <t>0:57</t>
  </si>
  <si>
    <t>31:58</t>
  </si>
  <si>
    <t>4:43</t>
  </si>
  <si>
    <t>4:24</t>
  </si>
  <si>
    <t>31:06</t>
  </si>
  <si>
    <t>26:50</t>
  </si>
  <si>
    <t>2:11</t>
  </si>
  <si>
    <t>32:19</t>
  </si>
  <si>
    <t>2:06</t>
  </si>
  <si>
    <t>29:12</t>
  </si>
  <si>
    <t>2:15</t>
  </si>
  <si>
    <t>2:47</t>
  </si>
  <si>
    <t>23:30</t>
  </si>
  <si>
    <t>8:49</t>
  </si>
  <si>
    <t>7:16</t>
  </si>
  <si>
    <t>6:11</t>
  </si>
  <si>
    <t>5:53</t>
  </si>
  <si>
    <t>26:55</t>
  </si>
  <si>
    <t>2:23</t>
  </si>
  <si>
    <t>2:20</t>
  </si>
  <si>
    <t>30:32</t>
  </si>
  <si>
    <t>1:38</t>
  </si>
  <si>
    <t>1:36</t>
  </si>
  <si>
    <t>32:34</t>
  </si>
  <si>
    <t>8:05</t>
  </si>
  <si>
    <t>6:41</t>
  </si>
  <si>
    <t>28:30</t>
  </si>
  <si>
    <t>3:04</t>
  </si>
  <si>
    <t>30:04</t>
  </si>
  <si>
    <t>6:03</t>
  </si>
  <si>
    <t>5:52</t>
  </si>
  <si>
    <t>27:08</t>
  </si>
  <si>
    <t>4:10</t>
  </si>
  <si>
    <t>3:57</t>
  </si>
  <si>
    <t>0:13</t>
  </si>
  <si>
    <t>30:17</t>
  </si>
  <si>
    <t>1:48</t>
  </si>
  <si>
    <t>18:05</t>
  </si>
  <si>
    <t>ILO	Argelyn Agudo</t>
  </si>
  <si>
    <t>argelyn.agudo@company.com</t>
  </si>
  <si>
    <t>48:16</t>
  </si>
  <si>
    <t>ILO	Daryl Bullo</t>
  </si>
  <si>
    <t>daryl.bullo@company.com</t>
  </si>
  <si>
    <t>1:03</t>
  </si>
  <si>
    <t>31:53</t>
  </si>
  <si>
    <t>ILO	Ena Angela Puray</t>
  </si>
  <si>
    <t>ena.puray@company.com</t>
  </si>
  <si>
    <t>41:03</t>
  </si>
  <si>
    <t>2:54</t>
  </si>
  <si>
    <t>58:17</t>
  </si>
  <si>
    <t>ILO	Laika Resco</t>
  </si>
  <si>
    <t>laika.resco@company.com</t>
  </si>
  <si>
    <t>2:00</t>
  </si>
  <si>
    <t>ILO	Ricky Mendiro</t>
  </si>
  <si>
    <t>ricky.mendiro@company.com</t>
  </si>
  <si>
    <t>0:26</t>
  </si>
  <si>
    <t>59:18</t>
  </si>
  <si>
    <t>ILO	Wellyn Grace Cayme</t>
  </si>
  <si>
    <t>wellyn.cayme@company.com</t>
  </si>
  <si>
    <t>1:16</t>
  </si>
  <si>
    <t>56:23</t>
  </si>
  <si>
    <t>ILO  Gabriel Anthony Astrologo</t>
  </si>
  <si>
    <t>gabriel.astrologo@company.com</t>
  </si>
  <si>
    <t>35:10</t>
  </si>
  <si>
    <t>24:22</t>
  </si>
  <si>
    <t>ILO  Mikaela Judith Jacela</t>
  </si>
  <si>
    <t>mikaela.jacela@company.com</t>
  </si>
  <si>
    <t>35:17</t>
  </si>
  <si>
    <t>ILO  Ricksie Jean DelaCruz</t>
  </si>
  <si>
    <t>ricksie.delacruz@company.com</t>
  </si>
  <si>
    <t>3:18</t>
  </si>
  <si>
    <t>ILO	Christine Joy Lanzarote</t>
  </si>
  <si>
    <t>joy.lanzarote@company.com</t>
  </si>
  <si>
    <t>2:14</t>
  </si>
  <si>
    <t>1:59</t>
  </si>
  <si>
    <t>58:23</t>
  </si>
  <si>
    <t>BCD	Nino Bruno Soluta</t>
  </si>
  <si>
    <t>bruno.soluta@company.com</t>
  </si>
  <si>
    <t>0:22</t>
  </si>
  <si>
    <t>0:16</t>
  </si>
  <si>
    <t>40:22</t>
  </si>
  <si>
    <t>BCD Joyce Altamera</t>
  </si>
  <si>
    <t>joyce.altamera@company.com</t>
  </si>
  <si>
    <t>39:54</t>
  </si>
  <si>
    <t>BTG  Rose Respecia</t>
  </si>
  <si>
    <t>rose.respecia@company.com</t>
  </si>
  <si>
    <t>ILO	Abegail Casipe</t>
  </si>
  <si>
    <t>abegail.casipe@company.com</t>
  </si>
  <si>
    <t>ILO	Eljan Estanol</t>
  </si>
  <si>
    <t>eljan.estanol@company.com</t>
  </si>
  <si>
    <t>32:31</t>
  </si>
  <si>
    <t>ILO	Kent John Sajonia</t>
  </si>
  <si>
    <t>kent.sajonia@company.com</t>
  </si>
  <si>
    <t>40:40</t>
  </si>
  <si>
    <t>ILO	Kirk Daniel Cautivar</t>
  </si>
  <si>
    <t>kirk.cautivar@company.com</t>
  </si>
  <si>
    <t>57:02</t>
  </si>
  <si>
    <t>ILO	Krishna Tolentino</t>
  </si>
  <si>
    <t>krishna.tolentino@company.com</t>
  </si>
  <si>
    <t>49:34</t>
  </si>
  <si>
    <t>ILO Shine Sarceno</t>
  </si>
  <si>
    <t>shine.sarceno@company.com</t>
  </si>
  <si>
    <t>1:47</t>
  </si>
  <si>
    <t>BCD	Don Ceasar</t>
  </si>
  <si>
    <t>don.ceasar@company.com</t>
  </si>
  <si>
    <t>8:44</t>
  </si>
  <si>
    <t>33:41</t>
  </si>
  <si>
    <t>48:35</t>
  </si>
  <si>
    <t>ILO  Reymar Brunda</t>
  </si>
  <si>
    <t>reymar.brunda@company.com</t>
  </si>
  <si>
    <t>51:31</t>
  </si>
  <si>
    <t>BCD	Jeshurun Corpus</t>
  </si>
  <si>
    <t>jeshurun.corpus@company.com</t>
  </si>
  <si>
    <t>20:45</t>
  </si>
  <si>
    <t>BCD Gabrielle Angela Alcala</t>
  </si>
  <si>
    <t>gabrielle.alcala@company.com</t>
  </si>
  <si>
    <t>39:07</t>
  </si>
  <si>
    <t>1:05</t>
  </si>
  <si>
    <t>0:20</t>
  </si>
  <si>
    <t>BCD Julius Canasares</t>
  </si>
  <si>
    <t>julius.canasares@company.com</t>
  </si>
  <si>
    <t>70:57</t>
  </si>
  <si>
    <t>0:25</t>
  </si>
  <si>
    <t>BCD LA Rezhebel Loraine Belloso</t>
  </si>
  <si>
    <t>rezhebel.belloso@company.com</t>
  </si>
  <si>
    <t>308:30</t>
  </si>
  <si>
    <t>40:31</t>
  </si>
  <si>
    <t>BCD Maria Amalia Endrinal</t>
  </si>
  <si>
    <t>maria.endrinal@company.com</t>
  </si>
  <si>
    <t>28:10</t>
  </si>
  <si>
    <t>36:04</t>
  </si>
  <si>
    <t>BCD Nicole Amador</t>
  </si>
  <si>
    <t>nicole.amador@company.com</t>
  </si>
  <si>
    <t>55:42</t>
  </si>
  <si>
    <t>0:39</t>
  </si>
  <si>
    <t>BTG	Jairo Enriquez</t>
  </si>
  <si>
    <t>jairo.enriquez@company.com</t>
  </si>
  <si>
    <t>BTG  April Ann Serrano</t>
  </si>
  <si>
    <t>april.serrano@company.com</t>
  </si>
  <si>
    <t>52:34</t>
  </si>
  <si>
    <t>61:42</t>
  </si>
  <si>
    <t>BTG Aldrin Toledo</t>
  </si>
  <si>
    <t>aldrin.toledo@company.com</t>
  </si>
  <si>
    <t>24:27</t>
  </si>
  <si>
    <t>0:27</t>
  </si>
  <si>
    <t>BTG Bemilyn Vinas</t>
  </si>
  <si>
    <t>bemilyn.vinas@company.com</t>
  </si>
  <si>
    <t>100:34</t>
  </si>
  <si>
    <t>BTG Darwin Llanto</t>
  </si>
  <si>
    <t>darwin.llanto@company.com</t>
  </si>
  <si>
    <t>99:43</t>
  </si>
  <si>
    <t>1:57</t>
  </si>
  <si>
    <t>1:49</t>
  </si>
  <si>
    <t>BTG Daryl Baque</t>
  </si>
  <si>
    <t>daryl.baque@company.com</t>
  </si>
  <si>
    <t>21:06</t>
  </si>
  <si>
    <t>BTG Edgardo Pasahol</t>
  </si>
  <si>
    <t>edgardo.pasahol@company.com</t>
  </si>
  <si>
    <t>19:19</t>
  </si>
  <si>
    <t>BTG Faith Larissa Montablan</t>
  </si>
  <si>
    <t>faith.montablan@company.com</t>
  </si>
  <si>
    <t>9:04</t>
  </si>
  <si>
    <t>BTG Ian James Ricero</t>
  </si>
  <si>
    <t>ian.ricero@company.com</t>
  </si>
  <si>
    <t>33:16</t>
  </si>
  <si>
    <t>1:19</t>
  </si>
  <si>
    <t>BTG Janica Tonic</t>
  </si>
  <si>
    <t>janica.tonic@company.com</t>
  </si>
  <si>
    <t>5:25</t>
  </si>
  <si>
    <t>BTG Jayvan Cantollas</t>
  </si>
  <si>
    <t>jayvan.cantollas@company.com</t>
  </si>
  <si>
    <t>22:05</t>
  </si>
  <si>
    <t>BTG Jhon Carlo Marcelino</t>
  </si>
  <si>
    <t>jhon.marcelino@company.com</t>
  </si>
  <si>
    <t>43:41</t>
  </si>
  <si>
    <t>BTG Joelle Ann Poticar</t>
  </si>
  <si>
    <t>joelle.poticar@company.com</t>
  </si>
  <si>
    <t>24:47</t>
  </si>
  <si>
    <t>0:38</t>
  </si>
  <si>
    <t>BTG Joyce Caila Olan</t>
  </si>
  <si>
    <t>joyce.olan@company.com</t>
  </si>
  <si>
    <t>BTG Julee Anne Stephanny Guitierrez</t>
  </si>
  <si>
    <t>julee.guitierrez@company.com</t>
  </si>
  <si>
    <t>88:19</t>
  </si>
  <si>
    <t>BTG Justin Ulysses Gregorio</t>
  </si>
  <si>
    <t>justin.gregorio@company.com</t>
  </si>
  <si>
    <t>21:33</t>
  </si>
  <si>
    <t>BTG Kristina Lyza Vinzon</t>
  </si>
  <si>
    <t>kristina.vinzon@company.com</t>
  </si>
  <si>
    <t>100:36</t>
  </si>
  <si>
    <t>BTG Mariz Pagkaliwagan</t>
  </si>
  <si>
    <t>mariz.pagkaliwagan@company.com</t>
  </si>
  <si>
    <t>70:15</t>
  </si>
  <si>
    <t>BTG Merwin Bayubo</t>
  </si>
  <si>
    <t>merwin.bayubo@company.com</t>
  </si>
  <si>
    <t>25:36</t>
  </si>
  <si>
    <t>BTG Mia Liza Cudiamat</t>
  </si>
  <si>
    <t>mia.cudiamat@company.com</t>
  </si>
  <si>
    <t>100:21</t>
  </si>
  <si>
    <t>1:40</t>
  </si>
  <si>
    <t>BTG Pamela Joy Toralba</t>
  </si>
  <si>
    <t>pamela.toralba@company.com</t>
  </si>
  <si>
    <t>12:48</t>
  </si>
  <si>
    <t>BTG Patricia Caryl Joco</t>
  </si>
  <si>
    <t>patricia.joco@company.com</t>
  </si>
  <si>
    <t>100:53</t>
  </si>
  <si>
    <t>BTG Riniel Javier</t>
  </si>
  <si>
    <t>riniel.javier@company.com</t>
  </si>
  <si>
    <t>BTG Winchester Sulit</t>
  </si>
  <si>
    <t>winchester.sulit@company.com</t>
  </si>
  <si>
    <t>8:23</t>
  </si>
  <si>
    <t>ILO	Jason Galampanao</t>
  </si>
  <si>
    <t>jason.galampanao@company.com</t>
  </si>
  <si>
    <t>4:31</t>
  </si>
  <si>
    <t>49:13</t>
  </si>
  <si>
    <t>ILO	Lara De Tomas</t>
  </si>
  <si>
    <t>lara.detomas@company.com</t>
  </si>
  <si>
    <t>29:34</t>
  </si>
  <si>
    <t>0:49</t>
  </si>
  <si>
    <t>50:07</t>
  </si>
  <si>
    <t>17:06</t>
  </si>
  <si>
    <t>12:58</t>
  </si>
  <si>
    <t>2:43</t>
  </si>
  <si>
    <t>ILO  Nicole Ann Baldoque</t>
  </si>
  <si>
    <t>nicole.baldoque@company.com</t>
  </si>
  <si>
    <t>27:33</t>
  </si>
  <si>
    <t>52:02</t>
  </si>
  <si>
    <t>19:59</t>
  </si>
  <si>
    <t>23:35</t>
  </si>
  <si>
    <t>ILO Support Fredelyn Guidon Onday</t>
  </si>
  <si>
    <t>guidon.onday@company.com</t>
  </si>
  <si>
    <t>1:45</t>
  </si>
  <si>
    <t>21:11</t>
  </si>
  <si>
    <t>38:31</t>
  </si>
  <si>
    <t>27:58</t>
  </si>
  <si>
    <t>29:42</t>
  </si>
  <si>
    <t>47:49</t>
  </si>
  <si>
    <t>47:51</t>
  </si>
  <si>
    <t>BTG  Angela Artificio</t>
  </si>
  <si>
    <t>angela.artificio@company.com</t>
  </si>
  <si>
    <t>BTG  Patrick Neil Villalada</t>
  </si>
  <si>
    <t>patrick.villalada@company.com</t>
  </si>
  <si>
    <t>1:13</t>
  </si>
  <si>
    <t>1:06</t>
  </si>
  <si>
    <t>39:13</t>
  </si>
  <si>
    <t>27:48</t>
  </si>
  <si>
    <t>2:12</t>
  </si>
  <si>
    <t>2:09</t>
  </si>
  <si>
    <t>18:08</t>
  </si>
  <si>
    <t>54:19</t>
  </si>
  <si>
    <t>48:44</t>
  </si>
  <si>
    <t>15:08</t>
  </si>
  <si>
    <t>27:20</t>
  </si>
  <si>
    <t>5:36</t>
  </si>
  <si>
    <t>3:36</t>
  </si>
  <si>
    <t>4:28</t>
  </si>
  <si>
    <t>4:12</t>
  </si>
  <si>
    <t>51:20</t>
  </si>
  <si>
    <t>45:17</t>
  </si>
  <si>
    <t>11:04</t>
  </si>
  <si>
    <t>51:52</t>
  </si>
  <si>
    <t>BCD	Ron Jacob Balquin</t>
  </si>
  <si>
    <t>jacob.balquin@company.com</t>
  </si>
  <si>
    <t>4:47</t>
  </si>
  <si>
    <t xml:space="preserve">	Jeshurun Corpus</t>
  </si>
  <si>
    <t>Gabrielle Angela Alcala</t>
  </si>
  <si>
    <t>Nicole Amador</t>
  </si>
  <si>
    <t>Julius Canasares</t>
  </si>
  <si>
    <t>Maria Amalia Endrinal</t>
  </si>
  <si>
    <t xml:space="preserve">	Nelrose Saguire</t>
  </si>
  <si>
    <t>LA Blessed Ann Gonzales</t>
  </si>
  <si>
    <t xml:space="preserve">	Ron Jacob Balquin</t>
  </si>
  <si>
    <t xml:space="preserve">	Kirk Daniel Cautivar</t>
  </si>
  <si>
    <t xml:space="preserve">	Lara De Tomas</t>
  </si>
  <si>
    <t>Nicole Ann Baldoque</t>
  </si>
  <si>
    <t>Gabriel Anthony Astrologo</t>
  </si>
  <si>
    <t>Mikaela Judith Jacela</t>
  </si>
  <si>
    <t>Reymar Brunda</t>
  </si>
  <si>
    <t>Ricksie Jean DelaCruz</t>
  </si>
  <si>
    <t xml:space="preserve">	Shara Marie Baler</t>
  </si>
  <si>
    <t xml:space="preserve">	Wellyn Grace Cayme</t>
  </si>
  <si>
    <t xml:space="preserve">	Ricky Mendiro</t>
  </si>
  <si>
    <t>Support Fredelyn Guidon Onday</t>
  </si>
  <si>
    <t xml:space="preserve">	Reynald Jomadiao</t>
  </si>
  <si>
    <t>Hanz Kimcy Esing</t>
  </si>
  <si>
    <t>Sherlem Tonio</t>
  </si>
  <si>
    <t xml:space="preserve">	Arabella Joy Borromeo</t>
  </si>
  <si>
    <t xml:space="preserve">	Cherryl Rose Gabinera</t>
  </si>
  <si>
    <t xml:space="preserve">	Geric Perlas</t>
  </si>
  <si>
    <t>Aliyaah Bianca Candoleza</t>
  </si>
  <si>
    <t>Deimple Jolo</t>
  </si>
  <si>
    <t>Rovy Belarmino</t>
  </si>
  <si>
    <t xml:space="preserve">	Jason Galampanao</t>
  </si>
  <si>
    <t xml:space="preserve">	Jairo Enriquez</t>
  </si>
  <si>
    <t>Aldrin Toledo</t>
  </si>
  <si>
    <t>Bemilyn Vinas</t>
  </si>
  <si>
    <t>Darwin Llanto</t>
  </si>
  <si>
    <t>Daryl Baque</t>
  </si>
  <si>
    <t>Edgardo Pasahol</t>
  </si>
  <si>
    <t>Faith Larissa Montablan</t>
  </si>
  <si>
    <t>Ian James Ricero</t>
  </si>
  <si>
    <t>Janica Tonic</t>
  </si>
  <si>
    <t>Jayvan Cantollas</t>
  </si>
  <si>
    <t>Jhon Carlo Marcelino</t>
  </si>
  <si>
    <t>Joelle Ann Poticar</t>
  </si>
  <si>
    <t>Joyce Caila Olan</t>
  </si>
  <si>
    <t>Julee Anne Stephanny Guitierrez</t>
  </si>
  <si>
    <t>Justin Ulysses Gregorio</t>
  </si>
  <si>
    <t>Kristina Lyza Vinzon</t>
  </si>
  <si>
    <t>Mariz Pagkaliwagan</t>
  </si>
  <si>
    <t>Merwin Bayubo</t>
  </si>
  <si>
    <t>Mia Liza Cudiamat</t>
  </si>
  <si>
    <t>Pamela Joy Toralba</t>
  </si>
  <si>
    <t>Patricia Caryl Joco</t>
  </si>
  <si>
    <t>Riniel Javier</t>
  </si>
  <si>
    <t>Winchester Sulit</t>
  </si>
  <si>
    <t>April Ann Serrano</t>
  </si>
  <si>
    <t>Angela Artificio</t>
  </si>
  <si>
    <t>Patrick Neil Villalada</t>
  </si>
  <si>
    <t>Richard John Reyes</t>
  </si>
  <si>
    <t>Rose Respecia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</si>
</sst>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yy"/>
    <numFmt numFmtId="165" formatCode="mm/dd/yyyy\ h:mm"/>
    <numFmt numFmtId="166" formatCode="mm/dd"/>
    <numFmt numFmtId="167" formatCode="0.0"/>
  </numFmts>
  <fonts count="2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5" tint="0.59999389629810485"/>
      <name val="Arial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4"/>
      <color rgb="FFFFFFFF"/>
      <name val="Arial"/>
      <family val="2"/>
    </font>
    <font>
      <b/>
      <sz val="10"/>
      <color theme="1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0B5394"/>
        <bgColor rgb="FF0B5394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44B3E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164" fontId="4" fillId="3" borderId="0" xfId="0" applyNumberFormat="1" applyFont="1" applyFill="1" applyAlignment="1">
      <alignment horizontal="center"/>
    </xf>
    <xf numFmtId="0" fontId="4" fillId="0" borderId="0" xfId="0" applyFont="1"/>
    <xf numFmtId="0" fontId="5" fillId="0" borderId="1" xfId="0" applyFont="1" applyBorder="1"/>
    <xf numFmtId="0" fontId="5" fillId="0" borderId="2" xfId="0" applyFont="1" applyBorder="1"/>
    <xf numFmtId="0" fontId="6" fillId="0" borderId="0" xfId="0" applyFont="1"/>
    <xf numFmtId="0" fontId="3" fillId="2" borderId="3" xfId="0" applyFont="1" applyFill="1" applyBorder="1"/>
    <xf numFmtId="0" fontId="4" fillId="0" borderId="0" xfId="0" applyFont="1" applyAlignment="1">
      <alignment horizontal="center"/>
    </xf>
    <xf numFmtId="0" fontId="7" fillId="0" borderId="4" xfId="0" applyFont="1" applyBorder="1"/>
    <xf numFmtId="0" fontId="7" fillId="0" borderId="5" xfId="0" applyFont="1" applyBorder="1" applyAlignment="1">
      <alignment horizontal="right"/>
    </xf>
    <xf numFmtId="0" fontId="7" fillId="0" borderId="5" xfId="0" applyFont="1" applyBorder="1"/>
    <xf numFmtId="10" fontId="7" fillId="0" borderId="5" xfId="0" applyNumberFormat="1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10" fontId="4" fillId="0" borderId="0" xfId="0" applyNumberFormat="1" applyFont="1" applyAlignment="1">
      <alignment horizontal="right"/>
    </xf>
    <xf numFmtId="10" fontId="7" fillId="4" borderId="5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left"/>
    </xf>
    <xf numFmtId="10" fontId="7" fillId="6" borderId="5" xfId="0" applyNumberFormat="1" applyFont="1" applyFill="1" applyBorder="1" applyAlignment="1">
      <alignment horizontal="right"/>
    </xf>
    <xf numFmtId="0" fontId="7" fillId="4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9" fontId="7" fillId="6" borderId="5" xfId="0" applyNumberFormat="1" applyFont="1" applyFill="1" applyBorder="1" applyAlignment="1">
      <alignment horizontal="right"/>
    </xf>
    <xf numFmtId="10" fontId="7" fillId="7" borderId="5" xfId="0" applyNumberFormat="1" applyFont="1" applyFill="1" applyBorder="1" applyAlignment="1">
      <alignment horizontal="right"/>
    </xf>
    <xf numFmtId="165" fontId="4" fillId="3" borderId="0" xfId="0" applyNumberFormat="1" applyFont="1" applyFill="1"/>
    <xf numFmtId="9" fontId="7" fillId="0" borderId="5" xfId="0" applyNumberFormat="1" applyFont="1" applyBorder="1" applyAlignment="1">
      <alignment horizontal="right"/>
    </xf>
    <xf numFmtId="9" fontId="7" fillId="4" borderId="5" xfId="0" applyNumberFormat="1" applyFont="1" applyFill="1" applyBorder="1"/>
    <xf numFmtId="0" fontId="7" fillId="0" borderId="7" xfId="0" applyFont="1" applyBorder="1"/>
    <xf numFmtId="164" fontId="4" fillId="3" borderId="0" xfId="0" applyNumberFormat="1" applyFont="1" applyFill="1"/>
    <xf numFmtId="0" fontId="3" fillId="0" borderId="0" xfId="0" applyFont="1" applyAlignment="1">
      <alignment horizontal="center"/>
    </xf>
    <xf numFmtId="0" fontId="3" fillId="5" borderId="3" xfId="0" applyFont="1" applyFill="1" applyBorder="1"/>
    <xf numFmtId="0" fontId="4" fillId="0" borderId="0" xfId="0" applyFont="1" applyAlignment="1">
      <alignment horizontal="right"/>
    </xf>
    <xf numFmtId="9" fontId="4" fillId="5" borderId="0" xfId="0" applyNumberFormat="1" applyFont="1" applyFill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10" fontId="7" fillId="5" borderId="1" xfId="0" applyNumberFormat="1" applyFont="1" applyFill="1" applyBorder="1" applyAlignment="1">
      <alignment horizontal="right"/>
    </xf>
    <xf numFmtId="9" fontId="4" fillId="0" borderId="0" xfId="0" applyNumberFormat="1" applyFont="1" applyAlignment="1">
      <alignment horizontal="right"/>
    </xf>
    <xf numFmtId="0" fontId="7" fillId="5" borderId="1" xfId="0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right"/>
    </xf>
    <xf numFmtId="0" fontId="3" fillId="0" borderId="0" xfId="0" applyFont="1"/>
    <xf numFmtId="0" fontId="7" fillId="5" borderId="1" xfId="0" applyFont="1" applyFill="1" applyBorder="1"/>
    <xf numFmtId="0" fontId="3" fillId="2" borderId="6" xfId="0" applyFont="1" applyFill="1" applyBorder="1"/>
    <xf numFmtId="9" fontId="7" fillId="5" borderId="1" xfId="0" applyNumberFormat="1" applyFont="1" applyFill="1" applyBorder="1"/>
    <xf numFmtId="14" fontId="4" fillId="0" borderId="0" xfId="0" applyNumberFormat="1" applyFont="1"/>
    <xf numFmtId="0" fontId="3" fillId="6" borderId="3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0" borderId="0" xfId="0" applyNumberFormat="1" applyFont="1"/>
    <xf numFmtId="166" fontId="4" fillId="0" borderId="0" xfId="0" applyNumberFormat="1" applyFont="1"/>
    <xf numFmtId="0" fontId="8" fillId="2" borderId="0" xfId="0" applyFont="1" applyFill="1"/>
    <xf numFmtId="0" fontId="8" fillId="2" borderId="3" xfId="0" applyFont="1" applyFill="1" applyBorder="1"/>
    <xf numFmtId="164" fontId="1" fillId="0" borderId="0" xfId="0" applyNumberFormat="1" applyFont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3" xfId="0" applyFont="1" applyBorder="1"/>
    <xf numFmtId="10" fontId="9" fillId="0" borderId="0" xfId="0" applyNumberFormat="1" applyFont="1" applyAlignment="1">
      <alignment horizontal="right"/>
    </xf>
    <xf numFmtId="0" fontId="8" fillId="2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right"/>
    </xf>
    <xf numFmtId="10" fontId="10" fillId="0" borderId="0" xfId="0" applyNumberFormat="1" applyFont="1" applyAlignment="1">
      <alignment horizontal="right"/>
    </xf>
    <xf numFmtId="164" fontId="10" fillId="0" borderId="0" xfId="0" applyNumberFormat="1" applyFont="1"/>
    <xf numFmtId="0" fontId="9" fillId="0" borderId="0" xfId="0" applyFont="1"/>
    <xf numFmtId="164" fontId="4" fillId="0" borderId="0" xfId="0" applyNumberFormat="1" applyFont="1"/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0" xfId="0" pivotButton="1"/>
    <xf numFmtId="2" fontId="0" fillId="0" borderId="0" xfId="0" applyNumberFormat="1"/>
    <xf numFmtId="2" fontId="12" fillId="0" borderId="14" xfId="0" applyNumberFormat="1" applyFont="1" applyBorder="1" applyAlignment="1">
      <alignment horizontal="center"/>
    </xf>
    <xf numFmtId="2" fontId="12" fillId="0" borderId="8" xfId="0" applyNumberFormat="1" applyFont="1" applyBorder="1" applyAlignment="1">
      <alignment horizontal="center"/>
    </xf>
    <xf numFmtId="2" fontId="12" fillId="0" borderId="2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67" fontId="0" fillId="0" borderId="0" xfId="0" applyNumberFormat="1"/>
    <xf numFmtId="0" fontId="11" fillId="9" borderId="16" xfId="0" applyFont="1" applyFill="1" applyBorder="1" applyAlignment="1">
      <alignment horizontal="center"/>
    </xf>
    <xf numFmtId="0" fontId="14" fillId="0" borderId="22" xfId="0" applyFont="1" applyBorder="1" applyAlignment="1">
      <alignment horizontal="left"/>
    </xf>
    <xf numFmtId="0" fontId="14" fillId="0" borderId="21" xfId="0" applyFont="1" applyBorder="1" applyAlignment="1">
      <alignment vertical="center"/>
    </xf>
    <xf numFmtId="0" fontId="14" fillId="0" borderId="22" xfId="0" applyFont="1" applyBorder="1"/>
    <xf numFmtId="0" fontId="0" fillId="0" borderId="23" xfId="0" applyBorder="1"/>
    <xf numFmtId="0" fontId="0" fillId="0" borderId="24" xfId="0" applyBorder="1"/>
    <xf numFmtId="0" fontId="11" fillId="9" borderId="9" xfId="0" applyFont="1" applyFill="1" applyBorder="1" applyAlignment="1">
      <alignment horizontal="center"/>
    </xf>
    <xf numFmtId="0" fontId="0" fillId="0" borderId="28" xfId="0" applyBorder="1"/>
    <xf numFmtId="0" fontId="19" fillId="0" borderId="26" xfId="0" applyFont="1" applyBorder="1" applyAlignment="1">
      <alignment horizontal="center" wrapText="1"/>
    </xf>
    <xf numFmtId="0" fontId="18" fillId="14" borderId="27" xfId="0" applyFont="1" applyFill="1" applyBorder="1" applyAlignment="1">
      <alignment horizontal="center" wrapText="1"/>
    </xf>
    <xf numFmtId="0" fontId="18" fillId="15" borderId="27" xfId="0" applyFont="1" applyFill="1" applyBorder="1" applyAlignment="1">
      <alignment horizontal="center" wrapText="1"/>
    </xf>
    <xf numFmtId="0" fontId="16" fillId="0" borderId="24" xfId="0" applyFont="1" applyBorder="1"/>
    <xf numFmtId="2" fontId="0" fillId="0" borderId="0" xfId="0" applyNumberFormat="1" applyAlignment="1">
      <alignment horizontal="left"/>
    </xf>
    <xf numFmtId="0" fontId="0" fillId="12" borderId="24" xfId="0" applyFill="1" applyBorder="1"/>
    <xf numFmtId="0" fontId="0" fillId="0" borderId="25" xfId="0" applyBorder="1"/>
    <xf numFmtId="0" fontId="15" fillId="0" borderId="17" xfId="0" applyFont="1" applyBorder="1" applyAlignment="1">
      <alignment horizontal="left"/>
    </xf>
    <xf numFmtId="0" fontId="15" fillId="13" borderId="17" xfId="0" applyFont="1" applyFill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10" fontId="7" fillId="16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7" fontId="7" fillId="16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/>
    </xf>
    <xf numFmtId="0" fontId="7" fillId="0" borderId="0" xfId="0" applyFont="1"/>
    <xf numFmtId="0" fontId="11" fillId="9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167" fontId="11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14" fillId="0" borderId="0" xfId="0" applyFont="1"/>
    <xf numFmtId="2" fontId="11" fillId="10" borderId="1" xfId="0" applyNumberFormat="1" applyFont="1" applyFill="1" applyBorder="1" applyAlignment="1">
      <alignment horizontal="center"/>
    </xf>
    <xf numFmtId="2" fontId="7" fillId="0" borderId="0" xfId="0" applyNumberFormat="1" applyFont="1"/>
    <xf numFmtId="0" fontId="21" fillId="19" borderId="30" xfId="0" applyFont="1" applyFill="1" applyBorder="1"/>
    <xf numFmtId="1" fontId="12" fillId="0" borderId="12" xfId="0" applyNumberFormat="1" applyFont="1" applyBorder="1" applyAlignment="1">
      <alignment horizontal="center"/>
    </xf>
    <xf numFmtId="1" fontId="12" fillId="0" borderId="13" xfId="0" applyNumberFormat="1" applyFont="1" applyBorder="1" applyAlignment="1">
      <alignment horizontal="center"/>
    </xf>
    <xf numFmtId="0" fontId="11" fillId="9" borderId="11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5" fillId="0" borderId="9" xfId="0" applyFont="1" applyBorder="1"/>
    <xf numFmtId="0" fontId="5" fillId="0" borderId="1" xfId="0" applyFont="1" applyBorder="1" applyAlignment="1">
      <alignment horizontal="left"/>
    </xf>
    <xf numFmtId="0" fontId="5" fillId="11" borderId="1" xfId="0" applyFont="1" applyFill="1" applyBorder="1" applyAlignment="1">
      <alignment horizontal="center"/>
    </xf>
    <xf numFmtId="0" fontId="0" fillId="20" borderId="0" xfId="0" applyFill="1"/>
    <xf numFmtId="1" fontId="12" fillId="0" borderId="10" xfId="0" applyNumberFormat="1" applyFont="1" applyBorder="1" applyAlignment="1">
      <alignment horizontal="center"/>
    </xf>
    <xf numFmtId="2" fontId="12" fillId="0" borderId="32" xfId="0" applyNumberFormat="1" applyFont="1" applyBorder="1" applyAlignment="1">
      <alignment horizontal="center"/>
    </xf>
    <xf numFmtId="1" fontId="12" fillId="0" borderId="31" xfId="0" applyNumberFormat="1" applyFont="1" applyBorder="1" applyAlignment="1">
      <alignment horizontal="center"/>
    </xf>
    <xf numFmtId="0" fontId="15" fillId="0" borderId="33" xfId="0" applyFont="1" applyBorder="1" applyAlignment="1">
      <alignment horizontal="left"/>
    </xf>
    <xf numFmtId="2" fontId="12" fillId="0" borderId="34" xfId="0" applyNumberFormat="1" applyFont="1" applyBorder="1" applyAlignment="1">
      <alignment horizontal="center"/>
    </xf>
    <xf numFmtId="1" fontId="12" fillId="0" borderId="35" xfId="0" applyNumberFormat="1" applyFont="1" applyBorder="1" applyAlignment="1">
      <alignment horizontal="center"/>
    </xf>
    <xf numFmtId="1" fontId="12" fillId="0" borderId="34" xfId="0" applyNumberFormat="1" applyFont="1" applyBorder="1" applyAlignment="1">
      <alignment horizontal="center"/>
    </xf>
    <xf numFmtId="2" fontId="12" fillId="0" borderId="36" xfId="0" applyNumberFormat="1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20" fillId="8" borderId="29" xfId="0" applyFont="1" applyFill="1" applyBorder="1" applyAlignment="1">
      <alignment horizontal="center"/>
    </xf>
    <xf numFmtId="0" fontId="20" fillId="8" borderId="9" xfId="0" applyFont="1" applyFill="1" applyBorder="1" applyAlignment="1">
      <alignment horizontal="center"/>
    </xf>
    <xf numFmtId="0" fontId="11" fillId="8" borderId="29" xfId="0" applyFont="1" applyFill="1" applyBorder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0" fillId="0" borderId="0" xfId="0" applyNumberFormat="1"/>
    <xf numFmtId="1" fontId="7" fillId="17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5"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fill>
        <patternFill patternType="solid">
          <fgColor indexed="64"/>
          <bgColor theme="8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167" formatCode="0.0"/>
    </dxf>
    <dxf>
      <numFmt numFmtId="2" formatCode="0.00"/>
    </dxf>
    <dxf>
      <numFmt numFmtId="2" formatCode="0.00"/>
    </dxf>
    <dxf>
      <numFmt numFmtId="2" formatCode="0.00"/>
    </dxf>
    <dxf>
      <numFmt numFmtId="167" formatCode="0.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0.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dia Bendicio" refreshedDate="45950.669110648145" createdVersion="8" refreshedVersion="8" minRefreshableVersion="3" recordCount="163" xr:uid="{AC625483-FF7A-4715-8FE1-8BB9F228764E}">
  <cacheSource type="worksheet">
    <worksheetSource name="Campaign_Report"/>
  </cacheSource>
  <cacheFields count="41">
    <cacheField name="Campaign" numFmtId="0">
      <sharedItems/>
    </cacheField>
    <cacheField name="Agent" numFmtId="0">
      <sharedItems/>
    </cacheField>
    <cacheField name="Agent Email" numFmtId="0">
      <sharedItems/>
    </cacheField>
    <cacheField name="Calls" numFmtId="0">
      <sharedItems containsSemiMixedTypes="0" containsString="0" containsNumber="1" containsInteger="1" minValue="0" maxValue="88"/>
    </cacheField>
    <cacheField name="Calls/Hr" numFmtId="0">
      <sharedItems containsSemiMixedTypes="0" containsString="0" containsNumber="1" minValue="0" maxValue="29.090393075066999"/>
    </cacheField>
    <cacheField name="Talk" numFmtId="0">
      <sharedItems containsSemiMixedTypes="0" containsString="0" containsNumber="1" minValue="0" maxValue="3.0257999999999998"/>
    </cacheField>
    <cacheField name="Wrap Up" numFmtId="0">
      <sharedItems containsSemiMixedTypes="0" containsString="0" containsNumber="1" minValue="0" maxValue="1.8166666666667"/>
    </cacheField>
    <cacheField name="Conv" numFmtId="0">
      <sharedItems containsSemiMixedTypes="0" containsString="0" containsNumber="1" containsInteger="1" minValue="0" maxValue="50"/>
    </cacheField>
    <cacheField name="Conv %" numFmtId="0">
      <sharedItems containsSemiMixedTypes="0" containsString="0" containsNumber="1" minValue="0" maxValue="1"/>
    </cacheField>
    <cacheField name="Conv/Hr" numFmtId="0">
      <sharedItems containsSemiMixedTypes="0" containsString="0" containsNumber="1" minValue="0" maxValue="14.866351500015"/>
    </cacheField>
    <cacheField name="Points" numFmtId="0">
      <sharedItems containsSemiMixedTypes="0" containsString="0" containsNumber="1" containsInteger="1" minValue="0" maxValue="102"/>
    </cacheField>
    <cacheField name="Points/Hr" numFmtId="0">
      <sharedItems containsSemiMixedTypes="0" containsString="0" containsNumber="1" minValue="0" maxValue="86.447295036252001"/>
    </cacheField>
    <cacheField name="Logged In" numFmtId="0">
      <sharedItems containsSemiMixedTypes="0" containsString="0" containsNumber="1" minValue="0.35859999999999997" maxValue="5.8316999999999997"/>
    </cacheField>
    <cacheField name="Eff %" numFmtId="0">
      <sharedItems containsSemiMixedTypes="0" containsString="0" containsNumber="1" minValue="0" maxValue="0.85121796613238987"/>
    </cacheField>
    <cacheField name="AAT" numFmtId="0">
      <sharedItems/>
    </cacheField>
    <cacheField name="AHT" numFmtId="0">
      <sharedItems/>
    </cacheField>
    <cacheField name="ATT" numFmtId="0">
      <sharedItems/>
    </cacheField>
    <cacheField name="AWT" numFmtId="0">
      <sharedItems/>
    </cacheField>
    <cacheField name="Administrative" numFmtId="0">
      <sharedItems/>
    </cacheField>
    <cacheField name="Break" numFmtId="0">
      <sharedItems/>
    </cacheField>
    <cacheField name="Coaching" numFmtId="0">
      <sharedItems/>
    </cacheField>
    <cacheField name="Unavailable" numFmtId="0">
      <sharedItems/>
    </cacheField>
    <cacheField name="QA Score" numFmtId="0">
      <sharedItems containsSemiMixedTypes="0" containsString="0" containsNumber="1" containsInteger="1" minValue="0" maxValue="0"/>
    </cacheField>
    <cacheField name="Scorecards" numFmtId="0">
      <sharedItems containsSemiMixedTypes="0" containsString="0" containsNumber="1" containsInteger="1" minValue="0" maxValue="0"/>
    </cacheField>
    <cacheField name="Passed" numFmtId="0">
      <sharedItems containsSemiMixedTypes="0" containsString="0" containsNumber="1" containsInteger="1" minValue="0" maxValue="0"/>
    </cacheField>
    <cacheField name="Auto Fails" numFmtId="0">
      <sharedItems containsSemiMixedTypes="0" containsString="0" containsNumber="1" containsInteger="1" minValue="0" maxValue="0"/>
    </cacheField>
    <cacheField name="Holds" numFmtId="0">
      <sharedItems containsSemiMixedTypes="0" containsString="0" containsNumber="1" containsInteger="1" minValue="0" maxValue="0"/>
    </cacheField>
    <cacheField name="Hold" numFmtId="0">
      <sharedItems/>
    </cacheField>
    <cacheField name="Hold/Call" numFmtId="0">
      <sharedItems/>
    </cacheField>
    <cacheField name="Rings Tot" numFmtId="0">
      <sharedItems containsSemiMixedTypes="0" containsString="0" containsNumber="1" containsInteger="1" minValue="0" maxValue="0"/>
    </cacheField>
    <cacheField name="Rings Ans" numFmtId="0">
      <sharedItems containsSemiMixedTypes="0" containsString="0" containsNumber="1" containsInteger="1" minValue="0" maxValue="0"/>
    </cacheField>
    <cacheField name="Rings Decl" numFmtId="0">
      <sharedItems containsSemiMixedTypes="0" containsString="0" containsNumber="1" containsInteger="1" minValue="0" maxValue="0"/>
    </cacheField>
    <cacheField name="Rings Timeout" numFmtId="0">
      <sharedItems containsSemiMixedTypes="0" containsString="0" containsNumber="1" containsInteger="1" minValue="0" maxValue="0"/>
    </cacheField>
    <cacheField name="Rings Miss" numFmtId="0">
      <sharedItems containsSemiMixedTypes="0" containsString="0" containsNumber="1" containsInteger="1" minValue="0" maxValue="0"/>
    </cacheField>
    <cacheField name="Rings Aban" numFmtId="0">
      <sharedItems containsSemiMixedTypes="0" containsString="0" containsNumber="1" containsInteger="1" minValue="0" maxValue="0"/>
    </cacheField>
    <cacheField name="Site" numFmtId="0">
      <sharedItems count="4">
        <s v="BCD"/>
        <s v="BTG"/>
        <s v="ILO"/>
        <s v="" u="1"/>
      </sharedItems>
    </cacheField>
    <cacheField name="AgentName" numFmtId="0">
      <sharedItems/>
    </cacheField>
    <cacheField name="CampMatch" numFmtId="0">
      <sharedItems/>
    </cacheField>
    <cacheField name="Workflow" numFmtId="0">
      <sharedItems count="12">
        <s v="Aging"/>
        <s v="ARM"/>
        <s v="DCAH"/>
        <s v="DCAH Scrubs"/>
        <s v="Edocument"/>
        <s v="PCAH"/>
        <s v="Rework"/>
        <s v="VSA"/>
        <s v="Doctor Research"/>
        <s v="Doctor Match"/>
        <s v="Fax Research"/>
        <e v="#N/A" u="1"/>
      </sharedItems>
    </cacheField>
    <cacheField name="RPH" numFmtId="0" formula="Calls/'Logged In'" databaseField="0"/>
    <cacheField name="PPH" numFmtId="0" formula="Points/'Logged I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dia Bendicio" refreshedDate="45950.669110879629" createdVersion="8" refreshedVersion="8" minRefreshableVersion="3" recordCount="60" xr:uid="{05FBB12D-B3AA-4B40-979B-D203799213B9}">
  <cacheSource type="worksheet">
    <worksheetSource name="Team_Report"/>
  </cacheSource>
  <cacheFields count="42">
    <cacheField name="Team" numFmtId="0">
      <sharedItems/>
    </cacheField>
    <cacheField name="Agent" numFmtId="0">
      <sharedItems/>
    </cacheField>
    <cacheField name="Agent Email" numFmtId="0">
      <sharedItems/>
    </cacheField>
    <cacheField name="Calls" numFmtId="0">
      <sharedItems containsSemiMixedTypes="0" containsString="0" containsNumber="1" containsInteger="1" minValue="0" maxValue="84"/>
    </cacheField>
    <cacheField name="Calls/Hr" numFmtId="0">
      <sharedItems containsSemiMixedTypes="0" containsString="0" containsNumber="1" minValue="0" maxValue="25.441439258563999"/>
    </cacheField>
    <cacheField name="Talk" numFmtId="0">
      <sharedItems containsSemiMixedTypes="0" containsString="0" containsNumber="1" minValue="0" maxValue="2.9819"/>
    </cacheField>
    <cacheField name="Wrap Up" numFmtId="0">
      <sharedItems containsSemiMixedTypes="0" containsString="0" containsNumber="1" minValue="0" maxValue="1.8166666666667"/>
    </cacheField>
    <cacheField name="Conv" numFmtId="0">
      <sharedItems containsSemiMixedTypes="0" containsString="0" containsNumber="1" containsInteger="1" minValue="0" maxValue="42"/>
    </cacheField>
    <cacheField name="Conv %" numFmtId="0">
      <sharedItems containsSemiMixedTypes="0" containsString="0" containsNumber="1" minValue="0" maxValue="1"/>
    </cacheField>
    <cacheField name="Conv/Hr" numFmtId="0">
      <sharedItems containsSemiMixedTypes="0" containsString="0" containsNumber="1" minValue="0" maxValue="10.613565147074"/>
    </cacheField>
    <cacheField name="Points" numFmtId="0">
      <sharedItems containsSemiMixedTypes="0" containsString="0" containsNumber="1" containsInteger="1" minValue="0" maxValue="89"/>
    </cacheField>
    <cacheField name="Points/Hr" numFmtId="0">
      <sharedItems containsSemiMixedTypes="0" containsString="0" containsNumber="1" minValue="0" maxValue="86.447295036252001"/>
    </cacheField>
    <cacheField name="Logged In" numFmtId="0">
      <sharedItems containsSemiMixedTypes="0" containsString="0" containsNumber="1" minValue="1.1000000000000001E-3" maxValue="4.7297000000000002"/>
    </cacheField>
    <cacheField name="Eff %" numFmtId="0">
      <sharedItems containsSemiMixedTypes="0" containsString="0" containsNumber="1" minValue="0" maxValue="0.85121796613238987"/>
    </cacheField>
    <cacheField name="AAT" numFmtId="0">
      <sharedItems/>
    </cacheField>
    <cacheField name="AHT" numFmtId="0">
      <sharedItems/>
    </cacheField>
    <cacheField name="ATT" numFmtId="0">
      <sharedItems/>
    </cacheField>
    <cacheField name="AWT" numFmtId="0">
      <sharedItems/>
    </cacheField>
    <cacheField name="Administrative" numFmtId="0">
      <sharedItems/>
    </cacheField>
    <cacheField name="Break" numFmtId="0">
      <sharedItems/>
    </cacheField>
    <cacheField name="Coaching" numFmtId="0">
      <sharedItems/>
    </cacheField>
    <cacheField name="Unavailable" numFmtId="0">
      <sharedItems/>
    </cacheField>
    <cacheField name="QA Score" numFmtId="0">
      <sharedItems containsSemiMixedTypes="0" containsString="0" containsNumber="1" containsInteger="1" minValue="0" maxValue="0"/>
    </cacheField>
    <cacheField name="Scorecards" numFmtId="0">
      <sharedItems containsSemiMixedTypes="0" containsString="0" containsNumber="1" containsInteger="1" minValue="0" maxValue="0"/>
    </cacheField>
    <cacheField name="Passed" numFmtId="0">
      <sharedItems containsSemiMixedTypes="0" containsString="0" containsNumber="1" containsInteger="1" minValue="0" maxValue="0"/>
    </cacheField>
    <cacheField name="Auto Fails" numFmtId="0">
      <sharedItems containsSemiMixedTypes="0" containsString="0" containsNumber="1" containsInteger="1" minValue="0" maxValue="0"/>
    </cacheField>
    <cacheField name="Holds" numFmtId="0">
      <sharedItems containsSemiMixedTypes="0" containsString="0" containsNumber="1" containsInteger="1" minValue="0" maxValue="0"/>
    </cacheField>
    <cacheField name="Hold" numFmtId="0">
      <sharedItems/>
    </cacheField>
    <cacheField name="Hold/Call" numFmtId="0">
      <sharedItems/>
    </cacheField>
    <cacheField name="Rings Tot" numFmtId="0">
      <sharedItems containsSemiMixedTypes="0" containsString="0" containsNumber="1" containsInteger="1" minValue="0" maxValue="0"/>
    </cacheField>
    <cacheField name="Rings Ans" numFmtId="0">
      <sharedItems containsSemiMixedTypes="0" containsString="0" containsNumber="1" containsInteger="1" minValue="0" maxValue="0"/>
    </cacheField>
    <cacheField name="Rings Decl" numFmtId="0">
      <sharedItems containsSemiMixedTypes="0" containsString="0" containsNumber="1" containsInteger="1" minValue="0" maxValue="0"/>
    </cacheField>
    <cacheField name="Rings Timeout" numFmtId="0">
      <sharedItems containsSemiMixedTypes="0" containsString="0" containsNumber="1" containsInteger="1" minValue="0" maxValue="0"/>
    </cacheField>
    <cacheField name="Rings Miss" numFmtId="0">
      <sharedItems containsSemiMixedTypes="0" containsString="0" containsNumber="1" containsInteger="1" minValue="0" maxValue="0"/>
    </cacheField>
    <cacheField name="Rings Aban" numFmtId="0">
      <sharedItems containsSemiMixedTypes="0" containsString="0" containsNumber="1" containsInteger="1" minValue="0" maxValue="0"/>
    </cacheField>
    <cacheField name="Site" numFmtId="0">
      <sharedItems containsBlank="1" count="5">
        <s v="BCD"/>
        <s v="BTG"/>
        <s v="ILO"/>
        <m u="1"/>
        <s v="" u="1"/>
      </sharedItems>
    </cacheField>
    <cacheField name="AgentName" numFmtId="0">
      <sharedItems containsBlank="1" count="77">
        <s v="_x0009_Jeshurun Corpus"/>
        <s v="Gabrielle Angela Alcala"/>
        <s v="Julius Canasares"/>
        <s v="Maria Amalia Endrinal"/>
        <s v="_x0009_Jairo Enriquez"/>
        <s v="Aldrin Toledo"/>
        <s v="Bemilyn Vinas"/>
        <s v="Darwin Llanto"/>
        <s v="Daryl Baque"/>
        <s v="Edgardo Pasahol"/>
        <s v="Faith Larissa Montablan"/>
        <s v="Ian James Ricero"/>
        <s v="Janica Tonic"/>
        <s v="Jayvan Cantollas"/>
        <s v="Jhon Carlo Marcelino"/>
        <s v="Joelle Ann Poticar"/>
        <s v="Joyce Caila Olan"/>
        <s v="Julee Anne Stephanny Guitierrez"/>
        <s v="Justin Ulysses Gregorio"/>
        <s v="Kristina Lyza Vinzon"/>
        <s v="Mariz Pagkaliwagan"/>
        <s v="Merwin Bayubo"/>
        <s v="Mia Liza Cudiamat"/>
        <s v="Pamela Joy Toralba"/>
        <s v="Patricia Caryl Joco"/>
        <s v="Riniel Javier"/>
        <s v="Winchester Sulit"/>
        <s v="Gabriel Anthony Astrologo"/>
        <s v="Reymar Brunda"/>
        <s v="Ricksie Jean DelaCruz"/>
        <s v="_x0009_Kirk Daniel Cautivar"/>
        <s v="_x0009_Nelrose Saguire"/>
        <s v="LA Blessed Ann Gonzales"/>
        <s v="Angela Artificio"/>
        <s v="Patrick Neil Villalada"/>
        <s v="Richard John Reyes"/>
        <s v="Rose Respecia"/>
        <s v="_x0009_Shara Marie Baler"/>
        <s v="_x0009_Wellyn Grace Cayme"/>
        <s v="_x0009_Ricky Mendiro"/>
        <s v="Support Fredelyn Guidon Onday"/>
        <s v="Nicole Amador"/>
        <s v="_x0009_Lara De Tomas"/>
        <s v="Mikaela Judith Jacela"/>
        <s v="Nicole Ann Baldoque"/>
        <s v="_x0009_Arabella Joy Borromeo"/>
        <s v="_x0009_Cherryl Rose Gabinera"/>
        <s v="_x0009_Geric Perlas"/>
        <s v="_x0009_Reynald Jomadiao"/>
        <s v="Aliyaah Bianca Candoleza"/>
        <s v="Deimple Jolo"/>
        <s v="Hanz Kimcy Esing"/>
        <s v="Rovy Belarmino"/>
        <s v="Sherlem Tonio"/>
        <s v="_x0009_Jason Galampanao"/>
        <s v="April Ann Serrano"/>
        <s v="_x0009_Ron Jacob Balquin"/>
        <m u="1"/>
        <s v="Van Mykel Montefrio" u="1"/>
        <s v="Bing Bong Lescano" u="1"/>
        <s v="Janciel Carandang" u="1"/>
        <s v="Ma. Rustia Camil Denson" u="1"/>
        <s v="_x0009_Support Salvador Nollan" u="1"/>
        <s v="Hezron John DeCastro" u="1"/>
        <s v="Brendalyn Cantos" u="1"/>
        <s v="Aguijon Antonio Jr" u="1"/>
        <s v="Darnel Torres" u="1"/>
        <s v="Karen Joy Canlas" u="1"/>
        <s v="LA Rezhebel Loraine Belloso" u="1"/>
        <s v="_x0009_Edrian Apillano" u="1"/>
        <e v="#VALUE!" u="1"/>
        <s v="_x0009_Lawrence Angelo Mailla" u="1"/>
        <s v="Bernadette Bolanos" u="1"/>
        <s v="Kathleen Matulac" u="1"/>
        <s v="Kristalene Paular" u="1"/>
        <s v="Sherilyn Cabrera" u="1"/>
        <s v="_x0009_Christine Joy Lanzarote" u="1"/>
      </sharedItems>
    </cacheField>
    <cacheField name="Campaign2" numFmtId="0">
      <sharedItems/>
    </cacheField>
    <cacheField name="Camp+Team" numFmtId="0">
      <sharedItems/>
    </cacheField>
    <cacheField name="Workflow" numFmtId="0">
      <sharedItems containsMixedTypes="1" containsNumber="1" containsInteger="1" minValue="0" maxValue="0" count="8">
        <s v="Fax Mapping"/>
        <n v="0"/>
        <s v="Confirmed Sales"/>
        <s v="Fax Research"/>
        <s v="Fax Review"/>
        <s v="ARM"/>
        <s v="CDT Review"/>
        <s v="Blank Held"/>
      </sharedItems>
    </cacheField>
    <cacheField name="RPH" numFmtId="0" formula="Calls/'Logged In'" databaseField="0"/>
    <cacheField name="PPH" numFmtId="0" formula="Points/'Logged In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s v="AH-SnapHeld-Aging-Prod"/>
    <s v="BCD_x0009_Geron Poda"/>
    <s v="geron.poda@company.com"/>
    <n v="54"/>
    <n v="16.110265819386001"/>
    <n v="0.1244"/>
    <n v="0.22416666666667001"/>
    <n v="12"/>
    <n v="0.22222222222221999"/>
    <n v="3.5800590709747002"/>
    <n v="12"/>
    <n v="3.5800590709747002"/>
    <n v="3.3519000000000001"/>
    <n v="3.7113279035771003E-2"/>
    <s v="0:02"/>
    <s v="0:23"/>
    <s v="0:08"/>
    <s v="0:14"/>
    <s v="0:00"/>
    <s v="40:01"/>
    <s v="0:00"/>
    <s v="0:00"/>
    <n v="0"/>
    <n v="0"/>
    <n v="0"/>
    <n v="0"/>
    <n v="0"/>
    <s v="0:00"/>
    <s v="0:00"/>
    <n v="0"/>
    <n v="0"/>
    <n v="0"/>
    <n v="0"/>
    <n v="0"/>
    <n v="0"/>
    <x v="0"/>
    <s v="_x0009_Geron Poda"/>
    <s v="AH-SnapHeld-Aging-Prod"/>
    <x v="0"/>
  </r>
  <r>
    <s v="AH-SnapHeld-Aging-Prod"/>
    <s v="BTG  Airel Tumambing"/>
    <s v="airel.tumambing@company.com"/>
    <n v="32"/>
    <n v="12.006153153491001"/>
    <n v="0.5403"/>
    <n v="5.5833333333332999E-2"/>
    <n v="8"/>
    <n v="0.25"/>
    <n v="3.0015382883727999"/>
    <n v="8"/>
    <n v="3.0015382883727999"/>
    <n v="2.6652999999999998"/>
    <n v="0.20271639215098"/>
    <s v="0:03"/>
    <s v="1:07"/>
    <s v="1:00"/>
    <s v="0:06"/>
    <s v="0:00"/>
    <s v="30:18"/>
    <s v="0:00"/>
    <s v="0:00"/>
    <n v="0"/>
    <n v="0"/>
    <n v="0"/>
    <n v="0"/>
    <n v="0"/>
    <s v="0:00"/>
    <s v="0:00"/>
    <n v="0"/>
    <n v="0"/>
    <n v="0"/>
    <n v="0"/>
    <n v="0"/>
    <n v="0"/>
    <x v="1"/>
    <s v="Airel Tumambing"/>
    <s v="AH-SnapHeld-Aging-Prod"/>
    <x v="0"/>
  </r>
  <r>
    <s v="AH-SnapHeld-Aging-Prod"/>
    <s v="ILO_x0009_Shara Marie Baler"/>
    <s v="shara.baler@company.com"/>
    <n v="53"/>
    <n v="16.982824916687999"/>
    <n v="0.61529999999999996"/>
    <n v="0.28416666666667001"/>
    <n v="9"/>
    <n v="0.16981132075472"/>
    <n v="2.8838759292488998"/>
    <n v="9"/>
    <n v="2.8838759292488998"/>
    <n v="3.1208"/>
    <n v="0.19716098436297999"/>
    <s v="0:01"/>
    <s v="1:01"/>
    <s v="0:41"/>
    <s v="0:19"/>
    <s v="0:00"/>
    <s v="54:38"/>
    <s v="0:00"/>
    <s v="0:00"/>
    <n v="0"/>
    <n v="0"/>
    <n v="0"/>
    <n v="0"/>
    <n v="0"/>
    <s v="0:00"/>
    <s v="0:00"/>
    <n v="0"/>
    <n v="0"/>
    <n v="0"/>
    <n v="0"/>
    <n v="0"/>
    <n v="0"/>
    <x v="2"/>
    <s v="_x0009_Shara Marie Baler"/>
    <s v="AH-SnapHeld-Aging-Prod"/>
    <x v="0"/>
  </r>
  <r>
    <s v="AH-SnapHeld-ARM-Prod"/>
    <s v="ILO_x0009_Arabella Joy Borromeo"/>
    <s v="arabella.borromeo@company.com"/>
    <n v="22"/>
    <n v="11.407238411283"/>
    <n v="0.51859999999999995"/>
    <n v="1.1016666666667001"/>
    <n v="7"/>
    <n v="0.31818181818182001"/>
    <n v="3.6295758581354001"/>
    <n v="7"/>
    <n v="3.6295758581354001"/>
    <n v="1.9286000000000001"/>
    <n v="0.26889972000415002"/>
    <s v="0:01"/>
    <s v="4:25"/>
    <s v="1:24"/>
    <s v="3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Arabella Joy Borromeo"/>
    <s v="AH-SnapHeld-ARM-ProdAH-AeroHeld-FTP-Prod"/>
    <x v="1"/>
  </r>
  <r>
    <s v="AH-SnapHeld-ARM-Prod"/>
    <s v="ILO_x0009_Cherryl Rose Gabinera"/>
    <s v="cherryl.gabinera@company.com"/>
    <n v="24"/>
    <n v="10.523546435148999"/>
    <n v="1.7442"/>
    <n v="0.10111111111111"/>
    <n v="1"/>
    <n v="4.1666666666666997E-2"/>
    <n v="0.43848110146453001"/>
    <n v="1"/>
    <n v="0.43848110146453001"/>
    <n v="2.2806000000000002"/>
    <n v="0.76479873717443003"/>
    <s v="0:01"/>
    <s v="4:36"/>
    <s v="4:21"/>
    <s v="0:15"/>
    <s v="0:00"/>
    <s v="52:16"/>
    <s v="0:00"/>
    <s v="0:00"/>
    <n v="0"/>
    <n v="0"/>
    <n v="0"/>
    <n v="0"/>
    <n v="0"/>
    <s v="0:00"/>
    <s v="0:00"/>
    <n v="0"/>
    <n v="0"/>
    <n v="0"/>
    <n v="0"/>
    <n v="0"/>
    <n v="0"/>
    <x v="2"/>
    <s v="_x0009_Cherryl Rose Gabinera"/>
    <s v="AH-SnapHeld-ARM-ProdAH-AeroHeld-FTP-Prod"/>
    <x v="1"/>
  </r>
  <r>
    <s v="AH-SnapHeld-ARM-Prod"/>
    <s v="ILO_x0009_Geric Perlas"/>
    <s v="geric.perlas@company.com"/>
    <n v="25"/>
    <n v="11.319387847505"/>
    <n v="1.88"/>
    <n v="4.9166666666666997E-2"/>
    <n v="2"/>
    <n v="0.08"/>
    <n v="0.90555102780041996"/>
    <n v="2"/>
    <n v="0.90555102780041996"/>
    <n v="2.2086000000000001"/>
    <n v="0.85121796613238987"/>
    <s v="0:01"/>
    <s v="4:37"/>
    <s v="4:30"/>
    <s v="0:07"/>
    <s v="0:00"/>
    <s v="52:43"/>
    <s v="0:00"/>
    <s v="0:00"/>
    <n v="0"/>
    <n v="0"/>
    <n v="0"/>
    <n v="0"/>
    <n v="0"/>
    <s v="0:00"/>
    <s v="0:00"/>
    <n v="0"/>
    <n v="0"/>
    <n v="0"/>
    <n v="0"/>
    <n v="0"/>
    <n v="0"/>
    <x v="2"/>
    <s v="_x0009_Geric Perlas"/>
    <s v="AH-SnapHeld-ARM-ProdAH-AeroHeld-FTP-Prod"/>
    <x v="1"/>
  </r>
  <r>
    <s v="AH-SnapHeld-ARM-Prod"/>
    <s v="ILO_x0009_Kaixen Gail Arceta"/>
    <s v="kaixen.arceta@company.com"/>
    <n v="20"/>
    <n v="12.286521685711"/>
    <n v="1.2297"/>
    <n v="0.29472222222222"/>
    <n v="6"/>
    <n v="0.3"/>
    <n v="3.6859565057132002"/>
    <n v="6"/>
    <n v="3.6859565057132002"/>
    <n v="1.6277999999999999"/>
    <n v="0.75543678584592988"/>
    <s v="0:00"/>
    <s v="4:34"/>
    <s v="3:41"/>
    <s v="0:5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Kaixen Gail Arceta"/>
    <s v="AH-SnapHeld-ARM-ProdAH-AeroHeld-FTP-Prod"/>
    <x v="1"/>
  </r>
  <r>
    <s v="AH-SnapHeld-ARM-Prod"/>
    <s v="ILO_x0009_Reynald Jomadiao"/>
    <s v="reynald.jomadiao@company.com"/>
    <n v="70"/>
    <n v="25.333864138106001"/>
    <n v="2.2949999999999999"/>
    <n v="0.13277777777777999"/>
    <n v="8"/>
    <n v="0.11428571428570999"/>
    <n v="2.8952987586407"/>
    <n v="8"/>
    <n v="2.8952987586407"/>
    <n v="2.7631000000000001"/>
    <n v="0.83058883138504003"/>
    <s v="0:00"/>
    <s v="2:04"/>
    <s v="1:58"/>
    <s v="0:06"/>
    <s v="0:00"/>
    <s v="46:40"/>
    <s v="0:00"/>
    <s v="0:00"/>
    <n v="0"/>
    <n v="0"/>
    <n v="0"/>
    <n v="0"/>
    <n v="0"/>
    <s v="0:00"/>
    <s v="0:00"/>
    <n v="0"/>
    <n v="0"/>
    <n v="0"/>
    <n v="0"/>
    <n v="0"/>
    <n v="0"/>
    <x v="2"/>
    <s v="_x0009_Reynald Jomadiao"/>
    <s v="AH-SnapHeld-ARM-ProdAH-AeroHeld-FTP-Prod"/>
    <x v="1"/>
  </r>
  <r>
    <s v="AH-SnapHeld-ARM-Prod"/>
    <s v="ILO  Aliyaah Bianca Candoleza"/>
    <s v="aliyaah.candoleza@company.com"/>
    <n v="39"/>
    <n v="15.209422041962"/>
    <n v="1.8022"/>
    <n v="0.11805555555555999"/>
    <n v="0"/>
    <n v="0"/>
    <n v="0"/>
    <n v="0"/>
    <n v="0"/>
    <n v="2.5642"/>
    <n v="0.70283129241089004"/>
    <s v="0:01"/>
    <s v="2:57"/>
    <s v="2:46"/>
    <s v="0:10"/>
    <s v="0:00"/>
    <s v="36:32"/>
    <s v="0:00"/>
    <s v="0:00"/>
    <n v="0"/>
    <n v="0"/>
    <n v="0"/>
    <n v="0"/>
    <n v="0"/>
    <s v="0:00"/>
    <s v="0:00"/>
    <n v="0"/>
    <n v="0"/>
    <n v="0"/>
    <n v="0"/>
    <n v="0"/>
    <n v="0"/>
    <x v="2"/>
    <s v="Aliyaah Bianca Candoleza"/>
    <s v="AH-SnapHeld-ARM-ProdAH-AeroHeld-FTP-Prod"/>
    <x v="1"/>
  </r>
  <r>
    <s v="AH-SnapHeld-ARM-Prod"/>
    <s v="ILO  Deimple Jolo"/>
    <s v="deimple.jolo@company.com"/>
    <n v="39"/>
    <n v="15.206456895543001"/>
    <n v="1.9094"/>
    <n v="0.16111111111111001"/>
    <n v="0"/>
    <n v="0"/>
    <n v="0"/>
    <n v="0"/>
    <n v="0"/>
    <n v="2.5647000000000002"/>
    <n v="0.74449253323975995"/>
    <s v="0:00"/>
    <s v="3:11"/>
    <s v="2:56"/>
    <s v="0:14"/>
    <s v="0:00"/>
    <s v="27:44"/>
    <s v="0:00"/>
    <s v="0:00"/>
    <n v="0"/>
    <n v="0"/>
    <n v="0"/>
    <n v="0"/>
    <n v="0"/>
    <s v="0:00"/>
    <s v="0:00"/>
    <n v="0"/>
    <n v="0"/>
    <n v="0"/>
    <n v="0"/>
    <n v="0"/>
    <n v="0"/>
    <x v="2"/>
    <s v="Deimple Jolo"/>
    <s v="AH-SnapHeld-ARM-ProdAH-AeroHeld-FTP-Prod"/>
    <x v="1"/>
  </r>
  <r>
    <s v="AH-SnapHeld-ARM-Prod"/>
    <s v="ILO  Hanz Kimcy Esing"/>
    <s v="hanz.esing@company.com"/>
    <n v="71"/>
    <n v="20.167016985741"/>
    <n v="1.0891999999999999"/>
    <n v="1.8166666666667"/>
    <n v="10"/>
    <n v="0.14084507042253999"/>
    <n v="2.8404249275692002"/>
    <n v="10"/>
    <n v="2.8404249275692002"/>
    <n v="3.5206"/>
    <n v="0.30937908311083001"/>
    <s v="0:00"/>
    <s v="2:27"/>
    <s v="0:55"/>
    <s v="1:32"/>
    <s v="0:00"/>
    <s v="12:27"/>
    <s v="0:00"/>
    <s v="0:00"/>
    <n v="0"/>
    <n v="0"/>
    <n v="0"/>
    <n v="0"/>
    <n v="0"/>
    <s v="0:00"/>
    <s v="0:00"/>
    <n v="0"/>
    <n v="0"/>
    <n v="0"/>
    <n v="0"/>
    <n v="0"/>
    <n v="0"/>
    <x v="2"/>
    <s v="Hanz Kimcy Esing"/>
    <s v="AH-SnapHeld-ARM-ProdAH-AeroHeld-FTP-Prod"/>
    <x v="1"/>
  </r>
  <r>
    <s v="AH-SnapHeld-ARM-Prod"/>
    <s v="ILO  Rovy Belarmino"/>
    <s v="rovy.belarmino@company.com"/>
    <n v="17"/>
    <n v="8.3366025892507007"/>
    <n v="0.81079999999999997"/>
    <n v="0.92027777777777997"/>
    <n v="3"/>
    <n v="0.17647058823528999"/>
    <n v="1.4711651628089"/>
    <n v="3"/>
    <n v="1.4711651628089"/>
    <n v="2.0392000000000001"/>
    <n v="0.39760690466850002"/>
    <s v="0:00"/>
    <s v="6:06"/>
    <s v="2:51"/>
    <s v="3:14"/>
    <s v="0:00"/>
    <s v="49:52"/>
    <s v="0:00"/>
    <s v="0:00"/>
    <n v="0"/>
    <n v="0"/>
    <n v="0"/>
    <n v="0"/>
    <n v="0"/>
    <s v="0:00"/>
    <s v="0:00"/>
    <n v="0"/>
    <n v="0"/>
    <n v="0"/>
    <n v="0"/>
    <n v="0"/>
    <n v="0"/>
    <x v="2"/>
    <s v="Rovy Belarmino"/>
    <s v="AH-SnapHeld-ARM-ProdAH-AeroHeld-FTP-Prod"/>
    <x v="1"/>
  </r>
  <r>
    <s v="AH-SnapHeld-ARM-Prod"/>
    <s v="ILO  Sherlem Tonio"/>
    <s v="sherlem.tonio@company.com"/>
    <n v="78"/>
    <n v="16.411378555799001"/>
    <n v="3.0257999999999998"/>
    <n v="0.31055555555556003"/>
    <n v="15"/>
    <n v="0.19230769230768999"/>
    <n v="3.1560343376536002"/>
    <n v="15"/>
    <n v="3.1560343376536002"/>
    <n v="4.7527999999999997"/>
    <n v="0.63663524659147996"/>
    <s v="0:01"/>
    <s v="2:33"/>
    <s v="2:19"/>
    <s v="0:14"/>
    <s v="0:00"/>
    <s v="31:47"/>
    <s v="0:00"/>
    <s v="0:00"/>
    <n v="0"/>
    <n v="0"/>
    <n v="0"/>
    <n v="0"/>
    <n v="0"/>
    <s v="0:00"/>
    <s v="0:00"/>
    <n v="0"/>
    <n v="0"/>
    <n v="0"/>
    <n v="0"/>
    <n v="0"/>
    <n v="0"/>
    <x v="2"/>
    <s v="Sherlem Tonio"/>
    <s v="AH-SnapHeld-ARM-ProdAH-AeroHeld-FTP-Prod"/>
    <x v="1"/>
  </r>
  <r>
    <s v="AH-SnapHeld-DCAH-Prod"/>
    <s v="BTG  Chrizza Marquez"/>
    <s v="chrizza.marquez@company.com"/>
    <n v="17"/>
    <n v="9.4675874359546004"/>
    <n v="0.96779999999999999"/>
    <n v="3.6111111111110997E-2"/>
    <n v="0"/>
    <n v="0"/>
    <n v="0"/>
    <n v="0"/>
    <n v="0"/>
    <n v="1.7956000000000001"/>
    <n v="0.53898418355981004"/>
    <s v="0:01"/>
    <s v="3:32"/>
    <s v="3:24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Chrizza Marquez"/>
    <s v="AH-SnapHeld-DCAH-Prod"/>
    <x v="2"/>
  </r>
  <r>
    <s v="AH-SnapHeld-DCAH-Prod"/>
    <s v="BTG  Sheila Rocero"/>
    <s v="sheila.rocero@company.com"/>
    <n v="6"/>
    <n v="4.9067713444552998"/>
    <n v="0.61140000000000005"/>
    <n v="5.5555555555556E-3"/>
    <n v="0"/>
    <n v="0"/>
    <n v="0"/>
    <n v="0"/>
    <n v="0"/>
    <n v="1.2228000000000001"/>
    <n v="0.5"/>
    <s v="0:01"/>
    <s v="6:10"/>
    <s v="6:06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Sheila Rocero"/>
    <s v="AH-SnapHeld-DCAH-Prod"/>
    <x v="2"/>
  </r>
  <r>
    <s v="AH-SnapHeld-DCAH-Prod"/>
    <s v="BTG Angelo Jade Garcia"/>
    <s v="angelo.garcia@company.com"/>
    <n v="41"/>
    <n v="29.090393075066999"/>
    <n v="0.32140000000000002"/>
    <n v="2.2499999999999999E-2"/>
    <n v="1"/>
    <n v="2.4390243902439001E-2"/>
    <n v="0.70952178231871998"/>
    <n v="1"/>
    <n v="0.70952178231871998"/>
    <n v="1.4094"/>
    <n v="0.22804030083724"/>
    <s v="0:31"/>
    <s v="0:30"/>
    <s v="0:28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ngelo Jade Garcia"/>
    <s v="AH-SnapHeld-DCAH-Prod"/>
    <x v="2"/>
  </r>
  <r>
    <s v="AH-SnapHeld-DCAH-Prod"/>
    <s v="BTG Ariane Lois Mea"/>
    <s v="ariane.mea@company.com"/>
    <n v="9"/>
    <n v="5.9276822762299997"/>
    <n v="0.80079999999999996"/>
    <n v="2.4722222222222E-2"/>
    <n v="2"/>
    <n v="0.22222222222221999"/>
    <n v="1.3172627280511"/>
    <n v="2"/>
    <n v="1.3172627280511"/>
    <n v="1.5183"/>
    <n v="0.52743199631166005"/>
    <s v="0:01"/>
    <s v="5:30"/>
    <s v="5:20"/>
    <s v="0:09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riane Lois Mea"/>
    <s v="AH-SnapHeld-DCAH-Prod"/>
    <x v="2"/>
  </r>
  <r>
    <s v="AH-SnapHeld-DCAH-Prod"/>
    <s v="BTG Arlan Cordero"/>
    <s v="arlan.cordero@company.com"/>
    <n v="10"/>
    <n v="5.5847202055176997"/>
    <n v="1.2605999999999999"/>
    <n v="2.0555555555556E-2"/>
    <n v="0"/>
    <n v="0"/>
    <n v="0"/>
    <n v="0"/>
    <n v="0"/>
    <n v="1.7906"/>
    <n v="0.70400982910756005"/>
    <s v="0:01"/>
    <s v="7:41"/>
    <s v="7:33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rlan Cordero"/>
    <s v="AH-SnapHeld-DCAH-Prod"/>
    <x v="2"/>
  </r>
  <r>
    <s v="AH-SnapHeld-DCAH-Prod"/>
    <s v="BTG Aunila Regodos"/>
    <s v="aunila.regodos@company.com"/>
    <n v="9"/>
    <n v="5.0139275766017004"/>
    <n v="1.3130999999999999"/>
    <n v="0.03"/>
    <n v="1"/>
    <n v="0.11111111111110999"/>
    <n v="0.55710306406684995"/>
    <n v="1"/>
    <n v="0.55710306406684995"/>
    <n v="1.7949999999999999"/>
    <n v="0.73153203342618001"/>
    <s v="0:01"/>
    <s v="8:57"/>
    <s v="8:45"/>
    <s v="0:1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unila Regodos"/>
    <s v="AH-SnapHeld-DCAH-Prod"/>
    <x v="2"/>
  </r>
  <r>
    <s v="AH-SnapHeld-DCAH-Prod"/>
    <s v="BTG Austin Rg Abrenica"/>
    <s v="austin.abrenica@company.com"/>
    <n v="86"/>
    <n v="23.297393942677999"/>
    <n v="1.1222000000000001"/>
    <n v="0.27166666666667"/>
    <n v="2"/>
    <n v="2.3255813953488001E-2"/>
    <n v="0.54179985913203998"/>
    <n v="2"/>
    <n v="0.54179985913203998"/>
    <n v="3.6913999999999998"/>
    <n v="0.30400390095898999"/>
    <s v="0:14"/>
    <s v="0:58"/>
    <s v="0:46"/>
    <s v="0:11"/>
    <s v="0:00"/>
    <s v="18:56"/>
    <s v="0:00"/>
    <s v="0:00"/>
    <n v="0"/>
    <n v="0"/>
    <n v="0"/>
    <n v="0"/>
    <n v="0"/>
    <s v="0:00"/>
    <s v="0:00"/>
    <n v="0"/>
    <n v="0"/>
    <n v="0"/>
    <n v="0"/>
    <n v="0"/>
    <n v="0"/>
    <x v="1"/>
    <s v="Austin Rg Abrenica"/>
    <s v="AH-SnapHeld-DCAH-Prod"/>
    <x v="2"/>
  </r>
  <r>
    <s v="AH-SnapHeld-DCAH-Prod"/>
    <s v="BTG Beverly Vargas"/>
    <s v="beverly.vargas@company.com"/>
    <n v="5"/>
    <n v="2.7894002789400001"/>
    <n v="1.0003"/>
    <n v="5.8333333333333001E-2"/>
    <n v="1"/>
    <n v="0.2"/>
    <n v="0.55788005578801003"/>
    <n v="1"/>
    <n v="0.55788005578801003"/>
    <n v="1.7925"/>
    <n v="0.55804741980474004"/>
    <s v="0:02"/>
    <s v="12:42"/>
    <s v="12:00"/>
    <s v="0:4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Beverly Vargas"/>
    <s v="AH-SnapHeld-DCAH-Prod"/>
    <x v="2"/>
  </r>
  <r>
    <s v="AH-SnapHeld-DCAH-Prod"/>
    <s v="BTG Christian Sulabo"/>
    <s v="christian.sulabo@company.com"/>
    <n v="21"/>
    <n v="11.223344556678001"/>
    <n v="0.4819"/>
    <n v="8.8888888888888993E-3"/>
    <n v="0"/>
    <n v="0"/>
    <n v="0"/>
    <n v="0"/>
    <n v="0"/>
    <n v="1.8711"/>
    <n v="0.25754903532681001"/>
    <s v="1:23"/>
    <s v="1:24"/>
    <s v="1:22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Christian Sulabo"/>
    <s v="AH-SnapHeld-DCAH-Prod"/>
    <x v="2"/>
  </r>
  <r>
    <s v="AH-SnapHeld-DCAH-Prod"/>
    <s v="BTG Cresia Mae Millave"/>
    <s v="cresia.millave@company.com"/>
    <n v="7"/>
    <n v="4.2444821731748998"/>
    <n v="1.1261000000000001"/>
    <n v="6.4166666666666997E-2"/>
    <n v="0"/>
    <n v="0"/>
    <n v="0"/>
    <n v="0"/>
    <n v="0"/>
    <n v="1.6492"/>
    <n v="0.68281591074460002"/>
    <s v="0:01"/>
    <s v="10:12"/>
    <s v="9:39"/>
    <s v="0:3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Cresia Mae Millave"/>
    <s v="AH-SnapHeld-DCAH-Prod"/>
    <x v="2"/>
  </r>
  <r>
    <s v="AH-SnapHeld-DCAH-Prod"/>
    <s v="BTG Deo Medrano"/>
    <s v="deo.medrano@company.com"/>
    <n v="10"/>
    <n v="5.6100981767181004"/>
    <n v="1.1533"/>
    <n v="0.11472222222222"/>
    <n v="0"/>
    <n v="0"/>
    <n v="0"/>
    <n v="0"/>
    <n v="0"/>
    <n v="1.7825"/>
    <n v="0.64701262272089999"/>
    <s v="0:02"/>
    <s v="7:36"/>
    <s v="6:55"/>
    <s v="0:4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Deo Medrano"/>
    <s v="AH-SnapHeld-DCAH-Prod"/>
    <x v="2"/>
  </r>
  <r>
    <s v="AH-SnapHeld-DCAH-Prod"/>
    <s v="BTG Desiree Joy Basco"/>
    <s v="desiree.basco@company.com"/>
    <n v="7"/>
    <n v="3.8984183559812999"/>
    <n v="1.3419000000000001"/>
    <n v="1.6388888888889001E-2"/>
    <n v="0"/>
    <n v="0"/>
    <n v="0"/>
    <n v="0"/>
    <n v="0"/>
    <n v="1.7956000000000001"/>
    <n v="0.74732679884161013"/>
    <s v="0:01"/>
    <s v="11:38"/>
    <s v="11:30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Desiree Joy Basco"/>
    <s v="AH-SnapHeld-DCAH-Prod"/>
    <x v="2"/>
  </r>
  <r>
    <s v="AH-SnapHeld-DCAH-Prod"/>
    <s v="BTG Jaja Zapata"/>
    <s v="jaja.zapata@company.com"/>
    <n v="7"/>
    <n v="3.9294936566745"/>
    <n v="1.2163999999999999"/>
    <n v="6.7777777777778006E-2"/>
    <n v="0"/>
    <n v="0"/>
    <n v="0"/>
    <n v="0"/>
    <n v="0"/>
    <n v="1.7814000000000001"/>
    <n v="0.6828337262827"/>
    <s v="0:02"/>
    <s v="11:00"/>
    <s v="10:25"/>
    <s v="0:3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aja Zapata"/>
    <s v="AH-SnapHeld-DCAH-Prod"/>
    <x v="2"/>
  </r>
  <r>
    <s v="AH-SnapHeld-DCAH-Prod"/>
    <s v="BTG Jerimo Dave Reyes"/>
    <s v="jerimo.reyes@company.com"/>
    <n v="20"/>
    <n v="10.720411663807999"/>
    <n v="1.0342"/>
    <n v="5.1111111111111003E-2"/>
    <n v="2"/>
    <n v="0.1"/>
    <n v="1.0720411663808"/>
    <n v="2"/>
    <n v="1.0720411663808"/>
    <n v="1.8655999999999999"/>
    <n v="0.55435248713551"/>
    <s v="0:44"/>
    <s v="3:15"/>
    <s v="3:06"/>
    <s v="0:09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erimo Dave Reyes"/>
    <s v="AH-SnapHeld-DCAH-Prod"/>
    <x v="2"/>
  </r>
  <r>
    <s v="AH-SnapHeld-DCAH-Prod"/>
    <s v="BTG Jerlyn Albiso"/>
    <s v="jerlyn.albiso@company.com"/>
    <n v="28"/>
    <n v="13.621327106441001"/>
    <n v="0.6472"/>
    <n v="1.8333333333333E-2"/>
    <n v="1"/>
    <n v="3.5714285714285997E-2"/>
    <n v="0.48647596808718002"/>
    <n v="1"/>
    <n v="0.48647596808718002"/>
    <n v="2.0556000000000001"/>
    <n v="0.31484724654601998"/>
    <s v="0:45"/>
    <s v="1:25"/>
    <s v="1:23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erlyn Albiso"/>
    <s v="AH-SnapHeld-DCAH-Prod"/>
    <x v="2"/>
  </r>
  <r>
    <s v="AH-SnapHeld-DCAH-Prod"/>
    <s v="BTG Jershey Macaraig"/>
    <s v="jershey.macaraig@company.com"/>
    <n v="20"/>
    <n v="10.500341261091"/>
    <n v="0.94389999999999996"/>
    <n v="5.5833333333332999E-2"/>
    <n v="1"/>
    <n v="0.05"/>
    <n v="0.52501706305454998"/>
    <n v="1"/>
    <n v="0.52501706305454998"/>
    <n v="1.9047000000000001"/>
    <n v="0.49556360581719"/>
    <s v="0:43"/>
    <s v="2:59"/>
    <s v="2:49"/>
    <s v="0:1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ershey Macaraig"/>
    <s v="AH-SnapHeld-DCAH-Prod"/>
    <x v="2"/>
  </r>
  <r>
    <s v="AH-SnapHeld-DCAH-Prod"/>
    <s v="BTG Jhessusa Andal"/>
    <s v="jhessusa.andal@company.com"/>
    <n v="24"/>
    <n v="12.446196131307"/>
    <n v="0.97060000000000002"/>
    <n v="5.9722222222222003E-2"/>
    <n v="1"/>
    <n v="4.1666666666666997E-2"/>
    <n v="0.51859150547113997"/>
    <n v="1"/>
    <n v="0.51859150547113997"/>
    <n v="1.9282999999999999"/>
    <n v="0.50334491521029001"/>
    <s v="0:42"/>
    <s v="2:34"/>
    <s v="2:25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hessusa Andal"/>
    <s v="AH-SnapHeld-DCAH-Prod"/>
    <x v="2"/>
  </r>
  <r>
    <s v="AH-SnapHeld-DCAH-Prod"/>
    <s v="BTG John Lloyd Violante"/>
    <s v="john.violante@company.com"/>
    <n v="33"/>
    <n v="21.615248575359001"/>
    <n v="0.41360000000000002"/>
    <n v="0.14222222222222"/>
    <n v="4"/>
    <n v="0.12121212121211999"/>
    <n v="2.6200301303465001"/>
    <n v="4"/>
    <n v="2.6200301303465001"/>
    <n v="1.5266999999999999"/>
    <n v="0.27091111547782998"/>
    <s v="0:45"/>
    <s v="1:00"/>
    <s v="0:45"/>
    <s v="0:15"/>
    <s v="0:00"/>
    <s v="36:06"/>
    <s v="0:00"/>
    <s v="0:00"/>
    <n v="0"/>
    <n v="0"/>
    <n v="0"/>
    <n v="0"/>
    <n v="0"/>
    <s v="0:00"/>
    <s v="0:00"/>
    <n v="0"/>
    <n v="0"/>
    <n v="0"/>
    <n v="0"/>
    <n v="0"/>
    <n v="0"/>
    <x v="1"/>
    <s v="John Lloyd Violante"/>
    <s v="AH-SnapHeld-DCAH-Prod"/>
    <x v="2"/>
  </r>
  <r>
    <s v="AH-SnapHeld-DCAH-Prod"/>
    <s v="BTG Jomar Untalan"/>
    <s v="jomar.untalan@company.com"/>
    <n v="10"/>
    <n v="5.5812915108555998"/>
    <n v="1.0919000000000001"/>
    <n v="6.7222222222222003E-2"/>
    <n v="1"/>
    <n v="0.1"/>
    <n v="0.55812915108556005"/>
    <n v="1"/>
    <n v="0.55812915108556005"/>
    <n v="1.7917000000000001"/>
    <n v="0.60942122007031996"/>
    <s v="0:01"/>
    <s v="6:57"/>
    <s v="6:33"/>
    <s v="0:2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omar Untalan"/>
    <s v="AH-SnapHeld-DCAH-Prod"/>
    <x v="2"/>
  </r>
  <r>
    <s v="AH-SnapHeld-DCAH-Prod"/>
    <s v="BTG Joshua James Maranan"/>
    <s v="joshua.maranan@company.com"/>
    <n v="17"/>
    <n v="9.2100986022320992"/>
    <n v="0.88360000000000005"/>
    <n v="0.10277777777777999"/>
    <n v="1"/>
    <n v="5.8823529411765003E-2"/>
    <n v="0.54177050601364996"/>
    <n v="1"/>
    <n v="0.54177050601364996"/>
    <n v="1.8458000000000001"/>
    <n v="0.47870841911366002"/>
    <s v="0:56"/>
    <s v="3:28"/>
    <s v="3:07"/>
    <s v="0:2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oshua James Maranan"/>
    <s v="AH-SnapHeld-DCAH-Prod"/>
    <x v="2"/>
  </r>
  <r>
    <s v="AH-SnapHeld-DCAH-Prod"/>
    <s v="BTG Kathy Mendoza"/>
    <s v="kathy.mendoza@company.com"/>
    <n v="12"/>
    <n v="6.6904549509367"/>
    <n v="1.0266999999999999"/>
    <n v="7.0000000000000007E-2"/>
    <n v="0"/>
    <n v="0"/>
    <n v="0"/>
    <n v="0"/>
    <n v="0"/>
    <n v="1.7936000000000001"/>
    <n v="0.57242417484388997"/>
    <s v="0:01"/>
    <s v="5:29"/>
    <s v="5:08"/>
    <s v="0:2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Kathy Mendoza"/>
    <s v="AH-SnapHeld-DCAH-Prod"/>
    <x v="2"/>
  </r>
  <r>
    <s v="AH-SnapHeld-DCAH-Prod"/>
    <s v="BTG Kean Jezzel Papa"/>
    <s v="kean.papa@company.com"/>
    <n v="14"/>
    <n v="6.7770355310291004"/>
    <n v="0.57389999999999997"/>
    <n v="0.26222222222222002"/>
    <n v="0"/>
    <n v="0"/>
    <n v="0"/>
    <n v="0"/>
    <n v="0"/>
    <n v="2.0657999999999999"/>
    <n v="0.27781004937553999"/>
    <s v="1:50"/>
    <s v="3:35"/>
    <s v="2:27"/>
    <s v="1:07"/>
    <s v="0:00"/>
    <s v="31:30"/>
    <s v="0:00"/>
    <s v="0:00"/>
    <n v="0"/>
    <n v="0"/>
    <n v="0"/>
    <n v="0"/>
    <n v="0"/>
    <s v="0:00"/>
    <s v="0:00"/>
    <n v="0"/>
    <n v="0"/>
    <n v="0"/>
    <n v="0"/>
    <n v="0"/>
    <n v="0"/>
    <x v="1"/>
    <s v="Kean Jezzel Papa"/>
    <s v="AH-SnapHeld-DCAH-Prod"/>
    <x v="2"/>
  </r>
  <r>
    <s v="AH-SnapHeld-DCAH-Prod"/>
    <s v="BTG Kia Delizo"/>
    <s v="kia.delizo@company.com"/>
    <n v="23"/>
    <n v="15.040544075333999"/>
    <n v="0.43219999999999997"/>
    <n v="4.7222222222221999E-2"/>
    <n v="1"/>
    <n v="4.3478260869565001E-2"/>
    <n v="0.65393669892754003"/>
    <n v="1"/>
    <n v="0.65393669892754003"/>
    <n v="1.5291999999999999"/>
    <n v="0.28263144127647999"/>
    <s v="0:54"/>
    <s v="1:15"/>
    <s v="1:07"/>
    <s v="0:07"/>
    <s v="0:00"/>
    <s v="24:59"/>
    <s v="0:00"/>
    <s v="0:00"/>
    <n v="0"/>
    <n v="0"/>
    <n v="0"/>
    <n v="0"/>
    <n v="0"/>
    <s v="0:00"/>
    <s v="0:00"/>
    <n v="0"/>
    <n v="0"/>
    <n v="0"/>
    <n v="0"/>
    <n v="0"/>
    <n v="0"/>
    <x v="1"/>
    <s v="Kia Delizo"/>
    <s v="AH-SnapHeld-DCAH-Prod"/>
    <x v="2"/>
  </r>
  <r>
    <s v="AH-SnapHeld-DCAH-Prod"/>
    <s v="BTG Liemund Laquerez"/>
    <s v="liemund.laquerez@company.com"/>
    <n v="24"/>
    <n v="16.757436112274998"/>
    <n v="0.75170000000000003"/>
    <n v="2.2499999999999999E-2"/>
    <n v="1"/>
    <n v="4.1666666666666997E-2"/>
    <n v="0.69822650467811997"/>
    <n v="1"/>
    <n v="0.69822650467811997"/>
    <n v="1.4321999999999999"/>
    <n v="0.52485686356654004"/>
    <s v="0:37"/>
    <s v="1:56"/>
    <s v="1:52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Liemund Laquerez"/>
    <s v="AH-SnapHeld-DCAH-Prod"/>
    <x v="2"/>
  </r>
  <r>
    <s v="AH-SnapHeld-DCAH-Prod"/>
    <s v="BTG Ma Francia Tandaan"/>
    <s v="ma.tandaan@company.com"/>
    <n v="9"/>
    <n v="5.0108568565224996"/>
    <n v="1.2791999999999999"/>
    <n v="1.9722222222221999E-2"/>
    <n v="2"/>
    <n v="0.22222222222221999"/>
    <n v="1.1135237458939"/>
    <n v="2"/>
    <n v="1.1135237458939"/>
    <n v="1.7961"/>
    <n v="0.71220978787373002"/>
    <s v="0:02"/>
    <s v="8:39"/>
    <s v="8:31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 Francia Tandaan"/>
    <s v="AH-SnapHeld-DCAH-Prod"/>
    <x v="2"/>
  </r>
  <r>
    <s v="AH-SnapHeld-DCAH-Prod"/>
    <s v="BTG Maila Donisa"/>
    <s v="maila.donisa@company.com"/>
    <n v="31"/>
    <n v="17.875677545841999"/>
    <n v="0.36530000000000001"/>
    <n v="1.4444444444444E-2"/>
    <n v="4"/>
    <n v="0.12903225806452001"/>
    <n v="2.3065390381732001"/>
    <n v="4"/>
    <n v="2.3065390381732001"/>
    <n v="1.7342"/>
    <n v="0.21064467766117001"/>
    <s v="0:43"/>
    <s v="0:44"/>
    <s v="0:42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ila Donisa"/>
    <s v="AH-SnapHeld-DCAH-Prod"/>
    <x v="2"/>
  </r>
  <r>
    <s v="AH-SnapHeld-DCAH-Prod"/>
    <s v="BTG Margarette Gay Ilagan"/>
    <s v="margarette.ilagan@company.com"/>
    <n v="13"/>
    <n v="7.2500139423345011"/>
    <n v="0.97499999999999998"/>
    <n v="0.11666666666667"/>
    <n v="0"/>
    <n v="0"/>
    <n v="0"/>
    <n v="0"/>
    <n v="0"/>
    <n v="1.7930999999999999"/>
    <n v="0.54375104567509003"/>
    <s v="0:02"/>
    <s v="5:02"/>
    <s v="4:30"/>
    <s v="0:3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rgarette Gay Ilagan"/>
    <s v="AH-SnapHeld-DCAH-Prod"/>
    <x v="2"/>
  </r>
  <r>
    <s v="AH-SnapHeld-DCAH-Prod"/>
    <s v="BTG Maria Fidelis Araja"/>
    <s v="maria.araja@company.com"/>
    <n v="15"/>
    <n v="7.3489784919896"/>
    <n v="1.2683"/>
    <n v="2.3611111111110999E-2"/>
    <n v="1"/>
    <n v="6.6666666666666999E-2"/>
    <n v="0.48993189946596999"/>
    <n v="1"/>
    <n v="0.48993189946596999"/>
    <n v="2.0411000000000001"/>
    <n v="0.6213806280927"/>
    <s v="1:11"/>
    <s v="5:10"/>
    <s v="5:04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ria Fidelis Araja"/>
    <s v="AH-SnapHeld-DCAH-Prod"/>
    <x v="2"/>
  </r>
  <r>
    <s v="AH-SnapHeld-DCAH-Prod"/>
    <s v="BTG Mikee Cryz"/>
    <s v="mikee.cryz@company.com"/>
    <n v="15"/>
    <n v="9.6271099415954993"/>
    <n v="0.83499999999999996"/>
    <n v="9.1666666666666997E-3"/>
    <n v="1"/>
    <n v="6.6666666666666999E-2"/>
    <n v="0.64180732943969998"/>
    <n v="1"/>
    <n v="0.64180732943969998"/>
    <n v="1.5581"/>
    <n v="0.53590912008214997"/>
    <s v="1:02"/>
    <s v="3:22"/>
    <s v="3:20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ikee Cryz"/>
    <s v="AH-SnapHeld-DCAH-Prod"/>
    <x v="2"/>
  </r>
  <r>
    <s v="AH-SnapHeld-DCAH-Prod"/>
    <s v="BTG Nicko Masangqui"/>
    <s v="nicko.masangqui@company.com"/>
    <n v="18"/>
    <n v="10.048007145250001"/>
    <n v="0.79749999999999999"/>
    <n v="1.4444444444444E-2"/>
    <n v="0"/>
    <n v="0"/>
    <n v="0"/>
    <n v="0"/>
    <n v="0"/>
    <n v="1.7914000000000001"/>
    <n v="0.44518253879647002"/>
    <s v="0:01"/>
    <s v="2:42"/>
    <s v="2:39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Nicko Masangqui"/>
    <s v="AH-SnapHeld-DCAH-Prod"/>
    <x v="2"/>
  </r>
  <r>
    <s v="AH-SnapHeld-DCAH-Prod"/>
    <s v="BTG Quene Mae Rotoni"/>
    <s v="quene.rotoni@company.com"/>
    <n v="24"/>
    <n v="12.726694241171"/>
    <n v="1.0078"/>
    <n v="3.3611111111111001E-2"/>
    <n v="1"/>
    <n v="4.1666666666666997E-2"/>
    <n v="0.53027892671544996"/>
    <n v="1"/>
    <n v="0.53027892671544996"/>
    <n v="1.8857999999999999"/>
    <n v="0.53441510234383005"/>
    <s v="0:35"/>
    <s v="2:36"/>
    <s v="2:31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Quene Mae Rotoni"/>
    <s v="AH-SnapHeld-DCAH-Prod"/>
    <x v="2"/>
  </r>
  <r>
    <s v="AH-SnapHeld-DCAH-Prod"/>
    <s v="BTG Ramel Ubana"/>
    <s v="ramel.ubana@company.com"/>
    <n v="24"/>
    <n v="12.640893289792"/>
    <n v="0.68810000000000004"/>
    <n v="4.5277777777778E-2"/>
    <n v="0"/>
    <n v="0"/>
    <n v="0"/>
    <n v="0"/>
    <n v="0"/>
    <n v="1.8986000000000001"/>
    <n v="0.36242494469608999"/>
    <s v="1:18"/>
    <s v="1:50"/>
    <s v="1:43"/>
    <s v="0:0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Ramel Ubana"/>
    <s v="AH-SnapHeld-DCAH-Prod"/>
    <x v="2"/>
  </r>
  <r>
    <s v="AH-SnapHeld-DCAH-Prod"/>
    <s v="BTG Ruthmabelle Alday"/>
    <s v="ruthmabelle.alday@company.com"/>
    <n v="5"/>
    <n v="3.1812686899535998"/>
    <n v="1.1564000000000001"/>
    <n v="2.3611111111110999E-2"/>
    <n v="0"/>
    <n v="0"/>
    <n v="0"/>
    <n v="0"/>
    <n v="0"/>
    <n v="1.5717000000000001"/>
    <n v="0.73576382261245998"/>
    <s v="0:02"/>
    <s v="14:09"/>
    <s v="13:52"/>
    <s v="0:1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Ruthmabelle Alday"/>
    <s v="AH-SnapHeld-DCAH-Prod"/>
    <x v="2"/>
  </r>
  <r>
    <s v="AH-SnapHeld-DCAH-Prod"/>
    <s v="BTG Sernad De Silva"/>
    <s v="sernad.desilva@company.com"/>
    <n v="26"/>
    <n v="13.724662162162"/>
    <n v="0.89249999999999996"/>
    <n v="1.4722222222222E-2"/>
    <n v="2"/>
    <n v="7.6923076923076997E-2"/>
    <n v="1.0557432432431999"/>
    <n v="2"/>
    <n v="1.0557432432431999"/>
    <n v="1.8944000000000001"/>
    <n v="0.47112542229729998"/>
    <s v="0:36"/>
    <s v="2:05"/>
    <s v="2:03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Sernad De Silva"/>
    <s v="AH-SnapHeld-DCAH-Prod"/>
    <x v="2"/>
  </r>
  <r>
    <s v="AH-SnapHeld-DCAH-Prod"/>
    <s v="ILO_x0009_Cherryl Rose Gabinera"/>
    <s v="cherryl.gabinera@company.com"/>
    <n v="4"/>
    <n v="5.7695081494303002"/>
    <n v="0.25330000000000003"/>
    <n v="2.1666666666667E-2"/>
    <n v="0"/>
    <n v="0"/>
    <n v="0"/>
    <n v="0"/>
    <n v="0"/>
    <n v="0.69330000000000003"/>
    <n v="0.36535410356267001"/>
    <s v="2:45"/>
    <s v="4:07"/>
    <s v="3:48"/>
    <s v="0:19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Cherryl Rose Gabinera"/>
    <s v="AH-SnapHeld-DCAH-Prod"/>
    <x v="2"/>
  </r>
  <r>
    <s v="AH-SnapHeld-DCAH-Prod"/>
    <s v="ILO_x0009_Geric Perlas"/>
    <s v="geric.perlas@company.com"/>
    <n v="6"/>
    <n v="6.1205753340814004"/>
    <n v="0.45689999999999997"/>
    <n v="1.9444444444444001E-2"/>
    <n v="1"/>
    <n v="0.16666666666666999"/>
    <n v="1.0200958890136"/>
    <n v="1"/>
    <n v="1.0200958890136"/>
    <n v="0.98029999999999995"/>
    <n v="0.4660818116903"/>
    <s v="3:02"/>
    <s v="4:45"/>
    <s v="4:34"/>
    <s v="0:1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Geric Perlas"/>
    <s v="AH-SnapHeld-DCAH-Prod"/>
    <x v="2"/>
  </r>
  <r>
    <s v="AH-SnapHeld-DCAH-Prod"/>
    <s v="ILO  Aira Plaza"/>
    <s v="aira.plaza@company.com"/>
    <n v="8"/>
    <n v="13.340003335001001"/>
    <n v="9.4700000000000006E-2"/>
    <n v="7.7777777777778001E-3"/>
    <n v="0"/>
    <n v="0"/>
    <n v="0"/>
    <n v="0"/>
    <n v="0"/>
    <n v="0.59970000000000001"/>
    <n v="0.15791228947807001"/>
    <s v="1:21"/>
    <s v="0:46"/>
    <s v="0:42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Aira Plaza"/>
    <s v="AH-SnapHeld-DCAH-Prod"/>
    <x v="2"/>
  </r>
  <r>
    <s v="AH-SnapHeld-DCAH-Prod"/>
    <s v="ILO  Aliyaah Bianca Candoleza"/>
    <s v="aliyaah.candoleza@company.com"/>
    <n v="10"/>
    <n v="10.998680158380999"/>
    <n v="0.25469999999999998"/>
    <n v="1.4722222222222E-2"/>
    <n v="1"/>
    <n v="0.1"/>
    <n v="1.0998680158381"/>
    <n v="1"/>
    <n v="1.0998680158381"/>
    <n v="0.90920000000000001"/>
    <n v="0.28013638363395998"/>
    <s v="2:22"/>
    <s v="1:37"/>
    <s v="1:31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Aliyaah Bianca Candoleza"/>
    <s v="AH-SnapHeld-DCAH-Prod"/>
    <x v="2"/>
  </r>
  <r>
    <s v="AH-SnapHeld-DCAH-Prod"/>
    <s v="ILO  Deimple Jolo"/>
    <s v="deimple.jolo@company.com"/>
    <n v="6"/>
    <n v="6.7039106145250997"/>
    <n v="0.2306"/>
    <n v="5.6388888888889002E-2"/>
    <n v="0"/>
    <n v="0"/>
    <n v="0"/>
    <n v="0"/>
    <n v="0"/>
    <n v="0.89500000000000002"/>
    <n v="0.25765363128492003"/>
    <s v="3:28"/>
    <s v="2:52"/>
    <s v="2:18"/>
    <s v="0:3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Deimple Jolo"/>
    <s v="AH-SnapHeld-DCAH-Prod"/>
    <x v="2"/>
  </r>
  <r>
    <s v="AH-SnapHeld-DCAH-Prod"/>
    <s v="ILO  John Lawrence Esteva"/>
    <s v="john.esteva@company.com"/>
    <n v="7"/>
    <n v="9.5276983802912998"/>
    <n v="0.29110000000000003"/>
    <n v="2.5000000000000001E-3"/>
    <n v="0"/>
    <n v="0"/>
    <n v="0"/>
    <n v="0"/>
    <n v="0"/>
    <n v="0.73470000000000002"/>
    <n v="0.39621614264325999"/>
    <s v="1:26"/>
    <s v="2:31"/>
    <s v="2:29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John Lawrence Esteva"/>
    <s v="AH-SnapHeld-DCAH-Prod"/>
    <x v="2"/>
  </r>
  <r>
    <s v="AH-SnapHeld-DCScrubs-Prod"/>
    <s v="BCD Aguijon Antonio Jr"/>
    <s v="aguijon.antonio@company.com"/>
    <n v="40"/>
    <n v="10.048231511254"/>
    <n v="1.6335999999999999"/>
    <n v="0.91638888888889003"/>
    <n v="3"/>
    <n v="7.4999999999999997E-2"/>
    <n v="0.75361736334405005"/>
    <n v="3"/>
    <n v="0.75361736334405005"/>
    <n v="3.9807999999999999"/>
    <n v="0.41036977491961002"/>
    <s v="0:01"/>
    <s v="3:49"/>
    <s v="2:27"/>
    <s v="1:22"/>
    <s v="0:00"/>
    <s v="26:43"/>
    <s v="0:00"/>
    <s v="0:00"/>
    <n v="0"/>
    <n v="0"/>
    <n v="0"/>
    <n v="0"/>
    <n v="0"/>
    <s v="0:00"/>
    <s v="0:00"/>
    <n v="0"/>
    <n v="0"/>
    <n v="0"/>
    <n v="0"/>
    <n v="0"/>
    <n v="0"/>
    <x v="0"/>
    <s v="Aguijon Antonio Jr"/>
    <s v="AH-SnapHeld-DCScrubs-Prod"/>
    <x v="3"/>
  </r>
  <r>
    <s v="AH-SnapHeld-DCScrubs-Prod"/>
    <s v="BCD Darnel Torres"/>
    <s v="darnel.torres@company.com"/>
    <n v="52"/>
    <n v="13.927576601670999"/>
    <n v="0.76080000000000003"/>
    <n v="0.78249999999999997"/>
    <n v="7"/>
    <n v="0.13461538461538"/>
    <n v="1.8748660809941999"/>
    <n v="7"/>
    <n v="1.8748660809941999"/>
    <n v="3.7336"/>
    <n v="0.20377115920291"/>
    <s v="0:01"/>
    <s v="1:46"/>
    <s v="0:52"/>
    <s v="0:54"/>
    <s v="0:00"/>
    <s v="27:19"/>
    <s v="0:00"/>
    <s v="0:00"/>
    <n v="0"/>
    <n v="0"/>
    <n v="0"/>
    <n v="0"/>
    <n v="0"/>
    <s v="0:00"/>
    <s v="0:00"/>
    <n v="0"/>
    <n v="0"/>
    <n v="0"/>
    <n v="0"/>
    <n v="0"/>
    <n v="0"/>
    <x v="0"/>
    <s v="Darnel Torres"/>
    <s v="AH-SnapHeld-DCScrubs-Prod"/>
    <x v="3"/>
  </r>
  <r>
    <s v="AH-SnapHeld-DCScrubs-Prod"/>
    <s v="BCD Karen Joy Canlas"/>
    <s v="karen.canlas@company.com"/>
    <n v="41"/>
    <n v="11.88612512321"/>
    <n v="1.4221999999999999"/>
    <n v="0.94527777777777999"/>
    <n v="5"/>
    <n v="0.1219512195122"/>
    <n v="1.4495274540500001"/>
    <n v="5"/>
    <n v="1.4495274540500001"/>
    <n v="3.4493999999999998"/>
    <n v="0.41230358902997999"/>
    <s v="0:01"/>
    <s v="3:27"/>
    <s v="2:04"/>
    <s v="1:23"/>
    <s v="0:00"/>
    <s v="30:31"/>
    <s v="0:00"/>
    <s v="0:00"/>
    <n v="0"/>
    <n v="0"/>
    <n v="0"/>
    <n v="0"/>
    <n v="0"/>
    <s v="0:00"/>
    <s v="0:00"/>
    <n v="0"/>
    <n v="0"/>
    <n v="0"/>
    <n v="0"/>
    <n v="0"/>
    <n v="0"/>
    <x v="0"/>
    <s v="Karen Joy Canlas"/>
    <s v="AH-SnapHeld-DCScrubs-Prod"/>
    <x v="3"/>
  </r>
  <r>
    <s v="AH-SnapHeld-DCScrubs-Prod"/>
    <s v="BTG_x0009_Meynard Selera"/>
    <s v="meynard.selera@company.com"/>
    <n v="6"/>
    <n v="1.4926487051271999"/>
    <n v="0.35389999999999999"/>
    <n v="0.13055555555556"/>
    <n v="2"/>
    <n v="0.33333333333332998"/>
    <n v="0.49754956837574998"/>
    <n v="2"/>
    <n v="0.49754956837574998"/>
    <n v="4.0197000000000003"/>
    <n v="8.8041396124088997E-2"/>
    <s v="0:02"/>
    <s v="4:50"/>
    <s v="3:32"/>
    <s v="1:1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Meynard Selera"/>
    <s v="AH-SnapHeld-DCScrubs-Prod"/>
    <x v="3"/>
  </r>
  <r>
    <s v="AH-SnapHeld-DCScrubs-Prod"/>
    <s v="BTG  Angela Mae Daluz"/>
    <s v="angela.daluz@company.com"/>
    <n v="1"/>
    <n v="0.24660912453761"/>
    <n v="8.6E-3"/>
    <n v="1.3888888888889E-3"/>
    <n v="0"/>
    <n v="0"/>
    <n v="0"/>
    <n v="0"/>
    <n v="0"/>
    <n v="4.0549999999999997"/>
    <n v="2.1208384710233999E-3"/>
    <s v="0:08"/>
    <s v="0:36"/>
    <s v="0:31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ngela Mae Daluz"/>
    <s v="AH-SnapHeld-DCScrubs-Prod"/>
    <x v="3"/>
  </r>
  <r>
    <s v="AH-SnapHeld-DCScrubs-Prod"/>
    <s v="BTG  Bing Bong Lescano"/>
    <s v="bing.lescano@company.com"/>
    <n v="3"/>
    <n v="0.64794816414686995"/>
    <n v="0.1694"/>
    <n v="7.7777777777778001E-3"/>
    <n v="0"/>
    <n v="0"/>
    <n v="0"/>
    <n v="0"/>
    <n v="0"/>
    <n v="4.63"/>
    <n v="3.6587473002159997E-2"/>
    <s v="0:09"/>
    <s v="3:32"/>
    <s v="3:23"/>
    <s v="0:09"/>
    <s v="0:00"/>
    <s v="26:12"/>
    <s v="0:00"/>
    <s v="0:00"/>
    <n v="0"/>
    <n v="0"/>
    <n v="0"/>
    <n v="0"/>
    <n v="0"/>
    <s v="0:00"/>
    <s v="0:00"/>
    <n v="0"/>
    <n v="0"/>
    <n v="0"/>
    <n v="0"/>
    <n v="0"/>
    <n v="0"/>
    <x v="1"/>
    <s v="Bing Bong Lescano"/>
    <s v="AH-SnapHeld-DCScrubs-Prod"/>
    <x v="3"/>
  </r>
  <r>
    <s v="AH-SnapHeld-DCScrubs-Prod"/>
    <s v="BTG  Erica DeGuzman"/>
    <s v="erica.deguzman@company.com"/>
    <n v="2"/>
    <n v="0.55944055944056004"/>
    <n v="5.1400000000000001E-2"/>
    <n v="6.3888888888888997E-3"/>
    <n v="0"/>
    <n v="0"/>
    <n v="0"/>
    <n v="0"/>
    <n v="0"/>
    <n v="3.5750000000000002"/>
    <n v="1.4377622377621999E-2"/>
    <s v="0:02"/>
    <s v="1:44"/>
    <s v="1:32"/>
    <s v="0:11"/>
    <s v="0:00"/>
    <s v="29:08"/>
    <s v="0:00"/>
    <s v="0:00"/>
    <n v="0"/>
    <n v="0"/>
    <n v="0"/>
    <n v="0"/>
    <n v="0"/>
    <s v="0:00"/>
    <s v="0:00"/>
    <n v="0"/>
    <n v="0"/>
    <n v="0"/>
    <n v="0"/>
    <n v="0"/>
    <n v="0"/>
    <x v="1"/>
    <s v="Erica DeGuzman"/>
    <s v="AH-SnapHeld-DCScrubs-Prod"/>
    <x v="3"/>
  </r>
  <r>
    <s v="AH-SnapHeld-DCScrubs-Prod"/>
    <s v="BTG  Grasie Abanilla"/>
    <s v="grasie.abanilla@company.com"/>
    <n v="2"/>
    <n v="0.43190947177472"/>
    <n v="0.1817"/>
    <n v="3.3333333333333002E-3"/>
    <n v="2"/>
    <n v="1"/>
    <n v="0.43190947177472"/>
    <n v="2"/>
    <n v="0.43190947177472"/>
    <n v="4.6306000000000003"/>
    <n v="3.9238975510733E-2"/>
    <s v="0:18"/>
    <s v="5:33"/>
    <s v="5:27"/>
    <s v="0:06"/>
    <s v="0:00"/>
    <s v="25:05"/>
    <s v="0:00"/>
    <s v="0:00"/>
    <n v="0"/>
    <n v="0"/>
    <n v="0"/>
    <n v="0"/>
    <n v="0"/>
    <s v="0:00"/>
    <s v="0:00"/>
    <n v="0"/>
    <n v="0"/>
    <n v="0"/>
    <n v="0"/>
    <n v="0"/>
    <n v="0"/>
    <x v="1"/>
    <s v="Grasie Abanilla"/>
    <s v="AH-SnapHeld-DCScrubs-Prod"/>
    <x v="3"/>
  </r>
  <r>
    <s v="AH-SnapHeld-DCScrubs-Prod"/>
    <s v="BTG  Janciel Carandang"/>
    <s v="janciel.carandang@company.com"/>
    <n v="9"/>
    <n v="2.0606754436175998"/>
    <n v="0.2006"/>
    <n v="1.9166666666667002E-2"/>
    <n v="0"/>
    <n v="0"/>
    <n v="0"/>
    <n v="0"/>
    <n v="0"/>
    <n v="4.3674999999999997"/>
    <n v="4.5930165998855001E-2"/>
    <s v="0:01"/>
    <s v="1:27"/>
    <s v="1:20"/>
    <s v="0:07"/>
    <s v="0:00"/>
    <s v="21:14"/>
    <s v="0:00"/>
    <s v="0:00"/>
    <n v="0"/>
    <n v="0"/>
    <n v="0"/>
    <n v="0"/>
    <n v="0"/>
    <s v="0:00"/>
    <s v="0:00"/>
    <n v="0"/>
    <n v="0"/>
    <n v="0"/>
    <n v="0"/>
    <n v="0"/>
    <n v="0"/>
    <x v="1"/>
    <s v="Janciel Carandang"/>
    <s v="AH-SnapHeld-DCScrubs-Prod"/>
    <x v="3"/>
  </r>
  <r>
    <s v="AH-SnapHeld-DCScrubs-Prod"/>
    <s v="BTG  Jason De Villa"/>
    <s v="jason.devilla@company.com"/>
    <n v="2"/>
    <n v="0.43428224002778998"/>
    <n v="0.1186"/>
    <n v="4.7222222222221997E-3"/>
    <n v="1"/>
    <n v="0.5"/>
    <n v="0.21714112001390001"/>
    <n v="1"/>
    <n v="0.21714112001390001"/>
    <n v="4.6052999999999997"/>
    <n v="2.5752936833647998E-2"/>
    <s v="0:02"/>
    <s v="3:42"/>
    <s v="3:33"/>
    <s v="0:08"/>
    <s v="0:00"/>
    <s v="24:39"/>
    <s v="0:00"/>
    <s v="0:00"/>
    <n v="0"/>
    <n v="0"/>
    <n v="0"/>
    <n v="0"/>
    <n v="0"/>
    <s v="0:00"/>
    <s v="0:00"/>
    <n v="0"/>
    <n v="0"/>
    <n v="0"/>
    <n v="0"/>
    <n v="0"/>
    <n v="0"/>
    <x v="1"/>
    <s v="Jason De Villa"/>
    <s v="AH-SnapHeld-DCScrubs-Prod"/>
    <x v="3"/>
  </r>
  <r>
    <s v="AH-SnapHeld-DCScrubs-Prod"/>
    <s v="BTG  Loren Villanueva"/>
    <s v="loren.villanueva@company.com"/>
    <n v="10"/>
    <n v="2.1480892745903"/>
    <n v="0.15190000000000001"/>
    <n v="6.1111111111111002E-3"/>
    <n v="1"/>
    <n v="0.1"/>
    <n v="0.21480892745902999"/>
    <n v="1"/>
    <n v="0.21480892745902999"/>
    <n v="4.6553000000000004"/>
    <n v="3.2629476081026003E-2"/>
    <s v="0:02"/>
    <s v="0:56"/>
    <s v="0:54"/>
    <s v="0:02"/>
    <s v="0:00"/>
    <s v="24:17"/>
    <s v="0:00"/>
    <s v="0:00"/>
    <n v="0"/>
    <n v="0"/>
    <n v="0"/>
    <n v="0"/>
    <n v="0"/>
    <s v="0:00"/>
    <s v="0:00"/>
    <n v="0"/>
    <n v="0"/>
    <n v="0"/>
    <n v="0"/>
    <n v="0"/>
    <n v="0"/>
    <x v="1"/>
    <s v="Loren Villanueva"/>
    <s v="AH-SnapHeld-DCScrubs-Prod"/>
    <x v="3"/>
  </r>
  <r>
    <s v="AH-SnapHeld-DCScrubs-Prod"/>
    <s v="BTG  Ma. Rustia Camil Denson"/>
    <s v="ma.denson@company.com"/>
    <n v="6"/>
    <n v="1.4888337468982999"/>
    <n v="0.30499999999999999"/>
    <n v="3.3333333333333002E-3"/>
    <n v="0"/>
    <n v="0"/>
    <n v="0"/>
    <n v="0"/>
    <n v="0"/>
    <n v="4.03"/>
    <n v="7.5682382133995002E-2"/>
    <s v="0:10"/>
    <s v="3:05"/>
    <s v="3:03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. Rustia Camil Denson"/>
    <s v="AH-SnapHeld-DCScrubs-Prod"/>
    <x v="3"/>
  </r>
  <r>
    <s v="AH-SnapHeld-DCScrubs-Prod"/>
    <s v="BTG  Renz Irvin Mata"/>
    <s v="renz.mata@company.com"/>
    <n v="1"/>
    <n v="0.27486875017179002"/>
    <n v="8.3000000000000001E-3"/>
    <n v="1.3888888888889E-3"/>
    <n v="0"/>
    <n v="0"/>
    <n v="0"/>
    <n v="0"/>
    <n v="0"/>
    <n v="3.6381000000000001"/>
    <n v="2.2814106264259001E-3"/>
    <s v="0:10"/>
    <s v="0:35"/>
    <s v="0:30"/>
    <s v="0:05"/>
    <s v="0:00"/>
    <s v="29:18"/>
    <s v="0:00"/>
    <s v="0:00"/>
    <n v="0"/>
    <n v="0"/>
    <n v="0"/>
    <n v="0"/>
    <n v="0"/>
    <s v="0:00"/>
    <s v="0:00"/>
    <n v="0"/>
    <n v="0"/>
    <n v="0"/>
    <n v="0"/>
    <n v="0"/>
    <n v="0"/>
    <x v="1"/>
    <s v="Renz Irvin Mata"/>
    <s v="AH-SnapHeld-DCScrubs-Prod"/>
    <x v="3"/>
  </r>
  <r>
    <s v="AH-SnapHeld-Edocument-Prod"/>
    <s v="BCD_x0009_Edrian Apillano"/>
    <s v="edrian.apillano@company.com"/>
    <n v="15"/>
    <n v="4.5821114369501004"/>
    <n v="0.2475"/>
    <n v="0.68694444444444003"/>
    <n v="8"/>
    <n v="0.53333333333333"/>
    <n v="2.4437927663734"/>
    <n v="8"/>
    <n v="2.4437927663734"/>
    <n v="3.2736000000000001"/>
    <n v="7.5604838709677005E-2"/>
    <s v="5:57"/>
    <s v="3:44"/>
    <s v="0:59"/>
    <s v="2:44"/>
    <s v="0:00"/>
    <s v="38:17"/>
    <s v="0:00"/>
    <s v="0:00"/>
    <n v="0"/>
    <n v="0"/>
    <n v="0"/>
    <n v="0"/>
    <n v="0"/>
    <s v="0:00"/>
    <s v="0:00"/>
    <n v="0"/>
    <n v="0"/>
    <n v="0"/>
    <n v="0"/>
    <n v="0"/>
    <n v="0"/>
    <x v="0"/>
    <s v="_x0009_Edrian Apillano"/>
    <s v="AH-SnapHeld-Edocument-Prod"/>
    <x v="4"/>
  </r>
  <r>
    <s v="AH-SnapHeld-Edocument-Prod"/>
    <s v="BCD_x0009_Janine Hisita"/>
    <s v="janine.hisita@company.com"/>
    <n v="17"/>
    <n v="5.3543307086613998"/>
    <n v="1.2017"/>
    <n v="2.0555555555556E-2"/>
    <n v="2"/>
    <n v="0.11764705882353001"/>
    <n v="0.62992125984252001"/>
    <n v="2"/>
    <n v="0.62992125984252001"/>
    <n v="3.1749999999999998"/>
    <n v="0.37848818897637998"/>
    <s v="5:08"/>
    <s v="4:18"/>
    <s v="4:14"/>
    <s v="0:04"/>
    <s v="0:00"/>
    <s v="48:45"/>
    <s v="0:00"/>
    <s v="0:00"/>
    <n v="0"/>
    <n v="0"/>
    <n v="0"/>
    <n v="0"/>
    <n v="0"/>
    <s v="0:00"/>
    <s v="0:00"/>
    <n v="0"/>
    <n v="0"/>
    <n v="0"/>
    <n v="0"/>
    <n v="0"/>
    <n v="0"/>
    <x v="0"/>
    <s v="_x0009_Janine Hisita"/>
    <s v="AH-SnapHeld-Edocument-Prod"/>
    <x v="4"/>
  </r>
  <r>
    <s v="AH-SnapHeld-Edocument-Prod"/>
    <s v="BCD_x0009_Nelrose Saguire"/>
    <s v="nelrose.saguire@company.com"/>
    <n v="10"/>
    <n v="5.4232875969413001"/>
    <n v="0.73140000000000005"/>
    <n v="0.39250000000000002"/>
    <n v="3"/>
    <n v="0.3"/>
    <n v="1.6269862790823999"/>
    <n v="3"/>
    <n v="1.6269862790823999"/>
    <n v="1.8439000000000001"/>
    <n v="0.39665925484027997"/>
    <s v="1:18"/>
    <s v="6:44"/>
    <s v="4:23"/>
    <s v="2:2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_x0009_Nelrose Saguire"/>
    <s v="AH-SnapHeld-Edocument-Prod"/>
    <x v="4"/>
  </r>
  <r>
    <s v="AH-SnapHeld-Edocument-Prod"/>
    <s v="BCD_x0009_Rimakezia Margate"/>
    <s v="rimakezia.margate@company.com"/>
    <n v="18"/>
    <n v="4.9205871900713003"/>
    <n v="0.87639999999999996"/>
    <n v="0.30194444444444002"/>
    <n v="3"/>
    <n v="0.16666666666666999"/>
    <n v="0.82009786501188997"/>
    <n v="3"/>
    <n v="0.82009786501188997"/>
    <n v="3.6581000000000001"/>
    <n v="0.23957792296547001"/>
    <s v="6:19"/>
    <s v="3:55"/>
    <s v="2:55"/>
    <s v="1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_x0009_Rimakezia Margate"/>
    <s v="AH-SnapHeld-Edocument-Prod"/>
    <x v="4"/>
  </r>
  <r>
    <s v="AH-SnapHeld-Edocument-Prod"/>
    <s v="BCD_x0009_Ronnie Alvarez"/>
    <s v="ronnie.alvarez@company.com"/>
    <n v="14"/>
    <n v="3.8742528226699"/>
    <n v="1.8661000000000001"/>
    <n v="0.63777777777778"/>
    <n v="0"/>
    <n v="0"/>
    <n v="0"/>
    <n v="0"/>
    <n v="0"/>
    <n v="3.6135999999999999"/>
    <n v="0.51641022802744996"/>
    <s v="2:32"/>
    <s v="10:43"/>
    <s v="7:59"/>
    <s v="2:44"/>
    <s v="0:00"/>
    <s v="19:31"/>
    <s v="0:00"/>
    <s v="0:00"/>
    <n v="0"/>
    <n v="0"/>
    <n v="0"/>
    <n v="0"/>
    <n v="0"/>
    <s v="0:00"/>
    <s v="0:00"/>
    <n v="0"/>
    <n v="0"/>
    <n v="0"/>
    <n v="0"/>
    <n v="0"/>
    <n v="0"/>
    <x v="0"/>
    <s v="_x0009_Ronnie Alvarez"/>
    <s v="AH-SnapHeld-Edocument-Prod"/>
    <x v="4"/>
  </r>
  <r>
    <s v="AH-SnapHeld-Edocument-Prod"/>
    <s v="BCD_x0009_Roter John Espanola"/>
    <s v="roter.espanola@company.com"/>
    <n v="18"/>
    <n v="5.4573568201800997"/>
    <n v="1.0519000000000001"/>
    <n v="0.51472222222221997"/>
    <n v="8"/>
    <n v="0.44444444444443998"/>
    <n v="2.4254919200799998"/>
    <n v="8"/>
    <n v="2.4254919200799998"/>
    <n v="3.2982999999999998"/>
    <n v="0.31892186884152002"/>
    <s v="4:02"/>
    <s v="5:13"/>
    <s v="3:30"/>
    <s v="1:42"/>
    <s v="0:00"/>
    <s v="41:44"/>
    <s v="0:00"/>
    <s v="0:00"/>
    <n v="0"/>
    <n v="0"/>
    <n v="0"/>
    <n v="0"/>
    <n v="0"/>
    <s v="0:00"/>
    <s v="0:00"/>
    <n v="0"/>
    <n v="0"/>
    <n v="0"/>
    <n v="0"/>
    <n v="0"/>
    <n v="0"/>
    <x v="0"/>
    <s v="_x0009_Roter John Espanola"/>
    <s v="AH-SnapHeld-Edocument-Prod"/>
    <x v="4"/>
  </r>
  <r>
    <s v="AH-SnapHeld-Edocument-Prod"/>
    <s v="BCD_x0009_Ryan Francisco"/>
    <s v="ryan.francisco@company.com"/>
    <n v="1"/>
    <n v="1.1275228323374"/>
    <n v="0.17249999999999999"/>
    <n v="2.5000000000000001E-2"/>
    <n v="0"/>
    <n v="0"/>
    <n v="0"/>
    <n v="0"/>
    <n v="0"/>
    <n v="0.88690000000000002"/>
    <n v="0.19449768857819"/>
    <s v="39:20"/>
    <s v="11:51"/>
    <s v="10:21"/>
    <s v="1:30"/>
    <s v="0:00"/>
    <s v="42:34"/>
    <s v="0:00"/>
    <s v="0:00"/>
    <n v="0"/>
    <n v="0"/>
    <n v="0"/>
    <n v="0"/>
    <n v="0"/>
    <s v="0:00"/>
    <s v="0:00"/>
    <n v="0"/>
    <n v="0"/>
    <n v="0"/>
    <n v="0"/>
    <n v="0"/>
    <n v="0"/>
    <x v="0"/>
    <s v="_x0009_Ryan Francisco"/>
    <s v="AH-SnapHeld-Edocument-Prod"/>
    <x v="4"/>
  </r>
  <r>
    <s v="AH-SnapHeld-Edocument-Prod"/>
    <s v="BCD Archie Ledesma"/>
    <s v="archie.ledesma@company.com"/>
    <n v="17"/>
    <n v="5.0449594919429002"/>
    <n v="1.2092000000000001"/>
    <n v="0.57194444444444004"/>
    <n v="3"/>
    <n v="0.17647058823528999"/>
    <n v="0.89028696916639005"/>
    <n v="3"/>
    <n v="0.89028696916639005"/>
    <n v="3.3696999999999999"/>
    <n v="0.35884500103867001"/>
    <s v="3:42"/>
    <s v="6:17"/>
    <s v="4:16"/>
    <s v="2:01"/>
    <s v="0:00"/>
    <s v="36:11"/>
    <s v="0:00"/>
    <s v="0:00"/>
    <n v="0"/>
    <n v="0"/>
    <n v="0"/>
    <n v="0"/>
    <n v="0"/>
    <s v="0:00"/>
    <s v="0:00"/>
    <n v="0"/>
    <n v="0"/>
    <n v="0"/>
    <n v="0"/>
    <n v="0"/>
    <n v="0"/>
    <x v="0"/>
    <s v="Archie Ledesma"/>
    <s v="AH-SnapHeld-Edocument-Prod"/>
    <x v="4"/>
  </r>
  <r>
    <s v="AH-SnapHeld-Edocument-Prod"/>
    <s v="BCD Carejun Umbao"/>
    <s v="carejun.umbao@company.com"/>
    <n v="9"/>
    <n v="2.6840833855238002"/>
    <n v="0.49"/>
    <n v="0.43333333333333002"/>
    <n v="3"/>
    <n v="0.33333333333332998"/>
    <n v="0.89469446184127999"/>
    <n v="3"/>
    <n v="0.89469446184127999"/>
    <n v="3.3531"/>
    <n v="0.14613342876741001"/>
    <s v="8:35"/>
    <s v="6:09"/>
    <s v="3:16"/>
    <s v="2:53"/>
    <s v="0:00"/>
    <s v="35:49"/>
    <s v="0:00"/>
    <s v="0:00"/>
    <n v="0"/>
    <n v="0"/>
    <n v="0"/>
    <n v="0"/>
    <n v="0"/>
    <s v="0:00"/>
    <s v="0:00"/>
    <n v="0"/>
    <n v="0"/>
    <n v="0"/>
    <n v="0"/>
    <n v="0"/>
    <n v="0"/>
    <x v="0"/>
    <s v="Carejun Umbao"/>
    <s v="AH-SnapHeld-Edocument-Prod"/>
    <x v="4"/>
  </r>
  <r>
    <s v="AH-SnapHeld-Edocument-Prod"/>
    <s v="BCD Divine Grace Benignos"/>
    <s v="divine.benignos@company.com"/>
    <n v="12"/>
    <n v="4.2890842805061"/>
    <n v="0.89219999999999999"/>
    <n v="0.13694444444444001"/>
    <n v="5"/>
    <n v="0.41666666666667002"/>
    <n v="1.7871184502109001"/>
    <n v="5"/>
    <n v="1.7871184502109001"/>
    <n v="2.7978000000000001"/>
    <n v="0.31889341625563"/>
    <s v="6:17"/>
    <s v="5:08"/>
    <s v="4:27"/>
    <s v="0:41"/>
    <s v="0:00"/>
    <s v="65:52"/>
    <s v="0:00"/>
    <s v="0:00"/>
    <n v="0"/>
    <n v="0"/>
    <n v="0"/>
    <n v="0"/>
    <n v="0"/>
    <s v="0:00"/>
    <s v="0:00"/>
    <n v="0"/>
    <n v="0"/>
    <n v="0"/>
    <n v="0"/>
    <n v="0"/>
    <n v="0"/>
    <x v="0"/>
    <s v="Divine Grace Benignos"/>
    <s v="AH-SnapHeld-Edocument-Prod"/>
    <x v="4"/>
  </r>
  <r>
    <s v="AH-SnapHeld-Edocument-Prod"/>
    <s v="BCD LA Blessed Ann Gonzales"/>
    <s v="blessed.gonzales@company.com"/>
    <n v="12"/>
    <n v="5.8260911783268998"/>
    <n v="1.1103000000000001"/>
    <n v="0.38638888888889"/>
    <n v="1"/>
    <n v="8.3333333333332996E-2"/>
    <n v="0.48550759819390998"/>
    <n v="1"/>
    <n v="0.48550759819390998"/>
    <n v="2.0596999999999999"/>
    <n v="0.53905908627470001"/>
    <s v="1:15"/>
    <s v="7:29"/>
    <s v="5:33"/>
    <s v="1:5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LA Blessed Ann Gonzales"/>
    <s v="AH-SnapHeld-Edocument-Prod"/>
    <x v="4"/>
  </r>
  <r>
    <s v="AH-SnapHeld-Edocument-Prod"/>
    <s v="BCD Narciso Aguilar"/>
    <s v="narciso.aguilar@company.com"/>
    <n v="19"/>
    <n v="6.3955836811633002"/>
    <n v="0.2369"/>
    <n v="0.75083333333333013"/>
    <n v="5"/>
    <n v="0.26315789473683998"/>
    <n v="1.6830483371481999"/>
    <n v="5"/>
    <n v="1.6830483371481999"/>
    <n v="2.9708000000000001"/>
    <n v="7.9742830214084001E-2"/>
    <s v="4:33"/>
    <s v="3:07"/>
    <s v="0:44"/>
    <s v="2:22"/>
    <s v="0:00"/>
    <s v="61:43"/>
    <s v="0:00"/>
    <s v="0:00"/>
    <n v="0"/>
    <n v="0"/>
    <n v="0"/>
    <n v="0"/>
    <n v="0"/>
    <s v="0:00"/>
    <s v="0:00"/>
    <n v="0"/>
    <n v="0"/>
    <n v="0"/>
    <n v="0"/>
    <n v="0"/>
    <n v="0"/>
    <x v="0"/>
    <s v="Narciso Aguilar"/>
    <s v="AH-SnapHeld-Edocument-Prod"/>
    <x v="4"/>
  </r>
  <r>
    <s v="AH-SnapHeld-PTCall-Prod"/>
    <s v="BTG  Aljon Maranan"/>
    <s v="aljon.maranan@company.com"/>
    <n v="52"/>
    <n v="18.102697998259"/>
    <n v="0.68610000000000004"/>
    <n v="0.35083333333333"/>
    <n v="10"/>
    <n v="0.19230769230768999"/>
    <n v="3.4812880765882999"/>
    <n v="10"/>
    <n v="3.4812880765882999"/>
    <n v="2.8725000000000001"/>
    <n v="0.23885117493472999"/>
    <s v="0:01"/>
    <s v="1:11"/>
    <s v="0:47"/>
    <s v="0:24"/>
    <s v="0:00"/>
    <s v="53:18"/>
    <s v="0:00"/>
    <s v="0:00"/>
    <n v="0"/>
    <n v="0"/>
    <n v="0"/>
    <n v="0"/>
    <n v="0"/>
    <s v="0:00"/>
    <s v="0:00"/>
    <n v="0"/>
    <n v="0"/>
    <n v="0"/>
    <n v="0"/>
    <n v="0"/>
    <n v="0"/>
    <x v="1"/>
    <s v="Aljon Maranan"/>
    <s v="AH-SnapHeld-PTCall-Prod"/>
    <x v="5"/>
  </r>
  <r>
    <s v="AH-SnapHeld-PTCall-Prod"/>
    <s v="BTG  Jayvee Recinto"/>
    <s v="jayvee.recinto@company.com"/>
    <n v="56"/>
    <n v="16.199485087795001"/>
    <n v="1.4447000000000001"/>
    <n v="3.0277777777778001E-2"/>
    <n v="3"/>
    <n v="5.3571428571428999E-2"/>
    <n v="0.86782955827474995"/>
    <n v="3"/>
    <n v="0.86782955827474995"/>
    <n v="3.4569000000000001"/>
    <n v="0.41791778761317999"/>
    <s v="0:01"/>
    <s v="1:34"/>
    <s v="1:32"/>
    <s v="0:01"/>
    <s v="0:00"/>
    <s v="30:48"/>
    <s v="0:00"/>
    <s v="0:00"/>
    <n v="0"/>
    <n v="0"/>
    <n v="0"/>
    <n v="0"/>
    <n v="0"/>
    <s v="0:00"/>
    <s v="0:00"/>
    <n v="0"/>
    <n v="0"/>
    <n v="0"/>
    <n v="0"/>
    <n v="0"/>
    <n v="0"/>
    <x v="1"/>
    <s v="Jayvee Recinto"/>
    <s v="AH-SnapHeld-PTCall-Prod"/>
    <x v="5"/>
  </r>
  <r>
    <s v="AH-SnapHeld-PTCall-Prod"/>
    <s v="BTG  Joshua Tiquis"/>
    <s v="joshua.tiquis@company.com"/>
    <n v="47"/>
    <n v="13.118231550741999"/>
    <n v="2.1671999999999998"/>
    <n v="0.12638888888888999"/>
    <n v="8"/>
    <n v="0.17021276595745"/>
    <n v="2.2328904767220998"/>
    <n v="8"/>
    <n v="2.2328904767220998"/>
    <n v="3.5828000000000002"/>
    <n v="0.60489003014401999"/>
    <s v="0:01"/>
    <s v="2:55"/>
    <s v="2:46"/>
    <s v="0:09"/>
    <s v="0:00"/>
    <s v="16:19"/>
    <s v="0:00"/>
    <s v="0:00"/>
    <n v="0"/>
    <n v="0"/>
    <n v="0"/>
    <n v="0"/>
    <n v="0"/>
    <s v="0:00"/>
    <s v="0:00"/>
    <n v="0"/>
    <n v="0"/>
    <n v="0"/>
    <n v="0"/>
    <n v="0"/>
    <n v="0"/>
    <x v="1"/>
    <s v="Joshua Tiquis"/>
    <s v="AH-SnapHeld-PTCall-Prod"/>
    <x v="5"/>
  </r>
  <r>
    <s v="AH-SnapHeld-PTCall-Prod"/>
    <s v="BTG  Richard John Reyes"/>
    <s v="richard.reyes@company.com"/>
    <n v="18"/>
    <n v="13.16559391457"/>
    <n v="0.44330000000000003"/>
    <n v="2.2499999999999999E-2"/>
    <n v="2"/>
    <n v="0.11111111111110999"/>
    <n v="1.4628437682855"/>
    <n v="2"/>
    <n v="1.4628437682855"/>
    <n v="1.3672"/>
    <n v="0.32423932124048999"/>
    <s v="0:02"/>
    <s v="1:33"/>
    <s v="1:28"/>
    <s v="0:04"/>
    <s v="0:00"/>
    <s v="5:38"/>
    <s v="0:00"/>
    <s v="0:00"/>
    <n v="0"/>
    <n v="0"/>
    <n v="0"/>
    <n v="0"/>
    <n v="0"/>
    <s v="0:00"/>
    <s v="0:00"/>
    <n v="0"/>
    <n v="0"/>
    <n v="0"/>
    <n v="0"/>
    <n v="0"/>
    <n v="0"/>
    <x v="1"/>
    <s v="Richard John Reyes"/>
    <s v="AH-SnapHeld-PTCall-Prod"/>
    <x v="5"/>
  </r>
  <r>
    <s v="AH-SnapHeld-PTCall-Prod"/>
    <s v="BTG Angelo Jade Garcia"/>
    <s v="angelo.garcia@company.com"/>
    <n v="30"/>
    <n v="17.413512885999999"/>
    <n v="0.70250000000000001"/>
    <n v="3.6111111111110997E-2"/>
    <n v="0"/>
    <n v="0"/>
    <n v="0"/>
    <n v="0"/>
    <n v="0"/>
    <n v="1.7228000000000001"/>
    <n v="0.40776642674716002"/>
    <s v="0:01"/>
    <s v="1:28"/>
    <s v="1:24"/>
    <s v="0:04"/>
    <s v="0:00"/>
    <s v="18:10"/>
    <s v="0:00"/>
    <s v="0:00"/>
    <n v="0"/>
    <n v="0"/>
    <n v="0"/>
    <n v="0"/>
    <n v="0"/>
    <s v="0:00"/>
    <s v="0:00"/>
    <n v="0"/>
    <n v="0"/>
    <n v="0"/>
    <n v="0"/>
    <n v="0"/>
    <n v="0"/>
    <x v="1"/>
    <s v="Angelo Jade Garcia"/>
    <s v="AH-SnapHeld-PTCall-Prod"/>
    <x v="5"/>
  </r>
  <r>
    <s v="AH-SnapHeld-PTCall-Prod"/>
    <s v="BTG Christian Sulabo"/>
    <s v="christian.sulabo@company.com"/>
    <n v="16"/>
    <n v="10.083821768449999"/>
    <n v="0.25530000000000003"/>
    <n v="7.4999999999999997E-3"/>
    <n v="0"/>
    <n v="0"/>
    <n v="0"/>
    <n v="0"/>
    <n v="0"/>
    <n v="1.5867"/>
    <n v="0.16089998109282999"/>
    <s v="0:04"/>
    <s v="0:59"/>
    <s v="0:57"/>
    <s v="0:01"/>
    <s v="0:00"/>
    <s v="31:58"/>
    <s v="0:00"/>
    <s v="0:00"/>
    <n v="0"/>
    <n v="0"/>
    <n v="0"/>
    <n v="0"/>
    <n v="0"/>
    <s v="0:00"/>
    <s v="0:00"/>
    <n v="0"/>
    <n v="0"/>
    <n v="0"/>
    <n v="0"/>
    <n v="0"/>
    <n v="0"/>
    <x v="1"/>
    <s v="Christian Sulabo"/>
    <s v="AH-SnapHeld-PTCall-Prod"/>
    <x v="5"/>
  </r>
  <r>
    <s v="AH-SnapHeld-PTCall-Prod"/>
    <s v="BTG Jerimo Dave Reyes"/>
    <s v="jerimo.reyes@company.com"/>
    <n v="12"/>
    <n v="7.5920536505124989"/>
    <n v="0.88109999999999999"/>
    <n v="6.25E-2"/>
    <n v="4"/>
    <n v="0.33333333333332998"/>
    <n v="2.5306845501708"/>
    <n v="4"/>
    <n v="2.5306845501708"/>
    <n v="1.5806"/>
    <n v="0.55744653928887999"/>
    <s v="0:01"/>
    <s v="4:43"/>
    <s v="4:24"/>
    <s v="0:18"/>
    <s v="0:00"/>
    <s v="31:06"/>
    <s v="0:00"/>
    <s v="0:00"/>
    <n v="0"/>
    <n v="0"/>
    <n v="0"/>
    <n v="0"/>
    <n v="0"/>
    <s v="0:00"/>
    <s v="0:00"/>
    <n v="0"/>
    <n v="0"/>
    <n v="0"/>
    <n v="0"/>
    <n v="0"/>
    <n v="0"/>
    <x v="1"/>
    <s v="Jerimo Dave Reyes"/>
    <s v="AH-SnapHeld-PTCall-Prod"/>
    <x v="5"/>
  </r>
  <r>
    <s v="AH-SnapHeld-PTCall-Prod"/>
    <s v="BTG Jerlyn Albiso"/>
    <s v="jerlyn.albiso@company.com"/>
    <n v="16"/>
    <n v="10.590415673815"/>
    <n v="0.65749999999999997"/>
    <n v="1.7500000000000002E-2"/>
    <n v="6"/>
    <n v="0.375"/>
    <n v="3.9714058776807"/>
    <n v="6"/>
    <n v="3.9714058776807"/>
    <n v="1.5107999999999999"/>
    <n v="0.43519989409583998"/>
    <s v="0:01"/>
    <s v="2:31"/>
    <s v="2:27"/>
    <s v="0:03"/>
    <s v="0:00"/>
    <s v="26:50"/>
    <s v="0:00"/>
    <s v="0:00"/>
    <n v="0"/>
    <n v="0"/>
    <n v="0"/>
    <n v="0"/>
    <n v="0"/>
    <s v="0:00"/>
    <s v="0:00"/>
    <n v="0"/>
    <n v="0"/>
    <n v="0"/>
    <n v="0"/>
    <n v="0"/>
    <n v="0"/>
    <x v="1"/>
    <s v="Jerlyn Albiso"/>
    <s v="AH-SnapHeld-PTCall-Prod"/>
    <x v="5"/>
  </r>
  <r>
    <s v="AH-SnapHeld-PTCall-Prod"/>
    <s v="BTG Jershey Macaraig"/>
    <s v="jershey.macaraig@company.com"/>
    <n v="17"/>
    <n v="11.247849675796999"/>
    <n v="0.61919999999999997"/>
    <n v="0.16194444444444001"/>
    <n v="5"/>
    <n v="0.29411764705881999"/>
    <n v="3.3081910811167998"/>
    <n v="5"/>
    <n v="3.3081910811167998"/>
    <n v="1.5114000000000001"/>
    <n v="0.40968638348551001"/>
    <s v="0:01"/>
    <s v="2:45"/>
    <s v="2:11"/>
    <s v="0:34"/>
    <s v="0:00"/>
    <s v="32:19"/>
    <s v="0:00"/>
    <s v="0:00"/>
    <n v="0"/>
    <n v="0"/>
    <n v="0"/>
    <n v="0"/>
    <n v="0"/>
    <s v="0:00"/>
    <s v="0:00"/>
    <n v="0"/>
    <n v="0"/>
    <n v="0"/>
    <n v="0"/>
    <n v="0"/>
    <n v="0"/>
    <x v="1"/>
    <s v="Jershey Macaraig"/>
    <s v="AH-SnapHeld-PTCall-Prod"/>
    <x v="5"/>
  </r>
  <r>
    <s v="AH-SnapHeld-PTCall-Prod"/>
    <s v="BTG Jhessusa Andal"/>
    <s v="jhessusa.andal@company.com"/>
    <n v="19"/>
    <n v="12.068089430894"/>
    <n v="0.59140000000000004"/>
    <n v="7.4999999999999997E-2"/>
    <n v="2"/>
    <n v="0.10526315789474"/>
    <n v="1.270325203252"/>
    <n v="2"/>
    <n v="1.270325203252"/>
    <n v="1.5744"/>
    <n v="0.37563516260162999"/>
    <s v="0:01"/>
    <s v="2:06"/>
    <s v="1:52"/>
    <s v="0:14"/>
    <s v="0:00"/>
    <s v="29:12"/>
    <s v="0:00"/>
    <s v="0:00"/>
    <n v="0"/>
    <n v="0"/>
    <n v="0"/>
    <n v="0"/>
    <n v="0"/>
    <s v="0:00"/>
    <s v="0:00"/>
    <n v="0"/>
    <n v="0"/>
    <n v="0"/>
    <n v="0"/>
    <n v="0"/>
    <n v="0"/>
    <x v="1"/>
    <s v="Jhessusa Andal"/>
    <s v="AH-SnapHeld-PTCall-Prod"/>
    <x v="5"/>
  </r>
  <r>
    <s v="AH-SnapHeld-PTCall-Prod"/>
    <s v="BTG John Lloyd Violante"/>
    <s v="john.violante@company.com"/>
    <n v="20"/>
    <n v="10.942116205274001"/>
    <n v="0.75190000000000001"/>
    <n v="0.19194444444444"/>
    <n v="1"/>
    <n v="0.05"/>
    <n v="0.54710581026369998"/>
    <n v="1"/>
    <n v="0.54710581026369998"/>
    <n v="1.8278000000000001"/>
    <n v="0.41136885873728002"/>
    <s v="0:01"/>
    <s v="2:49"/>
    <s v="2:15"/>
    <s v="0:3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ohn Lloyd Violante"/>
    <s v="AH-SnapHeld-PTCall-Prod"/>
    <x v="5"/>
  </r>
  <r>
    <s v="AH-SnapHeld-PTCall-Prod"/>
    <s v="BTG Joshua James Maranan"/>
    <s v="joshua.maranan@company.com"/>
    <n v="19"/>
    <n v="11.046511627907"/>
    <n v="0.78059999999999996"/>
    <n v="0.10111111111111"/>
    <n v="7"/>
    <n v="0.36842105263157998"/>
    <n v="4.0697674418604999"/>
    <n v="9"/>
    <n v="5.2325581395349001"/>
    <n v="1.72"/>
    <n v="0.45383720930233001"/>
    <s v="0:01"/>
    <s v="2:47"/>
    <s v="2:27"/>
    <s v="0:19"/>
    <s v="0:00"/>
    <s v="23:30"/>
    <s v="0:00"/>
    <s v="0:00"/>
    <n v="0"/>
    <n v="0"/>
    <n v="0"/>
    <n v="0"/>
    <n v="0"/>
    <s v="0:00"/>
    <s v="0:00"/>
    <n v="0"/>
    <n v="0"/>
    <n v="0"/>
    <n v="0"/>
    <n v="0"/>
    <n v="0"/>
    <x v="1"/>
    <s v="Joshua James Maranan"/>
    <s v="AH-SnapHeld-PTCall-Prod"/>
    <x v="5"/>
  </r>
  <r>
    <s v="AH-SnapHeld-PTCall-Prod"/>
    <s v="BTG Kean Jezzel Papa"/>
    <s v="kean.papa@company.com"/>
    <n v="6"/>
    <n v="4.1291032964007996"/>
    <n v="0.72750000000000004"/>
    <n v="0.15555555555556"/>
    <n v="1"/>
    <n v="0.16666666666666999"/>
    <n v="0.68818388273346998"/>
    <n v="1"/>
    <n v="0.68818388273346998"/>
    <n v="1.4531000000000001"/>
    <n v="0.50065377468859995"/>
    <s v="0:03"/>
    <s v="8:49"/>
    <s v="7:16"/>
    <s v="1:3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Kean Jezzel Papa"/>
    <s v="AH-SnapHeld-PTCall-Prod"/>
    <x v="5"/>
  </r>
  <r>
    <s v="AH-SnapHeld-PTCall-Prod"/>
    <s v="BTG Kia Delizo"/>
    <s v="kia.delizo@company.com"/>
    <n v="10"/>
    <n v="6.0302719652655998"/>
    <n v="0.98280000000000001"/>
    <n v="4.7777777777778002E-2"/>
    <n v="1"/>
    <n v="0.1"/>
    <n v="0.60302719652656001"/>
    <n v="1"/>
    <n v="0.60302719652656001"/>
    <n v="1.6583000000000001"/>
    <n v="0.59265512874630999"/>
    <s v="0:02"/>
    <s v="6:11"/>
    <s v="5:53"/>
    <s v="0:17"/>
    <s v="0:00"/>
    <s v="26:55"/>
    <s v="0:00"/>
    <s v="0:00"/>
    <n v="0"/>
    <n v="0"/>
    <n v="0"/>
    <n v="0"/>
    <n v="0"/>
    <s v="0:00"/>
    <s v="0:00"/>
    <n v="0"/>
    <n v="0"/>
    <n v="0"/>
    <n v="0"/>
    <n v="0"/>
    <n v="0"/>
    <x v="1"/>
    <s v="Kia Delizo"/>
    <s v="AH-SnapHeld-PTCall-Prod"/>
    <x v="5"/>
  </r>
  <r>
    <s v="AH-SnapHeld-PTCall-Prod"/>
    <s v="BTG Liemund Laquerez"/>
    <s v="liemund.laquerez@company.com"/>
    <n v="18"/>
    <n v="11.164867882396999"/>
    <n v="0.70169999999999999"/>
    <n v="1.8055555555556001E-2"/>
    <n v="0"/>
    <n v="0"/>
    <n v="0"/>
    <n v="0"/>
    <n v="0"/>
    <n v="1.6122000000000001"/>
    <n v="0.43524376628209999"/>
    <s v="0:01"/>
    <s v="2:23"/>
    <s v="2:20"/>
    <s v="0:03"/>
    <s v="0:00"/>
    <s v="30:32"/>
    <s v="0:00"/>
    <s v="0:00"/>
    <n v="0"/>
    <n v="0"/>
    <n v="0"/>
    <n v="0"/>
    <n v="0"/>
    <s v="0:00"/>
    <s v="0:00"/>
    <n v="0"/>
    <n v="0"/>
    <n v="0"/>
    <n v="0"/>
    <n v="0"/>
    <n v="0"/>
    <x v="1"/>
    <s v="Liemund Laquerez"/>
    <s v="AH-SnapHeld-PTCall-Prod"/>
    <x v="5"/>
  </r>
  <r>
    <s v="AH-SnapHeld-PTCall-Prod"/>
    <s v="BTG Maila Donisa"/>
    <s v="maila.donisa@company.com"/>
    <n v="21"/>
    <n v="13.286093888397"/>
    <n v="0.56469999999999998"/>
    <n v="9.1666666666666997E-3"/>
    <n v="2"/>
    <n v="9.5238095238094997E-2"/>
    <n v="1.2653422750854"/>
    <n v="2"/>
    <n v="1.2653422750854"/>
    <n v="1.5806"/>
    <n v="0.35726939137037"/>
    <s v="0:01"/>
    <s v="1:38"/>
    <s v="1:36"/>
    <s v="0:01"/>
    <s v="0:00"/>
    <s v="32:34"/>
    <s v="0:00"/>
    <s v="0:00"/>
    <n v="0"/>
    <n v="0"/>
    <n v="0"/>
    <n v="0"/>
    <n v="0"/>
    <s v="0:00"/>
    <s v="0:00"/>
    <n v="0"/>
    <n v="0"/>
    <n v="0"/>
    <n v="0"/>
    <n v="0"/>
    <n v="0"/>
    <x v="1"/>
    <s v="Maila Donisa"/>
    <s v="AH-SnapHeld-PTCall-Prod"/>
    <x v="5"/>
  </r>
  <r>
    <s v="AH-SnapHeld-PTCall-Prod"/>
    <s v="BTG Maria Fidelis Araja"/>
    <s v="maria.araja@company.com"/>
    <n v="8"/>
    <n v="5.3781512605042003"/>
    <n v="0.89139999999999997"/>
    <n v="0.18833333333332999"/>
    <n v="0"/>
    <n v="0"/>
    <n v="0"/>
    <n v="0"/>
    <n v="0"/>
    <n v="1.4875"/>
    <n v="0.59926050420167998"/>
    <s v="0:01"/>
    <s v="8:05"/>
    <s v="6:41"/>
    <s v="1:24"/>
    <s v="0:00"/>
    <s v="28:30"/>
    <s v="0:00"/>
    <s v="0:00"/>
    <n v="0"/>
    <n v="0"/>
    <n v="0"/>
    <n v="0"/>
    <n v="0"/>
    <s v="0:00"/>
    <s v="0:00"/>
    <n v="0"/>
    <n v="0"/>
    <n v="0"/>
    <n v="0"/>
    <n v="0"/>
    <n v="0"/>
    <x v="1"/>
    <s v="Maria Fidelis Araja"/>
    <s v="AH-SnapHeld-PTCall-Prod"/>
    <x v="5"/>
  </r>
  <r>
    <s v="AH-SnapHeld-PTCall-Prod"/>
    <s v="BTG Mikee Cryz"/>
    <s v="mikee.cryz@company.com"/>
    <n v="14"/>
    <n v="8.9680353596823004"/>
    <n v="0.71689999999999998"/>
    <n v="1.3611111111110999E-2"/>
    <n v="0"/>
    <n v="0"/>
    <n v="0"/>
    <n v="0"/>
    <n v="0"/>
    <n v="1.5610999999999999"/>
    <n v="0.45922746781115997"/>
    <s v="0:02"/>
    <s v="3:07"/>
    <s v="3:04"/>
    <s v="0:03"/>
    <s v="0:00"/>
    <s v="30:04"/>
    <s v="0:00"/>
    <s v="0:00"/>
    <n v="0"/>
    <n v="0"/>
    <n v="0"/>
    <n v="0"/>
    <n v="0"/>
    <s v="0:00"/>
    <s v="0:00"/>
    <n v="0"/>
    <n v="0"/>
    <n v="0"/>
    <n v="0"/>
    <n v="0"/>
    <n v="0"/>
    <x v="1"/>
    <s v="Mikee Cryz"/>
    <s v="AH-SnapHeld-PTCall-Prod"/>
    <x v="5"/>
  </r>
  <r>
    <s v="AH-SnapHeld-PTCall-Prod"/>
    <s v="BTG Quene Mae Rotoni"/>
    <s v="quene.rotoni@company.com"/>
    <n v="11"/>
    <n v="6.6077972006968002"/>
    <n v="1.0758000000000001"/>
    <n v="3.3888888888889003E-2"/>
    <n v="2"/>
    <n v="0.18181818181817999"/>
    <n v="1.201417672854"/>
    <n v="2"/>
    <n v="1.201417672854"/>
    <n v="1.6647000000000001"/>
    <n v="0.64624256622815002"/>
    <s v="0:01"/>
    <s v="6:03"/>
    <s v="5:52"/>
    <s v="0:11"/>
    <s v="0:00"/>
    <s v="27:08"/>
    <s v="0:00"/>
    <s v="0:00"/>
    <n v="0"/>
    <n v="0"/>
    <n v="0"/>
    <n v="0"/>
    <n v="0"/>
    <s v="0:00"/>
    <s v="0:00"/>
    <n v="0"/>
    <n v="0"/>
    <n v="0"/>
    <n v="0"/>
    <n v="0"/>
    <n v="0"/>
    <x v="1"/>
    <s v="Quene Mae Rotoni"/>
    <s v="AH-SnapHeld-PTCall-Prod"/>
    <x v="5"/>
  </r>
  <r>
    <s v="AH-SnapHeld-PTCall-Prod"/>
    <s v="BTG Ramel Ubana"/>
    <s v="ramel.ubana@company.com"/>
    <n v="12"/>
    <n v="7.804878048780501"/>
    <n v="0.79169999999999996"/>
    <n v="4.3611111111111003E-2"/>
    <n v="1"/>
    <n v="8.3333333333332996E-2"/>
    <n v="0.65040650406503997"/>
    <n v="1"/>
    <n v="0.65040650406503997"/>
    <n v="1.5375000000000001"/>
    <n v="0.51492682926829003"/>
    <s v="0:01"/>
    <s v="4:10"/>
    <s v="3:57"/>
    <s v="0:13"/>
    <s v="0:00"/>
    <s v="30:17"/>
    <s v="0:00"/>
    <s v="0:00"/>
    <n v="0"/>
    <n v="0"/>
    <n v="0"/>
    <n v="0"/>
    <n v="0"/>
    <s v="0:00"/>
    <s v="0:00"/>
    <n v="0"/>
    <n v="0"/>
    <n v="0"/>
    <n v="0"/>
    <n v="0"/>
    <n v="0"/>
    <x v="1"/>
    <s v="Ramel Ubana"/>
    <s v="AH-SnapHeld-PTCall-Prod"/>
    <x v="5"/>
  </r>
  <r>
    <s v="AH-SnapHeld-PTCall-Prod"/>
    <s v="BTG Sernad De Silva"/>
    <s v="sernad.desilva@company.com"/>
    <n v="24"/>
    <n v="13.257471137381"/>
    <n v="0.65639999999999998"/>
    <n v="6.4444444444443999E-2"/>
    <n v="1"/>
    <n v="4.1666666666666997E-2"/>
    <n v="0.55239463072419004"/>
    <n v="1"/>
    <n v="0.55239463072419004"/>
    <n v="1.8103"/>
    <n v="0.36259183560736002"/>
    <s v="0:01"/>
    <s v="1:48"/>
    <s v="1:38"/>
    <s v="0:09"/>
    <s v="0:00"/>
    <s v="18:05"/>
    <s v="0:00"/>
    <s v="0:00"/>
    <n v="0"/>
    <n v="0"/>
    <n v="0"/>
    <n v="0"/>
    <n v="0"/>
    <s v="0:00"/>
    <s v="0:00"/>
    <n v="0"/>
    <n v="0"/>
    <n v="0"/>
    <n v="0"/>
    <n v="0"/>
    <n v="0"/>
    <x v="1"/>
    <s v="Sernad De Silva"/>
    <s v="AH-SnapHeld-PTCall-Prod"/>
    <x v="5"/>
  </r>
  <r>
    <s v="AH-SnapHeld-PTCall-Prod"/>
    <s v="ILO_x0009_Argelyn Agudo"/>
    <s v="argelyn.agudo@company.com"/>
    <n v="44"/>
    <n v="13.759459628495"/>
    <n v="1.4225000000000001"/>
    <n v="9.5833333333333007E-2"/>
    <n v="7"/>
    <n v="0.15909090909091"/>
    <n v="2.1890049408969001"/>
    <n v="7"/>
    <n v="2.1890049408969001"/>
    <n v="3.1978"/>
    <n v="0.44483707548939999"/>
    <s v="0:02"/>
    <s v="2:04"/>
    <s v="1:56"/>
    <s v="0:07"/>
    <s v="0:00"/>
    <s v="48:16"/>
    <s v="0:00"/>
    <s v="0:00"/>
    <n v="0"/>
    <n v="0"/>
    <n v="0"/>
    <n v="0"/>
    <n v="0"/>
    <s v="0:00"/>
    <s v="0:00"/>
    <n v="0"/>
    <n v="0"/>
    <n v="0"/>
    <n v="0"/>
    <n v="0"/>
    <n v="0"/>
    <x v="2"/>
    <s v="_x0009_Argelyn Agudo"/>
    <s v="AH-SnapHeld-PTCall-Prod"/>
    <x v="5"/>
  </r>
  <r>
    <s v="AH-SnapHeld-PTCall-Prod"/>
    <s v="ILO_x0009_Daryl Bullo"/>
    <s v="daryl.bullo@company.com"/>
    <n v="53"/>
    <n v="15.276416671471001"/>
    <n v="0.93640000000000001"/>
    <n v="0.48083333333333"/>
    <n v="7"/>
    <n v="0.13207547169810999"/>
    <n v="2.0176399377414"/>
    <n v="7"/>
    <n v="2.0176399377414"/>
    <n v="3.4693999999999998"/>
    <n v="0.26990257681442997"/>
    <s v="0:01"/>
    <s v="1:36"/>
    <s v="1:03"/>
    <s v="0:32"/>
    <s v="0:00"/>
    <s v="31:53"/>
    <s v="0:00"/>
    <s v="0:00"/>
    <n v="0"/>
    <n v="0"/>
    <n v="0"/>
    <n v="0"/>
    <n v="0"/>
    <s v="0:00"/>
    <s v="0:00"/>
    <n v="0"/>
    <n v="0"/>
    <n v="0"/>
    <n v="0"/>
    <n v="0"/>
    <n v="0"/>
    <x v="2"/>
    <s v="_x0009_Daryl Bullo"/>
    <s v="AH-SnapHeld-PTCall-Prod"/>
    <x v="5"/>
  </r>
  <r>
    <s v="AH-SnapHeld-PTCall-Prod"/>
    <s v="ILO_x0009_Ena Angela Puray"/>
    <s v="ena.puray@company.com"/>
    <n v="24"/>
    <n v="13.708019191227001"/>
    <n v="1.2978000000000001"/>
    <n v="6.5000000000000002E-2"/>
    <n v="9"/>
    <n v="0.375"/>
    <n v="5.1405071967101001"/>
    <n v="9"/>
    <n v="5.1405071967101001"/>
    <n v="1.7507999999999999"/>
    <n v="0.74126113776558988"/>
    <s v="0:01"/>
    <s v="3:24"/>
    <s v="3:14"/>
    <s v="0:09"/>
    <s v="0:00"/>
    <s v="41:03"/>
    <s v="0:00"/>
    <s v="0:00"/>
    <n v="0"/>
    <n v="0"/>
    <n v="0"/>
    <n v="0"/>
    <n v="0"/>
    <s v="0:00"/>
    <s v="0:00"/>
    <n v="0"/>
    <n v="0"/>
    <n v="0"/>
    <n v="0"/>
    <n v="0"/>
    <n v="0"/>
    <x v="2"/>
    <s v="_x0009_Ena Angela Puray"/>
    <s v="AH-SnapHeld-PTCall-Prod"/>
    <x v="5"/>
  </r>
  <r>
    <s v="AH-SnapHeld-PTCall-Prod"/>
    <s v="ILO_x0009_Kaixen Gail Arceta"/>
    <s v="kaixen.arceta@company.com"/>
    <n v="21"/>
    <n v="13.775911834164001"/>
    <n v="0.87329999999999997"/>
    <n v="0.14555555555555999"/>
    <n v="5"/>
    <n v="0.23809523809524"/>
    <n v="3.2799790081342999"/>
    <n v="5"/>
    <n v="3.2799790081342999"/>
    <n v="1.5244"/>
    <n v="0.57288113356074999"/>
    <s v="0:01"/>
    <s v="2:54"/>
    <s v="2:29"/>
    <s v="0:24"/>
    <s v="0:00"/>
    <s v="58:17"/>
    <s v="0:00"/>
    <s v="0:00"/>
    <n v="0"/>
    <n v="0"/>
    <n v="0"/>
    <n v="0"/>
    <n v="0"/>
    <s v="0:00"/>
    <s v="0:00"/>
    <n v="0"/>
    <n v="0"/>
    <n v="0"/>
    <n v="0"/>
    <n v="0"/>
    <n v="0"/>
    <x v="2"/>
    <s v="_x0009_Kaixen Gail Arceta"/>
    <s v="AH-SnapHeld-PTCall-Prod"/>
    <x v="5"/>
  </r>
  <r>
    <s v="AH-SnapHeld-PTCall-Prod"/>
    <s v="ILO_x0009_Laika Resco"/>
    <s v="laika.resco@company.com"/>
    <n v="6"/>
    <n v="11.446012972148001"/>
    <n v="0.18440000000000001"/>
    <n v="1.6944444444443998E-2"/>
    <n v="1"/>
    <n v="0.16666666666666999"/>
    <n v="1.9076688286912999"/>
    <n v="1"/>
    <n v="1.9076688286912999"/>
    <n v="0.5242"/>
    <n v="0.35177413201067997"/>
    <s v="0:01"/>
    <s v="2:00"/>
    <s v="1:50"/>
    <s v="0:1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Laika Resco"/>
    <s v="AH-SnapHeld-PTCall-Prod"/>
    <x v="5"/>
  </r>
  <r>
    <s v="AH-SnapHeld-PTCall-Prod"/>
    <s v="ILO_x0009_Ricky Mendiro"/>
    <s v="ricky.mendiro@company.com"/>
    <n v="23"/>
    <n v="11.404770169088"/>
    <n v="0.71640000000000004"/>
    <n v="0.16777777777778"/>
    <n v="3"/>
    <n v="0.13043478260870001"/>
    <n v="1.4875787177071"/>
    <n v="3"/>
    <n v="1.4875787177071"/>
    <n v="2.0167000000000002"/>
    <n v="0.35523379778846997"/>
    <s v="0:01"/>
    <s v="2:18"/>
    <s v="1:52"/>
    <s v="0:26"/>
    <s v="0:00"/>
    <s v="59:18"/>
    <s v="0:00"/>
    <s v="0:00"/>
    <n v="0"/>
    <n v="0"/>
    <n v="0"/>
    <n v="0"/>
    <n v="0"/>
    <s v="0:00"/>
    <s v="0:00"/>
    <n v="0"/>
    <n v="0"/>
    <n v="0"/>
    <n v="0"/>
    <n v="0"/>
    <n v="0"/>
    <x v="2"/>
    <s v="_x0009_Ricky Mendiro"/>
    <s v="AH-SnapHeld-PTCall-Prod"/>
    <x v="5"/>
  </r>
  <r>
    <s v="AH-SnapHeld-PTCall-Prod"/>
    <s v="ILO_x0009_Wellyn Grace Cayme"/>
    <s v="wellyn.cayme@company.com"/>
    <n v="48"/>
    <n v="15.635179153094001"/>
    <n v="1.0249999999999999"/>
    <n v="8.7499999999999994E-2"/>
    <n v="11"/>
    <n v="0.22916666666666999"/>
    <n v="3.5830618892507999"/>
    <n v="11"/>
    <n v="3.5830618892507999"/>
    <n v="3.07"/>
    <n v="0.33387622149836998"/>
    <s v="0:02"/>
    <s v="1:23"/>
    <s v="1:16"/>
    <s v="0:06"/>
    <s v="0:00"/>
    <s v="56:23"/>
    <s v="0:00"/>
    <s v="0:00"/>
    <n v="0"/>
    <n v="0"/>
    <n v="0"/>
    <n v="0"/>
    <n v="0"/>
    <s v="0:00"/>
    <s v="0:00"/>
    <n v="0"/>
    <n v="0"/>
    <n v="0"/>
    <n v="0"/>
    <n v="0"/>
    <n v="0"/>
    <x v="2"/>
    <s v="_x0009_Wellyn Grace Cayme"/>
    <s v="AH-SnapHeld-PTCall-Prod"/>
    <x v="5"/>
  </r>
  <r>
    <s v="AH-SnapHeld-PTCall-Prod"/>
    <s v="ILO  Aira Plaza"/>
    <s v="aira.plaza@company.com"/>
    <n v="61"/>
    <n v="19.390933943671001"/>
    <n v="0.75139999999999996"/>
    <n v="0.21861111111111001"/>
    <n v="1"/>
    <n v="1.6393442622951001E-2"/>
    <n v="0.31788416301099998"/>
    <n v="1"/>
    <n v="0.31788416301099998"/>
    <n v="3.1457999999999999"/>
    <n v="0.23885816008645999"/>
    <s v="0:01"/>
    <s v="0:57"/>
    <s v="0:44"/>
    <s v="0:1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Aira Plaza"/>
    <s v="AH-SnapHeld-PTCall-Prod"/>
    <x v="5"/>
  </r>
  <r>
    <s v="AH-SnapHeld-PTCall-Prod"/>
    <s v="ILO  Gabriel Anthony Astrologo"/>
    <s v="gabriel.astrologo@company.com"/>
    <n v="15"/>
    <n v="12.048192771084"/>
    <n v="0.46029999999999999"/>
    <n v="0.14388888888889001"/>
    <n v="2"/>
    <n v="0.13333333333333"/>
    <n v="1.6064257028111999"/>
    <n v="2"/>
    <n v="1.6064257028111999"/>
    <n v="1.2450000000000001"/>
    <n v="0.36971887550200999"/>
    <s v="0:01"/>
    <s v="2:25"/>
    <s v="1:50"/>
    <s v="0:34"/>
    <s v="0:00"/>
    <s v="35:10"/>
    <s v="0:00"/>
    <s v="0:00"/>
    <n v="0"/>
    <n v="0"/>
    <n v="0"/>
    <n v="0"/>
    <n v="0"/>
    <s v="0:00"/>
    <s v="0:00"/>
    <n v="0"/>
    <n v="0"/>
    <n v="0"/>
    <n v="0"/>
    <n v="0"/>
    <n v="0"/>
    <x v="2"/>
    <s v="Gabriel Anthony Astrologo"/>
    <s v="AH-SnapHeld-PTCall-Prod"/>
    <x v="5"/>
  </r>
  <r>
    <s v="AH-SnapHeld-PTCall-Prod"/>
    <s v="ILO  John Lawrence Esteva"/>
    <s v="john.esteva@company.com"/>
    <n v="35"/>
    <n v="12.778852824126"/>
    <n v="1.0758000000000001"/>
    <n v="1.8611111111110999E-2"/>
    <n v="2"/>
    <n v="5.7142857142857002E-2"/>
    <n v="0.73022016137865997"/>
    <n v="2"/>
    <n v="0.73022016137865997"/>
    <n v="2.7389000000000001"/>
    <n v="0.39278542480557999"/>
    <s v="0:01"/>
    <s v="1:52"/>
    <s v="1:50"/>
    <s v="0:01"/>
    <s v="0:00"/>
    <s v="24:22"/>
    <s v="0:00"/>
    <s v="0:00"/>
    <n v="0"/>
    <n v="0"/>
    <n v="0"/>
    <n v="0"/>
    <n v="0"/>
    <s v="0:00"/>
    <s v="0:00"/>
    <n v="0"/>
    <n v="0"/>
    <n v="0"/>
    <n v="0"/>
    <n v="0"/>
    <n v="0"/>
    <x v="2"/>
    <s v="John Lawrence Esteva"/>
    <s v="AH-SnapHeld-PTCall-Prod"/>
    <x v="5"/>
  </r>
  <r>
    <s v="AH-SnapHeld-PTCall-Prod"/>
    <s v="ILO  Mikaela Judith Jacela"/>
    <s v="mikaela.jacela@company.com"/>
    <n v="21"/>
    <n v="11.652424814115999"/>
    <n v="0.87309999999999999"/>
    <n v="1.2777777777778001E-2"/>
    <n v="3"/>
    <n v="0.14285714285713999"/>
    <n v="1.6646321163022999"/>
    <n v="3"/>
    <n v="1.6646321163022999"/>
    <n v="1.8022"/>
    <n v="0.48446343358117999"/>
    <s v="0:01"/>
    <s v="2:31"/>
    <s v="2:29"/>
    <s v="0:02"/>
    <s v="0:00"/>
    <s v="35:17"/>
    <s v="0:00"/>
    <s v="0:00"/>
    <n v="0"/>
    <n v="0"/>
    <n v="0"/>
    <n v="0"/>
    <n v="0"/>
    <s v="0:00"/>
    <s v="0:00"/>
    <n v="0"/>
    <n v="0"/>
    <n v="0"/>
    <n v="0"/>
    <n v="0"/>
    <n v="0"/>
    <x v="2"/>
    <s v="Mikaela Judith Jacela"/>
    <s v="AH-SnapHeld-PTCall-Prod"/>
    <x v="5"/>
  </r>
  <r>
    <s v="AH-SnapHeld-PTCall-Prod"/>
    <s v="ILO  Ricksie Jean DelaCruz"/>
    <s v="ricksie.delacruz@company.com"/>
    <n v="49"/>
    <n v="13.477088948786999"/>
    <n v="2.6732999999999998"/>
    <n v="3.2777777777778003E-2"/>
    <n v="5"/>
    <n v="0.10204081632653"/>
    <n v="1.3752131580394999"/>
    <n v="5"/>
    <n v="1.3752131580394999"/>
    <n v="3.6358000000000001"/>
    <n v="0.73527146707739999"/>
    <s v="0:01"/>
    <s v="3:18"/>
    <s v="3:16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Ricksie Jean DelaCruz"/>
    <s v="AH-SnapHeld-PTCall-Prod"/>
    <x v="5"/>
  </r>
  <r>
    <s v="AH-SnapHeld-Rework-Prod"/>
    <s v="ILO_x0009_Christine Joy Lanzarote"/>
    <s v="joy.lanzarote@company.com"/>
    <n v="22"/>
    <n v="10.25641025641"/>
    <n v="0.72750000000000004"/>
    <n v="9.4722222222221999E-2"/>
    <n v="4"/>
    <n v="0.18181818181817999"/>
    <n v="1.8648018648019"/>
    <n v="4"/>
    <n v="1.8648018648019"/>
    <n v="2.145"/>
    <n v="0.33916083916084"/>
    <s v="3:02"/>
    <s v="2:14"/>
    <s v="1:59"/>
    <s v="0:15"/>
    <s v="0:00"/>
    <s v="58:23"/>
    <s v="0:00"/>
    <s v="0:00"/>
    <n v="0"/>
    <n v="0"/>
    <n v="0"/>
    <n v="0"/>
    <n v="0"/>
    <s v="0:00"/>
    <s v="0:00"/>
    <n v="0"/>
    <n v="0"/>
    <n v="0"/>
    <n v="0"/>
    <n v="0"/>
    <n v="0"/>
    <x v="2"/>
    <s v="_x0009_Christine Joy Lanzarote"/>
    <s v="AH-SnapHeld-Rework-Prod"/>
    <x v="6"/>
  </r>
  <r>
    <s v="AH-SnapHeld-VSA-Prod"/>
    <s v="BCD_x0009_Nino Bruno Soluta"/>
    <s v="bruno.soluta@company.com"/>
    <n v="88"/>
    <n v="26.490863662361999"/>
    <n v="0.39250000000000002"/>
    <n v="0.15"/>
    <n v="48"/>
    <n v="0.54545454545454997"/>
    <n v="14.449561997651999"/>
    <n v="50"/>
    <n v="15.051627080887"/>
    <n v="3.3218999999999999"/>
    <n v="0.11815527258496999"/>
    <s v="0:00"/>
    <s v="0:22"/>
    <s v="0:16"/>
    <s v="0:06"/>
    <s v="0:00"/>
    <s v="40:22"/>
    <s v="0:00"/>
    <s v="0:00"/>
    <n v="0"/>
    <n v="0"/>
    <n v="0"/>
    <n v="0"/>
    <n v="0"/>
    <s v="0:00"/>
    <s v="0:00"/>
    <n v="0"/>
    <n v="0"/>
    <n v="0"/>
    <n v="0"/>
    <n v="0"/>
    <n v="0"/>
    <x v="0"/>
    <s v="_x0009_Nino Bruno Soluta"/>
    <s v="AH-SnapHeld-VSA-Prod"/>
    <x v="7"/>
  </r>
  <r>
    <s v="AH-SnapHeld-VSA-Prod"/>
    <s v="BCD Joyce Altamera"/>
    <s v="joyce.altamera@company.com"/>
    <n v="77"/>
    <n v="22.894181310023001"/>
    <n v="0.1353"/>
    <n v="0.1875"/>
    <n v="50"/>
    <n v="0.64935064935065001"/>
    <n v="14.866351500015"/>
    <n v="57"/>
    <n v="16.947640710017001"/>
    <n v="3.3633000000000002"/>
    <n v="4.0228347159040001E-2"/>
    <s v="0:00"/>
    <s v="0:15"/>
    <s v="0:06"/>
    <s v="0:08"/>
    <s v="0:00"/>
    <s v="39:54"/>
    <s v="0:00"/>
    <s v="0:00"/>
    <n v="0"/>
    <n v="0"/>
    <n v="0"/>
    <n v="0"/>
    <n v="0"/>
    <s v="0:00"/>
    <s v="0:00"/>
    <n v="0"/>
    <n v="0"/>
    <n v="0"/>
    <n v="0"/>
    <n v="0"/>
    <n v="0"/>
    <x v="0"/>
    <s v="Joyce Altamera"/>
    <s v="AH-SnapHeld-VSA-Prod"/>
    <x v="7"/>
  </r>
  <r>
    <s v="AH-SnapHeld-VSA-Prod"/>
    <s v="BTG  Rose Respecia"/>
    <s v="rose.respecia@company.com"/>
    <n v="23"/>
    <n v="15.192549045511999"/>
    <n v="2.06E-2"/>
    <n v="3.7222222222221997E-2"/>
    <n v="3"/>
    <n v="0.13043478260870001"/>
    <n v="1.9816368320233"/>
    <n v="3"/>
    <n v="1.9816368320233"/>
    <n v="1.5139"/>
    <n v="1.3607239579893E-2"/>
    <s v="0:00"/>
    <s v="0:09"/>
    <s v="0:03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Rose Respecia"/>
    <s v="AH-SnapHeld-VSA-Prod"/>
    <x v="7"/>
  </r>
  <r>
    <s v="AH-SnapHeld-VSA-Prod"/>
    <s v="ILO_x0009_Abegail Casipe"/>
    <s v="abegail.casipe@company.com"/>
    <n v="58"/>
    <n v="20.755797308904"/>
    <n v="0.1208"/>
    <n v="0.24249999999999999"/>
    <n v="4"/>
    <n v="6.8965517241379004E-2"/>
    <n v="1.4314342971658001"/>
    <n v="4"/>
    <n v="1.4314342971658001"/>
    <n v="2.7944"/>
    <n v="4.3229315774406002E-2"/>
    <s v="0:00"/>
    <s v="0:22"/>
    <s v="0:07"/>
    <s v="0:15"/>
    <s v="0:00"/>
    <s v="58:23"/>
    <s v="0:00"/>
    <s v="0:00"/>
    <n v="0"/>
    <n v="0"/>
    <n v="0"/>
    <n v="0"/>
    <n v="0"/>
    <s v="0:00"/>
    <s v="0:00"/>
    <n v="0"/>
    <n v="0"/>
    <n v="0"/>
    <n v="0"/>
    <n v="0"/>
    <n v="0"/>
    <x v="2"/>
    <s v="_x0009_Abegail Casipe"/>
    <s v="AH-SnapHeld-VSA-Prod"/>
    <x v="7"/>
  </r>
  <r>
    <s v="AH-SnapHeld-VSA-Prod"/>
    <s v="ILO_x0009_Eljan Estanol"/>
    <s v="eljan.estanol@company.com"/>
    <n v="76"/>
    <n v="20.439448134900001"/>
    <n v="8.6699999999999999E-2"/>
    <n v="8.6388888888889001E-2"/>
    <n v="2"/>
    <n v="2.6315789473684001E-2"/>
    <n v="0.53788021407633002"/>
    <n v="5"/>
    <n v="1.3447005351907999"/>
    <n v="3.7183000000000002"/>
    <n v="2.3317107280208998E-2"/>
    <s v="0:02"/>
    <s v="0:08"/>
    <s v="0:04"/>
    <s v="0:04"/>
    <s v="0:00"/>
    <s v="32:31"/>
    <s v="0:00"/>
    <s v="0:00"/>
    <n v="0"/>
    <n v="0"/>
    <n v="0"/>
    <n v="0"/>
    <n v="0"/>
    <s v="0:00"/>
    <s v="0:00"/>
    <n v="0"/>
    <n v="0"/>
    <n v="0"/>
    <n v="0"/>
    <n v="0"/>
    <n v="0"/>
    <x v="2"/>
    <s v="_x0009_Eljan Estanol"/>
    <s v="AH-SnapHeld-VSA-Prod"/>
    <x v="7"/>
  </r>
  <r>
    <s v="AH-SnapHeld-VSA-Prod"/>
    <s v="ILO_x0009_Kent John Sajonia"/>
    <s v="kent.sajonia@company.com"/>
    <n v="78"/>
    <n v="25.451104512676999"/>
    <n v="1.0307999999999999"/>
    <n v="9.9722222222222004E-2"/>
    <n v="3"/>
    <n v="3.8461538461537999E-2"/>
    <n v="0.97888863510294988"/>
    <n v="3"/>
    <n v="0.97888863510294988"/>
    <n v="3.0647000000000002"/>
    <n v="0.33634613502137001"/>
    <s v="0:00"/>
    <s v="0:52"/>
    <s v="0:47"/>
    <s v="0:04"/>
    <s v="0:00"/>
    <s v="40:40"/>
    <s v="0:00"/>
    <s v="0:00"/>
    <n v="0"/>
    <n v="0"/>
    <n v="0"/>
    <n v="0"/>
    <n v="0"/>
    <s v="0:00"/>
    <s v="0:00"/>
    <n v="0"/>
    <n v="0"/>
    <n v="0"/>
    <n v="0"/>
    <n v="0"/>
    <n v="0"/>
    <x v="2"/>
    <s v="_x0009_Kent John Sajonia"/>
    <s v="AH-SnapHeld-VSA-Prod"/>
    <x v="7"/>
  </r>
  <r>
    <s v="AH-SnapHeld-VSA-Prod"/>
    <s v="ILO_x0009_Kirk Daniel Cautivar"/>
    <s v="kirk.cautivar@company.com"/>
    <n v="57"/>
    <n v="21.235377393636998"/>
    <n v="0.42559999999999998"/>
    <n v="0.10222222222221999"/>
    <n v="4"/>
    <n v="7.0175438596491002E-2"/>
    <n v="1.4902019223605001"/>
    <n v="4"/>
    <n v="1.4902019223605001"/>
    <n v="2.6842000000000001"/>
    <n v="0.15855748453915999"/>
    <s v="0:01"/>
    <s v="0:33"/>
    <s v="0:26"/>
    <s v="0:06"/>
    <s v="0:00"/>
    <s v="57:02"/>
    <s v="0:00"/>
    <s v="0:00"/>
    <n v="0"/>
    <n v="0"/>
    <n v="0"/>
    <n v="0"/>
    <n v="0"/>
    <s v="0:00"/>
    <s v="0:00"/>
    <n v="0"/>
    <n v="0"/>
    <n v="0"/>
    <n v="0"/>
    <n v="0"/>
    <n v="0"/>
    <x v="2"/>
    <s v="_x0009_Kirk Daniel Cautivar"/>
    <s v="AH-SnapHeld-VSA-Prod"/>
    <x v="7"/>
  </r>
  <r>
    <s v="AH-SnapHeld-VSA-Prod"/>
    <s v="ILO_x0009_Krishna Tolentino"/>
    <s v="krishna.tolentino@company.com"/>
    <n v="51"/>
    <n v="19.769740667518999"/>
    <n v="0.2792"/>
    <n v="0.13027777777777999"/>
    <n v="18"/>
    <n v="0.35294117647058998"/>
    <n v="6.9775555297127996"/>
    <n v="19"/>
    <n v="7.3651975035856996"/>
    <n v="2.5796999999999999"/>
    <n v="0.10822963910532001"/>
    <s v="0:00"/>
    <s v="0:28"/>
    <s v="0:19"/>
    <s v="0:09"/>
    <s v="0:00"/>
    <s v="49:34"/>
    <s v="0:00"/>
    <s v="0:00"/>
    <n v="0"/>
    <n v="0"/>
    <n v="0"/>
    <n v="0"/>
    <n v="0"/>
    <s v="0:00"/>
    <s v="0:00"/>
    <n v="0"/>
    <n v="0"/>
    <n v="0"/>
    <n v="0"/>
    <n v="0"/>
    <n v="0"/>
    <x v="2"/>
    <s v="_x0009_Krishna Tolentino"/>
    <s v="AH-SnapHeld-VSA-Prod"/>
    <x v="7"/>
  </r>
  <r>
    <s v="AH-SnapHeld-VSA-Prod"/>
    <s v="ILO Shine Sarceno"/>
    <s v="shine.sarceno@company.com"/>
    <n v="39"/>
    <n v="14.589802102427999"/>
    <n v="1.0706"/>
    <n v="8.9444444444443993E-2"/>
    <n v="28"/>
    <n v="0.71794871794871995"/>
    <n v="10.474729714564001"/>
    <n v="28"/>
    <n v="10.474729714564001"/>
    <n v="2.6730999999999998"/>
    <n v="0.40050877258613998"/>
    <s v="0:01"/>
    <s v="1:47"/>
    <s v="1:38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Shine Sarceno"/>
    <s v="AH-SnapHeld-VSA-Prod"/>
    <x v="7"/>
  </r>
  <r>
    <s v="HBOSS Portal Doctor Research"/>
    <s v="BCD_x0009_Don Ceasar"/>
    <s v="don.ceasar@company.com"/>
    <n v="22"/>
    <n v="6.5029115308445"/>
    <n v="9.6699999999999994E-2"/>
    <n v="4.3611111111111003E-2"/>
    <n v="9"/>
    <n v="0.40909090909091"/>
    <n v="2.6602819898908998"/>
    <n v="22"/>
    <n v="6.5029115308445"/>
    <n v="3.3831000000000002"/>
    <n v="2.8583252046939001E-2"/>
    <s v="8:44"/>
    <s v="0:22"/>
    <s v="0:15"/>
    <s v="0:07"/>
    <s v="0:00"/>
    <s v="33:41"/>
    <s v="0:00"/>
    <s v="0:00"/>
    <n v="0"/>
    <n v="0"/>
    <n v="0"/>
    <n v="0"/>
    <n v="0"/>
    <s v="0:00"/>
    <s v="0:00"/>
    <n v="0"/>
    <n v="0"/>
    <n v="0"/>
    <n v="0"/>
    <n v="0"/>
    <n v="0"/>
    <x v="0"/>
    <s v="_x0009_Don Ceasar"/>
    <s v="HBOSS Portal Doctor Research"/>
    <x v="8"/>
  </r>
  <r>
    <s v="HBOSS Portal Doctor Research"/>
    <s v="ILO_x0009_Laika Resco"/>
    <s v="laika.resco@company.com"/>
    <n v="30"/>
    <n v="9.3767581421517008"/>
    <n v="8.0299999999999996E-2"/>
    <n v="3.9444444444443998E-2"/>
    <n v="22"/>
    <n v="0.73333333333332995"/>
    <n v="6.8762893042444997"/>
    <n v="30"/>
    <n v="9.3767581421517008"/>
    <n v="3.1993999999999998"/>
    <n v="2.5098455960493E-2"/>
    <s v="0:16"/>
    <s v="0:14"/>
    <s v="0:09"/>
    <s v="0:04"/>
    <s v="0:00"/>
    <s v="48:35"/>
    <s v="0:00"/>
    <s v="0:00"/>
    <n v="0"/>
    <n v="0"/>
    <n v="0"/>
    <n v="0"/>
    <n v="0"/>
    <s v="0:00"/>
    <s v="0:00"/>
    <n v="0"/>
    <n v="0"/>
    <n v="0"/>
    <n v="0"/>
    <n v="0"/>
    <n v="0"/>
    <x v="2"/>
    <s v="_x0009_Laika Resco"/>
    <s v="HBOSS Portal Doctor Research"/>
    <x v="8"/>
  </r>
  <r>
    <s v="HBOSS Portal Doctor Research"/>
    <s v="ILO  Reymar Brunda"/>
    <s v="reymar.brunda@company.com"/>
    <n v="37"/>
    <n v="13.246929934481001"/>
    <n v="0.24690000000000001"/>
    <n v="8.2222222222222002E-2"/>
    <n v="16"/>
    <n v="0.43243243243243001"/>
    <n v="5.7284021338297997"/>
    <n v="37"/>
    <n v="13.246929934481001"/>
    <n v="2.7930999999999999"/>
    <n v="8.8396405427661001E-2"/>
    <s v="3:33"/>
    <s v="0:32"/>
    <s v="0:24"/>
    <s v="0:08"/>
    <s v="0:00"/>
    <s v="51:31"/>
    <s v="0:00"/>
    <s v="0:00"/>
    <n v="0"/>
    <n v="0"/>
    <n v="0"/>
    <n v="0"/>
    <n v="0"/>
    <s v="0:00"/>
    <s v="0:00"/>
    <n v="0"/>
    <n v="0"/>
    <n v="0"/>
    <n v="0"/>
    <n v="0"/>
    <n v="0"/>
    <x v="2"/>
    <s v="Reymar Brunda"/>
    <s v="HBOSS Portal Doctor Research"/>
    <x v="8"/>
  </r>
  <r>
    <s v="HBOSS Portal Fax Mapping"/>
    <s v="BCD_x0009_Jeshurun Corpus"/>
    <s v="jeshurun.corpus@company.com"/>
    <n v="11"/>
    <n v="2.8314028314028001"/>
    <n v="4.1099999999999998E-2"/>
    <n v="1.5833333333333002E-2"/>
    <n v="11"/>
    <n v="1"/>
    <n v="2.8314028314028001"/>
    <n v="102"/>
    <n v="26.254826254826"/>
    <n v="3.8849999999999998"/>
    <n v="1.0579150579151E-2"/>
    <s v="20:45"/>
    <s v="0:18"/>
    <s v="0:13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_x0009_Jeshurun Corpus"/>
    <s v="HBOSS Portal Fax MappingAH-SnapHeld-DM-Prod"/>
    <x v="9"/>
  </r>
  <r>
    <s v="HBOSS Portal Fax Mapping"/>
    <s v="BCD Gabrielle Angela Alcala"/>
    <s v="gabrielle.alcala@company.com"/>
    <n v="6"/>
    <n v="1.4857737166630001"/>
    <n v="3.3599999999999998E-2"/>
    <n v="7.4999999999999997E-2"/>
    <n v="6"/>
    <n v="1"/>
    <n v="1.4857737166630001"/>
    <n v="57"/>
    <n v="14.114850308297999"/>
    <n v="4.0382999999999996"/>
    <n v="8.3203328133125004E-3"/>
    <s v="39:07"/>
    <s v="1:05"/>
    <s v="0:20"/>
    <s v="0:4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Gabrielle Angela Alcala"/>
    <s v="HBOSS Portal Fax MappingAH-SnapHeld-DM-Prod"/>
    <x v="9"/>
  </r>
  <r>
    <s v="HBOSS Portal Fax Mapping"/>
    <s v="BCD Julius Canasares"/>
    <s v="julius.canasares@company.com"/>
    <n v="2"/>
    <n v="0.65359477124182996"/>
    <n v="3.0999999999999999E-3"/>
    <n v="1.0833333333333001E-2"/>
    <n v="2"/>
    <n v="1"/>
    <n v="0.65359477124182996"/>
    <n v="19"/>
    <n v="6.2091503267974"/>
    <n v="3.06"/>
    <n v="1.0130718954248E-3"/>
    <s v="70:57"/>
    <s v="0:25"/>
    <s v="0:05"/>
    <s v="0:19"/>
    <s v="0:00"/>
    <s v="0:04"/>
    <s v="0:00"/>
    <s v="0:00"/>
    <n v="0"/>
    <n v="0"/>
    <n v="0"/>
    <n v="0"/>
    <n v="0"/>
    <s v="0:00"/>
    <s v="0:00"/>
    <n v="0"/>
    <n v="0"/>
    <n v="0"/>
    <n v="0"/>
    <n v="0"/>
    <n v="0"/>
    <x v="0"/>
    <s v="Julius Canasares"/>
    <s v="HBOSS Portal Fax MappingAH-SnapHeld-DM-Prod"/>
    <x v="9"/>
  </r>
  <r>
    <s v="HBOSS Portal Fax Mapping"/>
    <s v="BCD LA Rezhebel Loraine Belloso"/>
    <s v="rezhebel.belloso@company.com"/>
    <n v="1"/>
    <n v="0.17147658487233999"/>
    <n v="0.67279999999999995"/>
    <n v="2.5000000000000001E-3"/>
    <n v="1"/>
    <n v="1"/>
    <n v="0.17147658487233999"/>
    <n v="5"/>
    <n v="0.85738292436167995"/>
    <n v="5.8316999999999997"/>
    <n v="0.11536944630211"/>
    <s v="308:30"/>
    <s v="40:31"/>
    <s v="40:22"/>
    <s v="0:09"/>
    <s v="0:00"/>
    <s v="3:16"/>
    <s v="0:00"/>
    <s v="0:00"/>
    <n v="0"/>
    <n v="0"/>
    <n v="0"/>
    <n v="0"/>
    <n v="0"/>
    <s v="0:00"/>
    <s v="0:00"/>
    <n v="0"/>
    <n v="0"/>
    <n v="0"/>
    <n v="0"/>
    <n v="0"/>
    <n v="0"/>
    <x v="0"/>
    <s v="LA Rezhebel Loraine Belloso"/>
    <s v="HBOSS Portal Fax MappingAH-SnapHeld-DM-Prod"/>
    <x v="9"/>
  </r>
  <r>
    <s v="HBOSS Portal Fax Mapping"/>
    <s v="BCD Maria Amalia Endrinal"/>
    <s v="maria.endrinal@company.com"/>
    <n v="7"/>
    <n v="2.0970012881578999"/>
    <n v="2.47E-2"/>
    <n v="1.1666666666667E-2"/>
    <n v="7"/>
    <n v="1"/>
    <n v="2.0970012881578999"/>
    <n v="36"/>
    <n v="10.784578053383999"/>
    <n v="3.3380999999999998"/>
    <n v="7.3994188310716E-3"/>
    <s v="28:10"/>
    <s v="0:18"/>
    <s v="0:12"/>
    <s v="0:06"/>
    <s v="0:00"/>
    <s v="36:04"/>
    <s v="0:00"/>
    <s v="0:00"/>
    <n v="0"/>
    <n v="0"/>
    <n v="0"/>
    <n v="0"/>
    <n v="0"/>
    <s v="0:00"/>
    <s v="0:00"/>
    <n v="0"/>
    <n v="0"/>
    <n v="0"/>
    <n v="0"/>
    <n v="0"/>
    <n v="0"/>
    <x v="0"/>
    <s v="Maria Amalia Endrinal"/>
    <s v="HBOSS Portal Fax MappingAH-SnapHeld-DM-Prod"/>
    <x v="9"/>
  </r>
  <r>
    <s v="HBOSS Portal Fax Mapping"/>
    <s v="BCD Nicole Amador"/>
    <s v="nicole.amador@company.com"/>
    <n v="1"/>
    <n v="1.0590976488032"/>
    <n v="5.9999999999999995E-4"/>
    <n v="1.0277777777778E-2"/>
    <n v="1"/>
    <n v="1"/>
    <n v="1.0590976488032"/>
    <n v="20"/>
    <n v="21.181952976064"/>
    <n v="0.94420000000000004"/>
    <n v="6.3545858928192999E-4"/>
    <s v="55:42"/>
    <s v="0:39"/>
    <s v="0:02"/>
    <s v="0:3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s v="Nicole Amador"/>
    <s v="HBOSS Portal Fax MappingAH-SnapHeld-DM-Prod"/>
    <x v="9"/>
  </r>
  <r>
    <s v="HBOSS Portal Fax Mapping"/>
    <s v="BTG_x0009_Jairo Enriquez"/>
    <s v="jairo.enriquez@company.com"/>
    <n v="0"/>
    <n v="0"/>
    <n v="0"/>
    <n v="0"/>
    <n v="0"/>
    <n v="0"/>
    <n v="0"/>
    <n v="0"/>
    <n v="0"/>
    <n v="1.7894000000000001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_x0009_Jairo Enriquez"/>
    <s v="HBOSS Portal Fax MappingAH-SnapHeld-DM-Prod"/>
    <x v="9"/>
  </r>
  <r>
    <s v="HBOSS Portal Fax Mapping"/>
    <s v="BTG  April Ann Serrano"/>
    <s v="april.serrano@company.com"/>
    <n v="2"/>
    <n v="0.76587271195526996"/>
    <n v="5.9999999999999995E-4"/>
    <n v="0.02"/>
    <n v="2"/>
    <n v="1"/>
    <n v="0.76587271195526996"/>
    <n v="12"/>
    <n v="4.5952362717315998"/>
    <n v="2.6114000000000002"/>
    <n v="2.2976181358658001E-4"/>
    <s v="52:34"/>
    <s v="0:37"/>
    <s v="0:01"/>
    <s v="0:36"/>
    <s v="0:00"/>
    <s v="61:42"/>
    <s v="0:00"/>
    <s v="0:00"/>
    <n v="0"/>
    <n v="0"/>
    <n v="0"/>
    <n v="0"/>
    <n v="0"/>
    <s v="0:00"/>
    <s v="0:00"/>
    <n v="0"/>
    <n v="0"/>
    <n v="0"/>
    <n v="0"/>
    <n v="0"/>
    <n v="0"/>
    <x v="1"/>
    <s v="April Ann Serrano"/>
    <s v="HBOSS Portal Fax MappingAH-SnapHeld-DM-Prod"/>
    <x v="9"/>
  </r>
  <r>
    <s v="HBOSS Portal Fax Mapping"/>
    <s v="BTG Aldrin Toledo"/>
    <s v="aldrin.toledo@company.com"/>
    <n v="4"/>
    <n v="2.3860653781913999"/>
    <n v="2.3099999999999999E-2"/>
    <n v="7.2222222222222002E-3"/>
    <n v="4"/>
    <n v="1"/>
    <n v="2.3860653781913999"/>
    <n v="4"/>
    <n v="2.3860653781913999"/>
    <n v="1.6763999999999999"/>
    <n v="1.3779527559055E-2"/>
    <s v="24:27"/>
    <s v="0:27"/>
    <s v="0:20"/>
    <s v="0:0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Aldrin Toledo"/>
    <s v="HBOSS Portal Fax MappingAH-SnapHeld-DM-Prod"/>
    <x v="9"/>
  </r>
  <r>
    <s v="HBOSS Portal Fax Mapping"/>
    <s v="BTG Bemilyn Vinas"/>
    <s v="bemilyn.vinas@company.com"/>
    <n v="1"/>
    <n v="0.58630393996247998"/>
    <n v="1.5800000000000002E-2"/>
    <n v="1.3888888888889E-3"/>
    <n v="1"/>
    <n v="1"/>
    <n v="0.58630393996247998"/>
    <n v="5"/>
    <n v="2.9315196998123998"/>
    <n v="1.7056"/>
    <n v="9.2636022514070993E-3"/>
    <s v="100:34"/>
    <s v="1:02"/>
    <s v="0:57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Bemilyn Vinas"/>
    <s v="HBOSS Portal Fax MappingAH-SnapHeld-DM-Prod"/>
    <x v="9"/>
  </r>
  <r>
    <s v="HBOSS Portal Fax Mapping"/>
    <s v="BTG Darwin Llanto"/>
    <s v="darwin.llanto@company.com"/>
    <n v="1"/>
    <n v="0.58699225170227998"/>
    <n v="3.0300000000000001E-2"/>
    <n v="2.2222222222222001E-3"/>
    <n v="1"/>
    <n v="1"/>
    <n v="0.58699225170227998"/>
    <n v="10"/>
    <n v="5.8699225170228004"/>
    <n v="1.7036"/>
    <n v="1.7785865226579E-2"/>
    <s v="99:43"/>
    <s v="1:57"/>
    <s v="1:49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Darwin Llanto"/>
    <s v="HBOSS Portal Fax MappingAH-SnapHeld-DM-Prod"/>
    <x v="9"/>
  </r>
  <r>
    <s v="HBOSS Portal Fax Mapping"/>
    <s v="BTG Daryl Baque"/>
    <s v="daryl.baque@company.com"/>
    <n v="2"/>
    <n v="2.7262813522356"/>
    <n v="2.3599999999999999E-2"/>
    <n v="2.7777777777778E-3"/>
    <n v="2"/>
    <n v="1"/>
    <n v="2.7262813522356"/>
    <n v="10"/>
    <n v="13.631406761178001"/>
    <n v="0.73360000000000003"/>
    <n v="3.2170119956379001E-2"/>
    <s v="21:06"/>
    <s v="0:47"/>
    <s v="0:42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Daryl Baque"/>
    <s v="HBOSS Portal Fax MappingAH-SnapHeld-DM-Prod"/>
    <x v="9"/>
  </r>
  <r>
    <s v="HBOSS Portal Fax Mapping"/>
    <s v="BTG Edgardo Pasahol"/>
    <s v="edgardo.pasahol@company.com"/>
    <n v="5"/>
    <n v="3.0010203469180001"/>
    <n v="3.6900000000000002E-2"/>
    <n v="3.0555555555556E-3"/>
    <n v="5"/>
    <n v="1"/>
    <n v="3.0010203469180001"/>
    <n v="5"/>
    <n v="3.0010203469180001"/>
    <n v="1.6660999999999999"/>
    <n v="2.2147530160254E-2"/>
    <s v="19:19"/>
    <s v="0:28"/>
    <s v="0:26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Edgardo Pasahol"/>
    <s v="HBOSS Portal Fax MappingAH-SnapHeld-DM-Prod"/>
    <x v="9"/>
  </r>
  <r>
    <s v="HBOSS Portal Fax Mapping"/>
    <s v="BTG Faith Larissa Montablan"/>
    <s v="faith.montablan@company.com"/>
    <n v="7"/>
    <n v="5.9813722977013999"/>
    <n v="8.3299999999999999E-2"/>
    <n v="5.8333333333332998E-3"/>
    <n v="7"/>
    <n v="1"/>
    <n v="5.9813722977013999"/>
    <n v="7"/>
    <n v="5.9813722977013999"/>
    <n v="1.1702999999999999"/>
    <n v="7.1178330342647006E-2"/>
    <s v="9:04"/>
    <s v="0:45"/>
    <s v="0:42"/>
    <s v="0:03"/>
    <s v="0:00"/>
    <s v="0:52"/>
    <s v="0:00"/>
    <s v="0:00"/>
    <n v="0"/>
    <n v="0"/>
    <n v="0"/>
    <n v="0"/>
    <n v="0"/>
    <s v="0:00"/>
    <s v="0:00"/>
    <n v="0"/>
    <n v="0"/>
    <n v="0"/>
    <n v="0"/>
    <n v="0"/>
    <n v="0"/>
    <x v="1"/>
    <s v="Faith Larissa Montablan"/>
    <s v="HBOSS Portal Fax MappingAH-SnapHeld-DM-Prod"/>
    <x v="9"/>
  </r>
  <r>
    <s v="HBOSS Portal Fax Mapping"/>
    <s v="BTG Ian James Ricero"/>
    <s v="ian.ricero@company.com"/>
    <n v="3"/>
    <n v="1.7241379310345"/>
    <n v="6.6400000000000001E-2"/>
    <n v="1.3888888888889E-3"/>
    <n v="3"/>
    <n v="1"/>
    <n v="1.7241379310345"/>
    <n v="43"/>
    <n v="24.712643678161001"/>
    <n v="1.74"/>
    <n v="3.8160919540230001E-2"/>
    <s v="33:16"/>
    <s v="1:21"/>
    <s v="1:19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Ian James Ricero"/>
    <s v="HBOSS Portal Fax MappingAH-SnapHeld-DM-Prod"/>
    <x v="9"/>
  </r>
  <r>
    <s v="HBOSS Portal Fax Mapping"/>
    <s v="BTG Janica Tonic"/>
    <s v="janica.tonic@company.com"/>
    <n v="3"/>
    <n v="8.3658672615728005"/>
    <n v="7.6100000000000001E-2"/>
    <n v="5.0000000000000001E-3"/>
    <n v="3"/>
    <n v="1"/>
    <n v="8.3658672615728005"/>
    <n v="31"/>
    <n v="86.447295036252001"/>
    <n v="0.35859999999999997"/>
    <n v="0.21221416620190001"/>
    <s v="5:25"/>
    <s v="1:37"/>
    <s v="1:31"/>
    <s v="0:06"/>
    <s v="0:00"/>
    <s v="1:11"/>
    <s v="0:00"/>
    <s v="0:00"/>
    <n v="0"/>
    <n v="0"/>
    <n v="0"/>
    <n v="0"/>
    <n v="0"/>
    <s v="0:00"/>
    <s v="0:00"/>
    <n v="0"/>
    <n v="0"/>
    <n v="0"/>
    <n v="0"/>
    <n v="0"/>
    <n v="0"/>
    <x v="1"/>
    <s v="Janica Tonic"/>
    <s v="HBOSS Portal Fax MappingAH-SnapHeld-DM-Prod"/>
    <x v="9"/>
  </r>
  <r>
    <s v="HBOSS Portal Fax Mapping"/>
    <s v="BTG Jayvan Cantollas"/>
    <s v="jayvan.cantollas@company.com"/>
    <n v="4"/>
    <n v="2.6359143327841998"/>
    <n v="2.1899999999999999E-2"/>
    <n v="7.7777777777778001E-3"/>
    <n v="4"/>
    <n v="1"/>
    <n v="2.6359143327841998"/>
    <n v="4"/>
    <n v="2.6359143327841998"/>
    <n v="1.5175000000000001"/>
    <n v="1.4431630971993001E-2"/>
    <s v="22:05"/>
    <s v="0:26"/>
    <s v="0:19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ayvan Cantollas"/>
    <s v="HBOSS Portal Fax MappingAH-SnapHeld-DM-Prod"/>
    <x v="9"/>
  </r>
  <r>
    <s v="HBOSS Portal Fax Mapping"/>
    <s v="BTG Jhon Carlo Marcelino"/>
    <s v="jhon.marcelino@company.com"/>
    <n v="2"/>
    <n v="1.3460761879122001"/>
    <n v="1.8599999999999998E-2"/>
    <n v="1.6666666666667E-3"/>
    <n v="2"/>
    <n v="1"/>
    <n v="1.3460761879122001"/>
    <n v="8"/>
    <n v="5.3843047516488998"/>
    <n v="1.4858"/>
    <n v="1.2518508547584E-2"/>
    <s v="43:41"/>
    <s v="0:36"/>
    <s v="0:33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hon Carlo Marcelino"/>
    <s v="HBOSS Portal Fax MappingAH-SnapHeld-DM-Prod"/>
    <x v="9"/>
  </r>
  <r>
    <s v="HBOSS Portal Fax Mapping"/>
    <s v="BTG Joelle Ann Poticar"/>
    <s v="joelle.poticar@company.com"/>
    <n v="4"/>
    <n v="2.3304591004428001"/>
    <n v="4.2799999999999998E-2"/>
    <n v="9.7222222222221998E-3"/>
    <n v="4"/>
    <n v="1"/>
    <n v="2.3304591004428001"/>
    <n v="17"/>
    <n v="9.9044511768817998"/>
    <n v="1.7163999999999999"/>
    <n v="2.4935912374737999E-2"/>
    <s v="24:47"/>
    <s v="0:47"/>
    <s v="0:38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oelle Ann Poticar"/>
    <s v="HBOSS Portal Fax MappingAH-SnapHeld-DM-Prod"/>
    <x v="9"/>
  </r>
  <r>
    <s v="HBOSS Portal Fax Mapping"/>
    <s v="BTG Joyce Caila Olan"/>
    <s v="joyce.olan@company.com"/>
    <n v="1"/>
    <n v="0.58889346917143004"/>
    <n v="1.14E-2"/>
    <n v="5.5555555555556E-4"/>
    <n v="1"/>
    <n v="1"/>
    <n v="0.58889346917143004"/>
    <n v="7"/>
    <n v="4.1222542842000003"/>
    <n v="1.6980999999999999"/>
    <n v="6.7133855485542997E-3"/>
    <s v="100:34"/>
    <s v="0:43"/>
    <s v="0:41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oyce Caila Olan"/>
    <s v="HBOSS Portal Fax MappingAH-SnapHeld-DM-Prod"/>
    <x v="9"/>
  </r>
  <r>
    <s v="HBOSS Portal Fax Mapping"/>
    <s v="BTG Julee Anne Stephanny Guitierrez"/>
    <s v="julee.guitierrez@company.com"/>
    <n v="1"/>
    <n v="0.67163677883001005"/>
    <n v="8.8999999999999999E-3"/>
    <n v="3.0555555555556E-3"/>
    <n v="1"/>
    <n v="1"/>
    <n v="0.67163677883001005"/>
    <n v="4"/>
    <n v="2.6865471153199998"/>
    <n v="1.4888999999999999"/>
    <n v="5.9775673315871003E-3"/>
    <s v="88:19"/>
    <s v="0:43"/>
    <s v="0:32"/>
    <s v="0:1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ulee Anne Stephanny Guitierrez"/>
    <s v="HBOSS Portal Fax MappingAH-SnapHeld-DM-Prod"/>
    <x v="9"/>
  </r>
  <r>
    <s v="HBOSS Portal Fax Mapping"/>
    <s v="BTG Justin Ulysses Gregorio"/>
    <s v="justin.gregorio@company.com"/>
    <n v="4"/>
    <n v="2.6970534690850001"/>
    <n v="3.3599999999999998E-2"/>
    <n v="2.7777777777778E-3"/>
    <n v="4"/>
    <n v="1"/>
    <n v="2.6970534690850001"/>
    <n v="10"/>
    <n v="6.7426336727125999"/>
    <n v="1.4831000000000001"/>
    <n v="2.2655249140313999E-2"/>
    <s v="21:33"/>
    <s v="0:32"/>
    <s v="0:30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Justin Ulysses Gregorio"/>
    <s v="HBOSS Portal Fax MappingAH-SnapHeld-DM-Prod"/>
    <x v="9"/>
  </r>
  <r>
    <s v="HBOSS Portal Fax Mapping"/>
    <s v="BTG Kristina Lyza Vinzon"/>
    <s v="kristina.vinzon@company.com"/>
    <n v="1"/>
    <n v="0.58506903814650002"/>
    <n v="2.4400000000000002E-2"/>
    <n v="2.5000000000000001E-3"/>
    <n v="1"/>
    <n v="1"/>
    <n v="0.58506903814650002"/>
    <n v="15"/>
    <n v="8.7760355721975003"/>
    <n v="1.7092000000000001"/>
    <n v="1.4275684530775001E-2"/>
    <s v="100:36"/>
    <s v="1:37"/>
    <s v="1:28"/>
    <s v="0:09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Kristina Lyza Vinzon"/>
    <s v="HBOSS Portal Fax MappingAH-SnapHeld-DM-Prod"/>
    <x v="9"/>
  </r>
  <r>
    <s v="HBOSS Portal Fax Mapping"/>
    <s v="BTG Mariz Pagkaliwagan"/>
    <s v="mariz.pagkaliwagan@company.com"/>
    <n v="1"/>
    <n v="0.84132592966514996"/>
    <n v="0.01"/>
    <n v="3.0555555555556E-3"/>
    <n v="1"/>
    <n v="1"/>
    <n v="0.84132592966514996"/>
    <n v="4"/>
    <n v="3.3653037186605999"/>
    <n v="1.1886000000000001"/>
    <n v="8.4132592966514996E-3"/>
    <s v="70:15"/>
    <s v="0:47"/>
    <s v="0:36"/>
    <s v="0:1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ariz Pagkaliwagan"/>
    <s v="HBOSS Portal Fax MappingAH-SnapHeld-DM-Prod"/>
    <x v="9"/>
  </r>
  <r>
    <s v="HBOSS Portal Fax Mapping"/>
    <s v="BTG Merwin Bayubo"/>
    <s v="merwin.bayubo@company.com"/>
    <n v="3"/>
    <n v="2.2974421810384"/>
    <n v="1.1900000000000001E-2"/>
    <n v="3.3333333333333002E-3"/>
    <n v="3"/>
    <n v="1"/>
    <n v="2.2974421810384"/>
    <n v="3"/>
    <n v="2.2974421810384"/>
    <n v="1.3058000000000001"/>
    <n v="9.1131873181191994E-3"/>
    <s v="25:36"/>
    <s v="0:18"/>
    <s v="0:14"/>
    <s v="0:0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erwin Bayubo"/>
    <s v="HBOSS Portal Fax MappingAH-SnapHeld-DM-Prod"/>
    <x v="9"/>
  </r>
  <r>
    <s v="HBOSS Portal Fax Mapping"/>
    <s v="BTG Mia Liza Cudiamat"/>
    <s v="mia.cudiamat@company.com"/>
    <n v="1"/>
    <n v="0.58404392010279005"/>
    <n v="2.7799999999999998E-2"/>
    <n v="1.9444444444443999E-3"/>
    <n v="1"/>
    <n v="1"/>
    <n v="0.58404392010279005"/>
    <n v="13"/>
    <n v="7.5925709613362988"/>
    <n v="1.7121999999999999"/>
    <n v="1.6236420978858E-2"/>
    <s v="100:21"/>
    <s v="1:47"/>
    <s v="1:40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Mia Liza Cudiamat"/>
    <s v="HBOSS Portal Fax MappingAH-SnapHeld-DM-Prod"/>
    <x v="9"/>
  </r>
  <r>
    <s v="HBOSS Portal Fax Mapping"/>
    <s v="BTG Pamela Joy Toralba"/>
    <s v="pamela.toralba@company.com"/>
    <n v="6"/>
    <n v="4.5112781954886998"/>
    <n v="2.86E-2"/>
    <n v="8.8888888888888993E-3"/>
    <n v="6"/>
    <n v="1"/>
    <n v="4.5112781954886998"/>
    <n v="6"/>
    <n v="4.5112781954886998"/>
    <n v="1.33"/>
    <n v="2.1503759398496001E-2"/>
    <s v="12:48"/>
    <s v="0:22"/>
    <s v="0:17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Pamela Joy Toralba"/>
    <s v="HBOSS Portal Fax MappingAH-SnapHeld-DM-Prod"/>
    <x v="9"/>
  </r>
  <r>
    <s v="HBOSS Portal Fax Mapping"/>
    <s v="BTG Patricia Caryl Joco"/>
    <s v="patricia.joco@company.com"/>
    <n v="1"/>
    <n v="0.58288645371881997"/>
    <n v="2.3900000000000001E-2"/>
    <n v="1.6666666666667E-3"/>
    <n v="1"/>
    <n v="1"/>
    <n v="0.58288645371881997"/>
    <n v="12"/>
    <n v="6.9946374446258002"/>
    <n v="1.7156"/>
    <n v="1.3930986243880001E-2"/>
    <s v="100:53"/>
    <s v="1:32"/>
    <s v="1:26"/>
    <s v="0:0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Patricia Caryl Joco"/>
    <s v="HBOSS Portal Fax MappingAH-SnapHeld-DM-Prod"/>
    <x v="9"/>
  </r>
  <r>
    <s v="HBOSS Portal Fax Mapping"/>
    <s v="BTG Riniel Javier"/>
    <s v="riniel.javier@company.com"/>
    <n v="0"/>
    <n v="0"/>
    <n v="0"/>
    <n v="0"/>
    <n v="0"/>
    <n v="0"/>
    <n v="0"/>
    <n v="0"/>
    <n v="0"/>
    <n v="1.05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Riniel Javier"/>
    <s v="HBOSS Portal Fax MappingAH-SnapHeld-DM-Prod"/>
    <x v="9"/>
  </r>
  <r>
    <s v="HBOSS Portal Fax Mapping"/>
    <s v="BTG Winchester Sulit"/>
    <s v="winchester.sulit@company.com"/>
    <n v="10"/>
    <n v="6.7367286445702002"/>
    <n v="6.1899999999999997E-2"/>
    <n v="4.4444444444444002E-3"/>
    <n v="10"/>
    <n v="1"/>
    <n v="6.7367286445702002"/>
    <n v="10"/>
    <n v="6.7367286445702002"/>
    <n v="1.4843999999999999"/>
    <n v="4.170035030989E-2"/>
    <s v="8:23"/>
    <s v="0:23"/>
    <s v="0:22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s v="Winchester Sulit"/>
    <s v="HBOSS Portal Fax MappingAH-SnapHeld-DM-Prod"/>
    <x v="9"/>
  </r>
  <r>
    <s v="HBOSS Portal Fax Mapping"/>
    <s v="ILO_x0009_Jason Galampanao"/>
    <s v="jason.galampanao@company.com"/>
    <n v="8"/>
    <n v="2.4273317555677001"/>
    <n v="0.17"/>
    <n v="1.2222222222222001E-2"/>
    <n v="8"/>
    <n v="1"/>
    <n v="2.4273317555677001"/>
    <n v="40"/>
    <n v="12.136658777838001"/>
    <n v="3.2957999999999998"/>
    <n v="5.1580799805813003E-2"/>
    <s v="4:31"/>
    <s v="1:22"/>
    <s v="1:16"/>
    <s v="0:05"/>
    <s v="0:00"/>
    <s v="49:13"/>
    <s v="0:00"/>
    <s v="0:00"/>
    <n v="0"/>
    <n v="0"/>
    <n v="0"/>
    <n v="0"/>
    <n v="0"/>
    <s v="0:00"/>
    <s v="0:00"/>
    <n v="0"/>
    <n v="0"/>
    <n v="0"/>
    <n v="0"/>
    <n v="0"/>
    <n v="0"/>
    <x v="2"/>
    <s v="_x0009_Jason Galampanao"/>
    <s v="HBOSS Portal Fax MappingAH-SnapHeld-DM-Prod"/>
    <x v="9"/>
  </r>
  <r>
    <s v="HBOSS Portal Fax Mapping"/>
    <s v="ILO_x0009_Lara De Tomas"/>
    <s v="lara.detomas@company.com"/>
    <n v="6"/>
    <n v="1.9288883173664"/>
    <n v="8.3099999999999993E-2"/>
    <n v="7.7777777777778001E-3"/>
    <n v="6"/>
    <n v="1"/>
    <n v="1.9288883173664"/>
    <n v="72"/>
    <n v="23.146659808397001"/>
    <n v="3.1105999999999998"/>
    <n v="2.6715103195524999E-2"/>
    <s v="29:34"/>
    <s v="0:54"/>
    <s v="0:49"/>
    <s v="0:04"/>
    <s v="0:00"/>
    <s v="50:07"/>
    <s v="0:00"/>
    <s v="0:00"/>
    <n v="0"/>
    <n v="0"/>
    <n v="0"/>
    <n v="0"/>
    <n v="0"/>
    <s v="0:00"/>
    <s v="0:00"/>
    <n v="0"/>
    <n v="0"/>
    <n v="0"/>
    <n v="0"/>
    <n v="0"/>
    <n v="0"/>
    <x v="2"/>
    <s v="_x0009_Lara De Tomas"/>
    <s v="HBOSS Portal Fax MappingAH-SnapHeld-DM-Prod"/>
    <x v="9"/>
  </r>
  <r>
    <s v="HBOSS Portal Fax Mapping"/>
    <s v="ILO  Gabriel Anthony Astrologo"/>
    <s v="gabriel.astrologo@company.com"/>
    <n v="8"/>
    <n v="3.3012833739116001"/>
    <n v="0.03"/>
    <n v="9.6944444444444E-2"/>
    <n v="8"/>
    <n v="1"/>
    <n v="3.3012833739116001"/>
    <n v="34"/>
    <n v="14.030454339124001"/>
    <n v="2.4232999999999998"/>
    <n v="1.2379812652169E-2"/>
    <s v="17:06"/>
    <s v="0:57"/>
    <s v="0:13"/>
    <s v="0:4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Gabriel Anthony Astrologo"/>
    <s v="HBOSS Portal Fax MappingAH-SnapHeld-DM-Prod"/>
    <x v="9"/>
  </r>
  <r>
    <s v="HBOSS Portal Fax Mapping"/>
    <s v="ILO  Mikaela Judith Jacela"/>
    <s v="mikaela.jacela@company.com"/>
    <n v="7"/>
    <n v="3.7866493562696002"/>
    <n v="0.31719999999999998"/>
    <n v="3.0555555555556E-3"/>
    <n v="7"/>
    <n v="1"/>
    <n v="3.7866493562696002"/>
    <n v="18"/>
    <n v="9.7370983446932993"/>
    <n v="1.8486"/>
    <n v="0.17158931082982001"/>
    <s v="12:58"/>
    <s v="2:44"/>
    <s v="2:43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Mikaela Judith Jacela"/>
    <s v="HBOSS Portal Fax MappingAH-SnapHeld-DM-Prod"/>
    <x v="9"/>
  </r>
  <r>
    <s v="HBOSS Portal Fax Mapping"/>
    <s v="ILO  Nicole Ann Baldoque"/>
    <s v="nicole.baldoque@company.com"/>
    <n v="6"/>
    <n v="2.1247211303515998"/>
    <n v="3.8300000000000001E-2"/>
    <n v="8.6111111111111006E-3"/>
    <n v="6"/>
    <n v="1"/>
    <n v="2.1247211303515998"/>
    <n v="72"/>
    <n v="25.496653564220001"/>
    <n v="2.8239000000000001"/>
    <n v="1.3562803215411E-2"/>
    <s v="27:33"/>
    <s v="0:28"/>
    <s v="0:23"/>
    <s v="0:05"/>
    <s v="0:00"/>
    <s v="52:02"/>
    <s v="0:00"/>
    <s v="0:00"/>
    <n v="0"/>
    <n v="0"/>
    <n v="0"/>
    <n v="0"/>
    <n v="0"/>
    <s v="0:00"/>
    <s v="0:00"/>
    <n v="0"/>
    <n v="0"/>
    <n v="0"/>
    <n v="0"/>
    <n v="0"/>
    <n v="0"/>
    <x v="2"/>
    <s v="Nicole Ann Baldoque"/>
    <s v="HBOSS Portal Fax MappingAH-SnapHeld-DM-Prod"/>
    <x v="9"/>
  </r>
  <r>
    <s v="HBOSS Portal Fax Mapping"/>
    <s v="ILO  Reymar Brunda"/>
    <s v="reymar.brunda@company.com"/>
    <n v="4"/>
    <n v="2.9150269639994"/>
    <n v="2.3900000000000001E-2"/>
    <n v="6.1111111111111002E-3"/>
    <n v="4"/>
    <n v="1"/>
    <n v="2.9150269639994"/>
    <n v="30"/>
    <n v="21.862702229996"/>
    <n v="1.3722000000000001"/>
    <n v="1.7417286109896998E-2"/>
    <s v="19:59"/>
    <s v="0:27"/>
    <s v="0:21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Reymar Brunda"/>
    <s v="HBOSS Portal Fax MappingAH-SnapHeld-DM-Prod"/>
    <x v="9"/>
  </r>
  <r>
    <s v="HBOSS Portal Fax Mapping"/>
    <s v="ILO  Ricksie Jean DelaCruz"/>
    <s v="ricksie.delacruz@company.com"/>
    <n v="1"/>
    <n v="2.4894199651480999"/>
    <n v="5.3E-3"/>
    <n v="2.7777777777778E-4"/>
    <n v="1"/>
    <n v="1"/>
    <n v="2.4894199651480999"/>
    <n v="11"/>
    <n v="27.383619616629002"/>
    <n v="0.4017"/>
    <n v="1.3193925815285E-2"/>
    <s v="23:35"/>
    <s v="0:20"/>
    <s v="0:19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Ricksie Jean DelaCruz"/>
    <s v="HBOSS Portal Fax MappingAH-SnapHeld-DM-Prod"/>
    <x v="9"/>
  </r>
  <r>
    <s v="HBOSS Portal Fax Mapping"/>
    <s v="ILO Support Fredelyn Guidon Onday"/>
    <s v="guidon.onday@company.com"/>
    <n v="0"/>
    <n v="0"/>
    <n v="0"/>
    <n v="0"/>
    <n v="0"/>
    <n v="0"/>
    <n v="0"/>
    <n v="0"/>
    <n v="0"/>
    <n v="3.8321999999999998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Support Fredelyn Guidon Onday"/>
    <s v="HBOSS Portal Fax MappingAH-SnapHeld-DM-Prod"/>
    <x v="9"/>
  </r>
  <r>
    <s v="HBOSS Portal Fax Research"/>
    <s v="ILO_x0009_Ricky Mendiro"/>
    <s v="ricky.mendiro@company.com"/>
    <n v="8"/>
    <n v="20.423793719683001"/>
    <n v="9.9199999999999997E-2"/>
    <n v="0.13583333333333"/>
    <n v="3"/>
    <n v="0.375"/>
    <n v="7.658922644881299"/>
    <n v="15"/>
    <n v="38.294613224406"/>
    <n v="0.39169999999999999"/>
    <n v="0.25325504212407002"/>
    <s v="0:26"/>
    <s v="1:45"/>
    <s v="0:44"/>
    <s v="1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s v="_x0009_Ricky Mendiro"/>
    <s v="HBOSS Portal Fax ResearchAH-SnapHeld-FaxRes-Prod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H DiabeticHeld-FaxMap-prod"/>
    <s v="BCD_x0009_Jeshurun Corpus"/>
    <s v="jeshurun.corpus@company.com"/>
    <n v="9"/>
    <n v="2.7761497887041999"/>
    <n v="3.3599999999999998E-2"/>
    <n v="1.2777777777778001E-2"/>
    <n v="9"/>
    <n v="1"/>
    <n v="2.7761497887041999"/>
    <n v="89"/>
    <n v="27.453036799408"/>
    <n v="3.2418999999999998"/>
    <n v="1.0364292544495999E-2"/>
    <s v="21:11"/>
    <s v="0:18"/>
    <s v="0:13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0"/>
    <s v="HBOSS Portal Fax Mapping"/>
    <s v="HBOSS Portal Fax MappingAH DiabeticHeld-FaxMap-prod"/>
    <x v="0"/>
  </r>
  <r>
    <s v="AH DiabeticHeld-FaxMap-prod"/>
    <s v="BCD Gabrielle Angela Alcala"/>
    <s v="gabrielle.alcala@company.com"/>
    <n v="6"/>
    <n v="1.5085990143820001"/>
    <n v="3.3599999999999998E-2"/>
    <n v="7.4999999999999997E-2"/>
    <n v="6"/>
    <n v="1"/>
    <n v="1.5085990143820001"/>
    <n v="57"/>
    <n v="14.331690636629"/>
    <n v="3.9771999999999998"/>
    <n v="8.4481544805390992E-3"/>
    <s v="38:31"/>
    <s v="1:05"/>
    <s v="0:20"/>
    <s v="0:4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1"/>
    <s v="HBOSS Portal Fax Mapping"/>
    <s v="HBOSS Portal Fax MappingAH DiabeticHeld-FaxMap-prod"/>
    <x v="0"/>
  </r>
  <r>
    <s v="AH DiabeticHeld-FaxMap-prod"/>
    <s v="BCD Julius Canasares"/>
    <s v="julius.canasares@company.com"/>
    <n v="2"/>
    <n v="0.65359477124182996"/>
    <n v="3.0999999999999999E-3"/>
    <n v="1.0833333333333001E-2"/>
    <n v="2"/>
    <n v="1"/>
    <n v="0.65359477124182996"/>
    <n v="19"/>
    <n v="6.2091503267974"/>
    <n v="3.06"/>
    <n v="1.0130718954248E-3"/>
    <s v="70:57"/>
    <s v="0:25"/>
    <s v="0:05"/>
    <s v="0:19"/>
    <s v="0:00"/>
    <s v="0:04"/>
    <s v="0:00"/>
    <s v="0:00"/>
    <n v="0"/>
    <n v="0"/>
    <n v="0"/>
    <n v="0"/>
    <n v="0"/>
    <s v="0:00"/>
    <s v="0:00"/>
    <n v="0"/>
    <n v="0"/>
    <n v="0"/>
    <n v="0"/>
    <n v="0"/>
    <n v="0"/>
    <x v="0"/>
    <x v="2"/>
    <s v="HBOSS Portal Fax Mapping"/>
    <s v="HBOSS Portal Fax MappingAH DiabeticHeld-FaxMap-prod"/>
    <x v="0"/>
  </r>
  <r>
    <s v="AH DiabeticHeld-FaxMap-prod"/>
    <s v="BCD Maria Amalia Endrinal"/>
    <s v="maria.endrinal@company.com"/>
    <n v="7"/>
    <n v="2.1116138763198"/>
    <n v="2.47E-2"/>
    <n v="1.1666666666667E-2"/>
    <n v="7"/>
    <n v="1"/>
    <n v="2.1116138763198"/>
    <n v="36"/>
    <n v="10.859728506787"/>
    <n v="3.3149999999999999"/>
    <n v="7.450980392156901E-3"/>
    <s v="27:58"/>
    <s v="0:18"/>
    <s v="0:12"/>
    <s v="0:06"/>
    <s v="0:00"/>
    <s v="36:04"/>
    <s v="0:00"/>
    <s v="0:00"/>
    <n v="0"/>
    <n v="0"/>
    <n v="0"/>
    <n v="0"/>
    <n v="0"/>
    <s v="0:00"/>
    <s v="0:00"/>
    <n v="0"/>
    <n v="0"/>
    <n v="0"/>
    <n v="0"/>
    <n v="0"/>
    <n v="0"/>
    <x v="0"/>
    <x v="3"/>
    <s v="HBOSS Portal Fax Mapping"/>
    <s v="HBOSS Portal Fax MappingAH DiabeticHeld-FaxMap-prod"/>
    <x v="0"/>
  </r>
  <r>
    <s v="AH DiabeticHeld-FaxMap-prod"/>
    <s v="BTG_x0009_Jairo Enriquez"/>
    <s v="jairo.enriquez@company.com"/>
    <n v="0"/>
    <n v="0"/>
    <n v="0"/>
    <n v="0"/>
    <n v="0"/>
    <n v="0"/>
    <n v="0"/>
    <n v="0"/>
    <n v="0"/>
    <n v="1.7894000000000001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4"/>
    <s v="HBOSS Portal Fax Mapping"/>
    <s v="HBOSS Portal Fax MappingAH DiabeticHeld-FaxMap-prod"/>
    <x v="0"/>
  </r>
  <r>
    <s v="AH DiabeticHeld-FaxMap-prod"/>
    <s v="BTG Aldrin Toledo"/>
    <s v="aldrin.toledo@company.com"/>
    <n v="4"/>
    <n v="2.3860653781913999"/>
    <n v="2.3099999999999999E-2"/>
    <n v="7.2222222222222002E-3"/>
    <n v="4"/>
    <n v="1"/>
    <n v="2.3860653781913999"/>
    <n v="4"/>
    <n v="2.3860653781913999"/>
    <n v="1.6763999999999999"/>
    <n v="1.3779527559055E-2"/>
    <s v="24:27"/>
    <s v="0:27"/>
    <s v="0:20"/>
    <s v="0:0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5"/>
    <s v="HBOSS Portal Fax Mapping"/>
    <s v="HBOSS Portal Fax MappingAH DiabeticHeld-FaxMap-prod"/>
    <x v="0"/>
  </r>
  <r>
    <s v="AH DiabeticHeld-FaxMap-prod"/>
    <s v="BTG Bemilyn Vinas"/>
    <s v="bemilyn.vinas@company.com"/>
    <n v="1"/>
    <n v="0.58630393996247998"/>
    <n v="1.5800000000000002E-2"/>
    <n v="1.3888888888889E-3"/>
    <n v="1"/>
    <n v="1"/>
    <n v="0.58630393996247998"/>
    <n v="5"/>
    <n v="2.9315196998123998"/>
    <n v="1.7056"/>
    <n v="9.2636022514070993E-3"/>
    <s v="100:34"/>
    <s v="1:02"/>
    <s v="0:57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6"/>
    <s v="HBOSS Portal Fax Mapping"/>
    <s v="HBOSS Portal Fax MappingAH DiabeticHeld-FaxMap-prod"/>
    <x v="0"/>
  </r>
  <r>
    <s v="AH DiabeticHeld-FaxMap-prod"/>
    <s v="BTG Darwin Llanto"/>
    <s v="darwin.llanto@company.com"/>
    <n v="1"/>
    <n v="0.58699225170227998"/>
    <n v="3.0300000000000001E-2"/>
    <n v="2.2222222222222001E-3"/>
    <n v="1"/>
    <n v="1"/>
    <n v="0.58699225170227998"/>
    <n v="10"/>
    <n v="5.8699225170228004"/>
    <n v="1.7036"/>
    <n v="1.7785865226579E-2"/>
    <s v="99:43"/>
    <s v="1:57"/>
    <s v="1:49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7"/>
    <s v="HBOSS Portal Fax Mapping"/>
    <s v="HBOSS Portal Fax MappingAH DiabeticHeld-FaxMap-prod"/>
    <x v="0"/>
  </r>
  <r>
    <s v="AH DiabeticHeld-FaxMap-prod"/>
    <s v="BTG Daryl Baque"/>
    <s v="daryl.baque@company.com"/>
    <n v="2"/>
    <n v="2.7262813522356"/>
    <n v="2.3599999999999999E-2"/>
    <n v="2.7777777777778E-3"/>
    <n v="2"/>
    <n v="1"/>
    <n v="2.7262813522356"/>
    <n v="10"/>
    <n v="13.631406761178001"/>
    <n v="0.73360000000000003"/>
    <n v="3.2170119956379001E-2"/>
    <s v="21:06"/>
    <s v="0:47"/>
    <s v="0:42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8"/>
    <s v="HBOSS Portal Fax Mapping"/>
    <s v="HBOSS Portal Fax MappingAH DiabeticHeld-FaxMap-prod"/>
    <x v="0"/>
  </r>
  <r>
    <s v="AH DiabeticHeld-FaxMap-prod"/>
    <s v="BTG Edgardo Pasahol"/>
    <s v="edgardo.pasahol@company.com"/>
    <n v="5"/>
    <n v="3.0010203469180001"/>
    <n v="3.6900000000000002E-2"/>
    <n v="3.0555555555556E-3"/>
    <n v="5"/>
    <n v="1"/>
    <n v="3.0010203469180001"/>
    <n v="5"/>
    <n v="3.0010203469180001"/>
    <n v="1.6660999999999999"/>
    <n v="2.2147530160254E-2"/>
    <s v="19:19"/>
    <s v="0:28"/>
    <s v="0:26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9"/>
    <s v="HBOSS Portal Fax Mapping"/>
    <s v="HBOSS Portal Fax MappingAH DiabeticHeld-FaxMap-prod"/>
    <x v="0"/>
  </r>
  <r>
    <s v="AH DiabeticHeld-FaxMap-prod"/>
    <s v="BTG Faith Larissa Montablan"/>
    <s v="faith.montablan@company.com"/>
    <n v="7"/>
    <n v="5.9813722977013999"/>
    <n v="8.3299999999999999E-2"/>
    <n v="5.8333333333332998E-3"/>
    <n v="7"/>
    <n v="1"/>
    <n v="5.9813722977013999"/>
    <n v="7"/>
    <n v="5.9813722977013999"/>
    <n v="1.1702999999999999"/>
    <n v="7.1178330342647006E-2"/>
    <s v="9:04"/>
    <s v="0:45"/>
    <s v="0:42"/>
    <s v="0:03"/>
    <s v="0:00"/>
    <s v="0:52"/>
    <s v="0:00"/>
    <s v="0:00"/>
    <n v="0"/>
    <n v="0"/>
    <n v="0"/>
    <n v="0"/>
    <n v="0"/>
    <s v="0:00"/>
    <s v="0:00"/>
    <n v="0"/>
    <n v="0"/>
    <n v="0"/>
    <n v="0"/>
    <n v="0"/>
    <n v="0"/>
    <x v="1"/>
    <x v="10"/>
    <s v="HBOSS Portal Fax Mapping"/>
    <s v="HBOSS Portal Fax MappingAH DiabeticHeld-FaxMap-prod"/>
    <x v="0"/>
  </r>
  <r>
    <s v="AH DiabeticHeld-FaxMap-prod"/>
    <s v="BTG Ian James Ricero"/>
    <s v="ian.ricero@company.com"/>
    <n v="3"/>
    <n v="1.7241379310345"/>
    <n v="6.6400000000000001E-2"/>
    <n v="1.3888888888889E-3"/>
    <n v="3"/>
    <n v="1"/>
    <n v="1.7241379310345"/>
    <n v="43"/>
    <n v="24.712643678161001"/>
    <n v="1.74"/>
    <n v="3.8160919540230001E-2"/>
    <s v="33:16"/>
    <s v="1:21"/>
    <s v="1:19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1"/>
    <s v="HBOSS Portal Fax Mapping"/>
    <s v="HBOSS Portal Fax MappingAH DiabeticHeld-FaxMap-prod"/>
    <x v="0"/>
  </r>
  <r>
    <s v="AH DiabeticHeld-FaxMap-prod"/>
    <s v="BTG Janica Tonic"/>
    <s v="janica.tonic@company.com"/>
    <n v="3"/>
    <n v="8.3658672615728005"/>
    <n v="7.6100000000000001E-2"/>
    <n v="5.0000000000000001E-3"/>
    <n v="3"/>
    <n v="1"/>
    <n v="8.3658672615728005"/>
    <n v="31"/>
    <n v="86.447295036252001"/>
    <n v="0.35859999999999997"/>
    <n v="0.21221416620190001"/>
    <s v="5:25"/>
    <s v="1:37"/>
    <s v="1:31"/>
    <s v="0:06"/>
    <s v="0:00"/>
    <s v="1:11"/>
    <s v="0:00"/>
    <s v="0:00"/>
    <n v="0"/>
    <n v="0"/>
    <n v="0"/>
    <n v="0"/>
    <n v="0"/>
    <s v="0:00"/>
    <s v="0:00"/>
    <n v="0"/>
    <n v="0"/>
    <n v="0"/>
    <n v="0"/>
    <n v="0"/>
    <n v="0"/>
    <x v="1"/>
    <x v="12"/>
    <s v="HBOSS Portal Fax Mapping"/>
    <s v="HBOSS Portal Fax MappingAH DiabeticHeld-FaxMap-prod"/>
    <x v="0"/>
  </r>
  <r>
    <s v="AH DiabeticHeld-FaxMap-prod"/>
    <s v="BTG Jayvan Cantollas"/>
    <s v="jayvan.cantollas@company.com"/>
    <n v="4"/>
    <n v="2.6359143327841998"/>
    <n v="2.1899999999999999E-2"/>
    <n v="7.7777777777778001E-3"/>
    <n v="4"/>
    <n v="1"/>
    <n v="2.6359143327841998"/>
    <n v="4"/>
    <n v="2.6359143327841998"/>
    <n v="1.5175000000000001"/>
    <n v="1.4431630971993001E-2"/>
    <s v="22:05"/>
    <s v="0:26"/>
    <s v="0:19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3"/>
    <s v="HBOSS Portal Fax Mapping"/>
    <s v="HBOSS Portal Fax MappingAH DiabeticHeld-FaxMap-prod"/>
    <x v="0"/>
  </r>
  <r>
    <s v="AH DiabeticHeld-FaxMap-prod"/>
    <s v="BTG Jhon Carlo Marcelino"/>
    <s v="jhon.marcelino@company.com"/>
    <n v="2"/>
    <n v="1.3460761879122001"/>
    <n v="1.8599999999999998E-2"/>
    <n v="1.6666666666667E-3"/>
    <n v="2"/>
    <n v="1"/>
    <n v="1.3460761879122001"/>
    <n v="8"/>
    <n v="5.3843047516488998"/>
    <n v="1.4858"/>
    <n v="1.2518508547584E-2"/>
    <s v="43:41"/>
    <s v="0:36"/>
    <s v="0:33"/>
    <s v="0:0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4"/>
    <s v="HBOSS Portal Fax Mapping"/>
    <s v="HBOSS Portal Fax MappingAH DiabeticHeld-FaxMap-prod"/>
    <x v="0"/>
  </r>
  <r>
    <s v="AH DiabeticHeld-FaxMap-prod"/>
    <s v="BTG Joelle Ann Poticar"/>
    <s v="joelle.poticar@company.com"/>
    <n v="4"/>
    <n v="2.3304591004428001"/>
    <n v="4.2799999999999998E-2"/>
    <n v="9.7222222222221998E-3"/>
    <n v="4"/>
    <n v="1"/>
    <n v="2.3304591004428001"/>
    <n v="17"/>
    <n v="9.9044511768817998"/>
    <n v="1.7163999999999999"/>
    <n v="2.4935912374737999E-2"/>
    <s v="24:47"/>
    <s v="0:47"/>
    <s v="0:38"/>
    <s v="0:08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5"/>
    <s v="HBOSS Portal Fax Mapping"/>
    <s v="HBOSS Portal Fax MappingAH DiabeticHeld-FaxMap-prod"/>
    <x v="0"/>
  </r>
  <r>
    <s v="AH DiabeticHeld-FaxMap-prod"/>
    <s v="BTG Joyce Caila Olan"/>
    <s v="joyce.olan@company.com"/>
    <n v="1"/>
    <n v="0.58889346917143004"/>
    <n v="1.14E-2"/>
    <n v="5.5555555555556E-4"/>
    <n v="1"/>
    <n v="1"/>
    <n v="0.58889346917143004"/>
    <n v="7"/>
    <n v="4.1222542842000003"/>
    <n v="1.6980999999999999"/>
    <n v="6.7133855485542997E-3"/>
    <s v="100:34"/>
    <s v="0:43"/>
    <s v="0:41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6"/>
    <s v="HBOSS Portal Fax Mapping"/>
    <s v="HBOSS Portal Fax MappingAH DiabeticHeld-FaxMap-prod"/>
    <x v="0"/>
  </r>
  <r>
    <s v="AH DiabeticHeld-FaxMap-prod"/>
    <s v="BTG Julee Anne Stephanny Guitierrez"/>
    <s v="julee.guitierrez@company.com"/>
    <n v="1"/>
    <n v="0.67163677883001005"/>
    <n v="8.8999999999999999E-3"/>
    <n v="3.0555555555556E-3"/>
    <n v="1"/>
    <n v="1"/>
    <n v="0.67163677883001005"/>
    <n v="4"/>
    <n v="2.6865471153199998"/>
    <n v="1.4888999999999999"/>
    <n v="5.9775673315871003E-3"/>
    <s v="88:19"/>
    <s v="0:43"/>
    <s v="0:32"/>
    <s v="0:1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7"/>
    <s v="HBOSS Portal Fax Mapping"/>
    <s v="HBOSS Portal Fax MappingAH DiabeticHeld-FaxMap-prod"/>
    <x v="0"/>
  </r>
  <r>
    <s v="AH DiabeticHeld-FaxMap-prod"/>
    <s v="BTG Justin Ulysses Gregorio"/>
    <s v="justin.gregorio@company.com"/>
    <n v="4"/>
    <n v="2.6970534690850001"/>
    <n v="3.3599999999999998E-2"/>
    <n v="2.7777777777778E-3"/>
    <n v="4"/>
    <n v="1"/>
    <n v="2.6970534690850001"/>
    <n v="10"/>
    <n v="6.7426336727125999"/>
    <n v="1.4831000000000001"/>
    <n v="2.2655249140313999E-2"/>
    <s v="21:33"/>
    <s v="0:32"/>
    <s v="0:30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8"/>
    <s v="HBOSS Portal Fax Mapping"/>
    <s v="HBOSS Portal Fax MappingAH DiabeticHeld-FaxMap-prod"/>
    <x v="0"/>
  </r>
  <r>
    <s v="AH DiabeticHeld-FaxMap-prod"/>
    <s v="BTG Kristina Lyza Vinzon"/>
    <s v="kristina.vinzon@company.com"/>
    <n v="1"/>
    <n v="0.58506903814650002"/>
    <n v="2.4400000000000002E-2"/>
    <n v="2.5000000000000001E-3"/>
    <n v="1"/>
    <n v="1"/>
    <n v="0.58506903814650002"/>
    <n v="15"/>
    <n v="8.7760355721975003"/>
    <n v="1.7092000000000001"/>
    <n v="1.4275684530775001E-2"/>
    <s v="100:36"/>
    <s v="1:37"/>
    <s v="1:28"/>
    <s v="0:09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19"/>
    <s v="HBOSS Portal Fax Mapping"/>
    <s v="HBOSS Portal Fax MappingAH DiabeticHeld-FaxMap-prod"/>
    <x v="0"/>
  </r>
  <r>
    <s v="AH DiabeticHeld-FaxMap-prod"/>
    <s v="BTG Mariz Pagkaliwagan"/>
    <s v="mariz.pagkaliwagan@company.com"/>
    <n v="1"/>
    <n v="0.84132592966514996"/>
    <n v="0.01"/>
    <n v="3.0555555555556E-3"/>
    <n v="1"/>
    <n v="1"/>
    <n v="0.84132592966514996"/>
    <n v="4"/>
    <n v="3.3653037186605999"/>
    <n v="1.1886000000000001"/>
    <n v="8.4132592966514996E-3"/>
    <s v="70:15"/>
    <s v="0:47"/>
    <s v="0:36"/>
    <s v="0:1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0"/>
    <s v="HBOSS Portal Fax Mapping"/>
    <s v="HBOSS Portal Fax MappingAH DiabeticHeld-FaxMap-prod"/>
    <x v="0"/>
  </r>
  <r>
    <s v="AH DiabeticHeld-FaxMap-prod"/>
    <s v="BTG Merwin Bayubo"/>
    <s v="merwin.bayubo@company.com"/>
    <n v="3"/>
    <n v="2.2974421810384"/>
    <n v="1.1900000000000001E-2"/>
    <n v="3.3333333333333002E-3"/>
    <n v="3"/>
    <n v="1"/>
    <n v="2.2974421810384"/>
    <n v="3"/>
    <n v="2.2974421810384"/>
    <n v="1.3058000000000001"/>
    <n v="9.1131873181191994E-3"/>
    <s v="25:36"/>
    <s v="0:18"/>
    <s v="0:14"/>
    <s v="0:04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1"/>
    <s v="HBOSS Portal Fax Mapping"/>
    <s v="HBOSS Portal Fax MappingAH DiabeticHeld-FaxMap-prod"/>
    <x v="0"/>
  </r>
  <r>
    <s v="AH DiabeticHeld-FaxMap-prod"/>
    <s v="BTG Mia Liza Cudiamat"/>
    <s v="mia.cudiamat@company.com"/>
    <n v="1"/>
    <n v="0.58404392010279005"/>
    <n v="2.7799999999999998E-2"/>
    <n v="1.9444444444443999E-3"/>
    <n v="1"/>
    <n v="1"/>
    <n v="0.58404392010279005"/>
    <n v="13"/>
    <n v="7.5925709613362988"/>
    <n v="1.7121999999999999"/>
    <n v="1.6236420978858E-2"/>
    <s v="100:21"/>
    <s v="1:47"/>
    <s v="1:40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2"/>
    <s v="HBOSS Portal Fax Mapping"/>
    <s v="HBOSS Portal Fax MappingAH DiabeticHeld-FaxMap-prod"/>
    <x v="0"/>
  </r>
  <r>
    <s v="AH DiabeticHeld-FaxMap-prod"/>
    <s v="BTG Pamela Joy Toralba"/>
    <s v="pamela.toralba@company.com"/>
    <n v="6"/>
    <n v="4.5112781954886998"/>
    <n v="2.86E-2"/>
    <n v="8.8888888888888993E-3"/>
    <n v="6"/>
    <n v="1"/>
    <n v="4.5112781954886998"/>
    <n v="6"/>
    <n v="4.5112781954886998"/>
    <n v="1.33"/>
    <n v="2.1503759398496001E-2"/>
    <s v="12:48"/>
    <s v="0:22"/>
    <s v="0:17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3"/>
    <s v="HBOSS Portal Fax Mapping"/>
    <s v="HBOSS Portal Fax MappingAH DiabeticHeld-FaxMap-prod"/>
    <x v="0"/>
  </r>
  <r>
    <s v="AH DiabeticHeld-FaxMap-prod"/>
    <s v="BTG Patricia Caryl Joco"/>
    <s v="patricia.joco@company.com"/>
    <n v="1"/>
    <n v="0.58288645371881997"/>
    <n v="2.3900000000000001E-2"/>
    <n v="1.6666666666667E-3"/>
    <n v="1"/>
    <n v="1"/>
    <n v="0.58288645371881997"/>
    <n v="12"/>
    <n v="6.9946374446258002"/>
    <n v="1.7156"/>
    <n v="1.3930986243880001E-2"/>
    <s v="100:53"/>
    <s v="1:32"/>
    <s v="1:26"/>
    <s v="0:0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4"/>
    <s v="HBOSS Portal Fax Mapping"/>
    <s v="HBOSS Portal Fax MappingAH DiabeticHeld-FaxMap-prod"/>
    <x v="0"/>
  </r>
  <r>
    <s v="AH DiabeticHeld-FaxMap-prod"/>
    <s v="BTG Riniel Javier"/>
    <s v="riniel.javier@company.com"/>
    <n v="0"/>
    <n v="0"/>
    <n v="0"/>
    <n v="0"/>
    <n v="0"/>
    <n v="0"/>
    <n v="0"/>
    <n v="0"/>
    <n v="0"/>
    <n v="1.05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5"/>
    <s v="HBOSS Portal Fax Mapping"/>
    <s v="HBOSS Portal Fax MappingAH DiabeticHeld-FaxMap-prod"/>
    <x v="0"/>
  </r>
  <r>
    <s v="AH DiabeticHeld-FaxMap-prod"/>
    <s v="BTG Winchester Sulit"/>
    <s v="winchester.sulit@company.com"/>
    <n v="10"/>
    <n v="6.7367286445702002"/>
    <n v="6.1899999999999997E-2"/>
    <n v="4.4444444444444002E-3"/>
    <n v="10"/>
    <n v="1"/>
    <n v="6.7367286445702002"/>
    <n v="10"/>
    <n v="6.7367286445702002"/>
    <n v="1.4843999999999999"/>
    <n v="4.170035030989E-2"/>
    <s v="8:23"/>
    <s v="0:23"/>
    <s v="0:22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26"/>
    <s v="HBOSS Portal Fax Mapping"/>
    <s v="HBOSS Portal Fax MappingAH DiabeticHeld-FaxMap-prod"/>
    <x v="0"/>
  </r>
  <r>
    <s v="AH DiabeticHeld-FaxMap-prod"/>
    <s v="ILO  Gabriel Anthony Astrologo"/>
    <s v="gabriel.astrologo@company.com"/>
    <n v="1"/>
    <n v="1.9470404984423999"/>
    <n v="4.1999999999999997E-3"/>
    <n v="1.2500000000000001E-2"/>
    <n v="1"/>
    <n v="1"/>
    <n v="1.9470404984423999"/>
    <n v="5"/>
    <n v="9.7352024922117995"/>
    <n v="0.51359999999999995"/>
    <n v="8.1775700934578997E-3"/>
    <s v="29:42"/>
    <s v="1:00"/>
    <s v="0:15"/>
    <s v="0:4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27"/>
    <s v="HBOSS Portal Fax Mapping"/>
    <s v="HBOSS Portal Fax MappingAH DiabeticHeld-FaxMap-prod"/>
    <x v="0"/>
  </r>
  <r>
    <s v="AH DiabeticHeld-FaxMap-prod"/>
    <s v="ILO  Reymar Brunda"/>
    <s v="reymar.brunda@company.com"/>
    <n v="4"/>
    <n v="2.9150269639994"/>
    <n v="2.3900000000000001E-2"/>
    <n v="6.1111111111111002E-3"/>
    <n v="4"/>
    <n v="1"/>
    <n v="2.9150269639994"/>
    <n v="30"/>
    <n v="21.862702229996"/>
    <n v="1.3722000000000001"/>
    <n v="1.7417286109896998E-2"/>
    <s v="19:59"/>
    <s v="0:27"/>
    <s v="0:21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28"/>
    <s v="HBOSS Portal Fax Mapping"/>
    <s v="HBOSS Portal Fax MappingAH DiabeticHeld-FaxMap-prod"/>
    <x v="0"/>
  </r>
  <r>
    <s v="AH DiabeticHeld-FaxMap-prod"/>
    <s v="ILO  Ricksie Jean DelaCruz"/>
    <s v="ricksie.delacruz@company.com"/>
    <n v="1"/>
    <n v="2.4894199651480999"/>
    <n v="5.3E-3"/>
    <n v="2.7777777777778E-4"/>
    <n v="1"/>
    <n v="1"/>
    <n v="2.4894199651480999"/>
    <n v="11"/>
    <n v="27.383619616629002"/>
    <n v="0.4017"/>
    <n v="1.3193925815285E-2"/>
    <s v="23:35"/>
    <s v="0:20"/>
    <s v="0:19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29"/>
    <s v="HBOSS Portal Fax Mapping"/>
    <s v="HBOSS Portal Fax MappingAH DiabeticHeld-FaxMap-prod"/>
    <x v="0"/>
  </r>
  <r>
    <s v="AH SNAPHELD - SP Team"/>
    <s v="ILO_x0009_Kirk Daniel Cautivar"/>
    <s v="kirk.cautivar@company.com"/>
    <n v="0"/>
    <n v="0"/>
    <n v="0"/>
    <n v="0"/>
    <n v="0"/>
    <n v="0"/>
    <n v="0"/>
    <n v="0"/>
    <n v="0"/>
    <n v="2.5600000000000001E-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30"/>
    <s v="AH-SnapHeld-Special Project - Billable"/>
    <s v="AH-SnapHeld-Special Project - BillableAH SNAPHELD - SP Team"/>
    <x v="1"/>
  </r>
  <r>
    <s v="AH-SnapHeld-CS-Prod"/>
    <s v="BCD_x0009_Nelrose Saguire"/>
    <s v="nelrose.saguire@company.com"/>
    <n v="13"/>
    <n v="11.206896551724"/>
    <n v="0.66"/>
    <n v="0.19916666666666999"/>
    <n v="9"/>
    <n v="0.69230769230768996"/>
    <n v="7.7586206896552001"/>
    <n v="9"/>
    <n v="7.7586206896552001"/>
    <n v="1.1599999999999999"/>
    <n v="0.56896551724138"/>
    <s v="0:02"/>
    <s v="3:57"/>
    <s v="3:02"/>
    <s v="0:55"/>
    <s v="0:00"/>
    <s v="47:49"/>
    <s v="0:00"/>
    <s v="0:00"/>
    <n v="0"/>
    <n v="0"/>
    <n v="0"/>
    <n v="0"/>
    <n v="0"/>
    <s v="0:00"/>
    <s v="0:00"/>
    <n v="0"/>
    <n v="0"/>
    <n v="0"/>
    <n v="0"/>
    <n v="0"/>
    <n v="0"/>
    <x v="0"/>
    <x v="31"/>
    <s v="AH-SnapHeld-Special Project - NonBillable"/>
    <s v="AH-SnapHeld-Special Project - NonBillableAH-SnapHeld-CS-Prod"/>
    <x v="2"/>
  </r>
  <r>
    <s v="AH-SnapHeld-CS-Prod"/>
    <s v="BCD LA Blessed Ann Gonzales"/>
    <s v="blessed.gonzales@company.com"/>
    <n v="16"/>
    <n v="14.342058085334999"/>
    <n v="0.68689999999999996"/>
    <n v="9.0833333333333002E-2"/>
    <n v="3"/>
    <n v="0.1875"/>
    <n v="2.6891358910004"/>
    <n v="3"/>
    <n v="2.6891358910004"/>
    <n v="1.1155999999999999"/>
    <n v="0.61572248117605"/>
    <s v="0:01"/>
    <s v="2:55"/>
    <s v="2:34"/>
    <s v="0:20"/>
    <s v="0:00"/>
    <s v="47:51"/>
    <s v="0:00"/>
    <s v="0:00"/>
    <n v="0"/>
    <n v="0"/>
    <n v="0"/>
    <n v="0"/>
    <n v="0"/>
    <s v="0:00"/>
    <s v="0:00"/>
    <n v="0"/>
    <n v="0"/>
    <n v="0"/>
    <n v="0"/>
    <n v="0"/>
    <n v="0"/>
    <x v="0"/>
    <x v="32"/>
    <s v="AH-SnapHeld-Special Project - NonBillable"/>
    <s v="AH-SnapHeld-Special Project - NonBillableAH-SnapHeld-CS-Prod"/>
    <x v="2"/>
  </r>
  <r>
    <s v="AH-SnapHeld-CS-Prod"/>
    <s v="BTG  Angela Artificio"/>
    <s v="angela.artificio@company.com"/>
    <n v="77"/>
    <n v="19.458202769635001"/>
    <n v="1.9981"/>
    <n v="0.15305555555556"/>
    <n v="42"/>
    <n v="0.54545454545454997"/>
    <n v="10.613565147074"/>
    <n v="42"/>
    <n v="10.613565147074"/>
    <n v="3.9571999999999998"/>
    <n v="0.50492772667542996"/>
    <s v="0:02"/>
    <s v="1:40"/>
    <s v="1:33"/>
    <s v="0:07"/>
    <s v="0:00"/>
    <s v="0:28"/>
    <s v="0:00"/>
    <s v="0:00"/>
    <n v="0"/>
    <n v="0"/>
    <n v="0"/>
    <n v="0"/>
    <n v="0"/>
    <s v="0:00"/>
    <s v="0:00"/>
    <n v="0"/>
    <n v="0"/>
    <n v="0"/>
    <n v="0"/>
    <n v="0"/>
    <n v="0"/>
    <x v="1"/>
    <x v="33"/>
    <s v="AH-SnapHeld-Special Project - NonBillable"/>
    <s v="AH-SnapHeld-Special Project - NonBillableAH-SnapHeld-CS-Prod"/>
    <x v="2"/>
  </r>
  <r>
    <s v="AH-SnapHeld-CS-Prod"/>
    <s v="BTG  Patrick Neil Villalada"/>
    <s v="patrick.villalada@company.com"/>
    <n v="84"/>
    <n v="25.441439258563999"/>
    <n v="1.5471999999999999"/>
    <n v="0.15805555555556"/>
    <n v="26"/>
    <n v="0.30952380952380998"/>
    <n v="7.8747311990793012"/>
    <n v="26"/>
    <n v="7.8747311990793012"/>
    <n v="3.3016999999999999"/>
    <n v="0.46860708120059003"/>
    <s v="0:02"/>
    <s v="1:13"/>
    <s v="1:06"/>
    <s v="0:06"/>
    <s v="0:00"/>
    <s v="39:13"/>
    <s v="0:00"/>
    <s v="0:00"/>
    <n v="0"/>
    <n v="0"/>
    <n v="0"/>
    <n v="0"/>
    <n v="0"/>
    <s v="0:00"/>
    <s v="0:00"/>
    <n v="0"/>
    <n v="0"/>
    <n v="0"/>
    <n v="0"/>
    <n v="0"/>
    <n v="0"/>
    <x v="1"/>
    <x v="34"/>
    <s v="AH-SnapHeld-Special Project - NonBillable"/>
    <s v="AH-SnapHeld-Special Project - NonBillableAH-SnapHeld-CS-Prod"/>
    <x v="2"/>
  </r>
  <r>
    <s v="AH-SnapHeld-CS-Prod"/>
    <s v="BTG  Richard John Reyes"/>
    <s v="richard.reyes@company.com"/>
    <n v="20"/>
    <n v="9.8493056239534997"/>
    <n v="1.4339"/>
    <n v="8.3055555555555993E-2"/>
    <n v="16"/>
    <n v="0.8"/>
    <n v="7.8794444991628003"/>
    <n v="16"/>
    <n v="7.8794444991628003"/>
    <n v="2.0306000000000002"/>
    <n v="0.70614596670935004"/>
    <s v="0:02"/>
    <s v="4:33"/>
    <s v="4:18"/>
    <s v="0:14"/>
    <s v="0:00"/>
    <s v="27:48"/>
    <s v="0:00"/>
    <s v="0:00"/>
    <n v="0"/>
    <n v="0"/>
    <n v="0"/>
    <n v="0"/>
    <n v="0"/>
    <s v="0:00"/>
    <s v="0:00"/>
    <n v="0"/>
    <n v="0"/>
    <n v="0"/>
    <n v="0"/>
    <n v="0"/>
    <n v="0"/>
    <x v="1"/>
    <x v="35"/>
    <s v="AH-SnapHeld-Special Project - NonBillable"/>
    <s v="AH-SnapHeld-Special Project - NonBillableAH-SnapHeld-CS-Prod"/>
    <x v="2"/>
  </r>
  <r>
    <s v="AH-SnapHeld-CS-Prod"/>
    <s v="BTG  Rose Respecia"/>
    <s v="rose.respecia@company.com"/>
    <n v="43"/>
    <n v="17.344304614392001"/>
    <n v="1.5525"/>
    <n v="3.2777777777778003E-2"/>
    <n v="20"/>
    <n v="0.46511627906976999"/>
    <n v="8.0671184252984993"/>
    <n v="20"/>
    <n v="8.0671184252984993"/>
    <n v="2.4792000000000001"/>
    <n v="0.62621006776378996"/>
    <s v="0:01"/>
    <s v="2:12"/>
    <s v="2:09"/>
    <s v="0:02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1"/>
    <x v="36"/>
    <s v="AH-SnapHeld-Special Project - NonBillable"/>
    <s v="AH-SnapHeld-Special Project - NonBillableAH-SnapHeld-CS-Prod"/>
    <x v="2"/>
  </r>
  <r>
    <s v="AH-SnapHeld-CS-Prod"/>
    <s v="ILO_x0009_Shara Marie Baler"/>
    <s v="shara.baler@company.com"/>
    <n v="9"/>
    <n v="12.185215272136"/>
    <n v="0.41749999999999998"/>
    <n v="0.20166666666666999"/>
    <n v="5"/>
    <n v="0.55555555555556002"/>
    <n v="6.7695640400758004"/>
    <n v="5"/>
    <n v="6.7695640400758004"/>
    <n v="0.73860000000000003"/>
    <n v="0.56525859734632999"/>
    <s v="0:01"/>
    <s v="4:07"/>
    <s v="2:47"/>
    <s v="1:2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37"/>
    <s v="AH-SnapHeld-Special Project - NonBillable"/>
    <s v="AH-SnapHeld-Special Project - NonBillableAH-SnapHeld-CS-Prod"/>
    <x v="2"/>
  </r>
  <r>
    <s v="AH-SnapHeld-CS-Prod"/>
    <s v="ILO_x0009_Wellyn Grace Cayme"/>
    <s v="wellyn.cayme@company.com"/>
    <n v="0"/>
    <n v="0"/>
    <n v="0"/>
    <n v="0"/>
    <n v="0"/>
    <n v="0"/>
    <n v="0"/>
    <n v="0"/>
    <n v="0"/>
    <n v="1.1000000000000001E-3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38"/>
    <s v="AH-SnapHeld-Special Project - NonBillable"/>
    <s v="AH-SnapHeld-Special Project - NonBillableAH-SnapHeld-CS-Prod"/>
    <x v="2"/>
  </r>
  <r>
    <s v="AH-SnapHeld-FaxRes-Prod"/>
    <s v="ILO_x0009_Ricky Mendiro"/>
    <s v="ricky.mendiro@company.com"/>
    <n v="8"/>
    <n v="20.423793719683001"/>
    <n v="9.9199999999999997E-2"/>
    <n v="0.13583333333333"/>
    <n v="3"/>
    <n v="0.375"/>
    <n v="7.658922644881299"/>
    <n v="15"/>
    <n v="38.294613224406"/>
    <n v="0.39169999999999999"/>
    <n v="0.25325504212407002"/>
    <s v="0:26"/>
    <s v="1:45"/>
    <s v="0:44"/>
    <s v="1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39"/>
    <s v="HBOSS Portal Fax Research"/>
    <s v="HBOSS Portal Fax ResearchAH-SnapHeld-FaxRes-Prod"/>
    <x v="3"/>
  </r>
  <r>
    <s v="AH-SnapHeld-FaxRev-Prod"/>
    <s v="ILO Support Fredelyn Guidon Onday"/>
    <s v="guidon.onday@company.com"/>
    <n v="0"/>
    <n v="0"/>
    <n v="0"/>
    <n v="0"/>
    <n v="0"/>
    <n v="0"/>
    <n v="0"/>
    <n v="0"/>
    <n v="0"/>
    <n v="3.8092000000000001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40"/>
    <s v="HBOSS Portal Fax Mapping"/>
    <s v="HBOSS Portal Fax MappingAH-SnapHeld-FaxRev-Prod"/>
    <x v="4"/>
  </r>
  <r>
    <s v="AH-SNAPHELD-FM-PROD"/>
    <s v="BCD_x0009_Jeshurun Corpus"/>
    <s v="jeshurun.corpus@company.com"/>
    <n v="2"/>
    <n v="3.2258064516128999"/>
    <n v="7.4999999999999997E-3"/>
    <n v="3.0555555555556E-3"/>
    <n v="2"/>
    <n v="1"/>
    <n v="3.2258064516128999"/>
    <n v="13"/>
    <n v="20.967741935484"/>
    <n v="0.62"/>
    <n v="1.2096774193548E-2"/>
    <s v="18:08"/>
    <s v="0:19"/>
    <s v="0:13"/>
    <s v="0:05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0"/>
    <s v="HBOSS Portal Fax Mapping"/>
    <s v="HBOSS Portal Fax MappingAH-SNAPHELD-FM-PROD"/>
    <x v="0"/>
  </r>
  <r>
    <s v="AH-SNAPHELD-FM-PROD"/>
    <s v="BCD Gabrielle Angela Alcala"/>
    <s v="gabrielle.alcala@company.com"/>
    <n v="0"/>
    <n v="0"/>
    <n v="0"/>
    <n v="0"/>
    <n v="0"/>
    <n v="0"/>
    <n v="0"/>
    <n v="0"/>
    <n v="0"/>
    <n v="3.8100000000000002E-2"/>
    <n v="0"/>
    <s v="0:00"/>
    <s v="0:00"/>
    <s v="0:00"/>
    <s v="0:00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1"/>
    <s v="HBOSS Portal Fax Mapping"/>
    <s v="HBOSS Portal Fax MappingAH-SNAPHELD-FM-PROD"/>
    <x v="0"/>
  </r>
  <r>
    <s v="AH-SNAPHELD-FM-PROD"/>
    <s v="BCD Nicole Amador"/>
    <s v="nicole.amador@company.com"/>
    <n v="1"/>
    <n v="1.085658451851"/>
    <n v="5.9999999999999995E-4"/>
    <n v="1.0277777777778E-2"/>
    <n v="1"/>
    <n v="1"/>
    <n v="1.085658451851"/>
    <n v="20"/>
    <n v="21.713169037021"/>
    <n v="0.92110000000000003"/>
    <n v="6.5139507111063001E-4"/>
    <s v="54:19"/>
    <s v="0:39"/>
    <s v="0:02"/>
    <s v="0:3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41"/>
    <s v="HBOSS Portal Fax Mapping"/>
    <s v="HBOSS Portal Fax MappingAH-SNAPHELD-FM-PROD"/>
    <x v="0"/>
  </r>
  <r>
    <s v="AH-SNAPHELD-FM-PROD"/>
    <s v="ILO_x0009_Lara De Tomas"/>
    <s v="lara.detomas@company.com"/>
    <n v="6"/>
    <n v="1.9288883173664"/>
    <n v="8.3099999999999993E-2"/>
    <n v="7.7777777777778001E-3"/>
    <n v="6"/>
    <n v="1"/>
    <n v="1.9288883173664"/>
    <n v="72"/>
    <n v="23.146659808397001"/>
    <n v="3.1105999999999998"/>
    <n v="2.6715103195524999E-2"/>
    <s v="29:34"/>
    <s v="0:54"/>
    <s v="0:49"/>
    <s v="0:04"/>
    <s v="0:00"/>
    <s v="48:44"/>
    <s v="0:00"/>
    <s v="0:00"/>
    <n v="0"/>
    <n v="0"/>
    <n v="0"/>
    <n v="0"/>
    <n v="0"/>
    <s v="0:00"/>
    <s v="0:00"/>
    <n v="0"/>
    <n v="0"/>
    <n v="0"/>
    <n v="0"/>
    <n v="0"/>
    <n v="0"/>
    <x v="2"/>
    <x v="42"/>
    <s v="HBOSS Portal Fax Mapping"/>
    <s v="HBOSS Portal Fax MappingAH-SNAPHELD-FM-PROD"/>
    <x v="0"/>
  </r>
  <r>
    <s v="AH-SNAPHELD-FM-PROD"/>
    <s v="ILO  Gabriel Anthony Astrologo"/>
    <s v="gabriel.astrologo@company.com"/>
    <n v="7"/>
    <n v="3.7101817989081001"/>
    <n v="2.58E-2"/>
    <n v="8.4444444444444003E-2"/>
    <n v="7"/>
    <n v="1"/>
    <n v="3.7101817989081001"/>
    <n v="29"/>
    <n v="15.370753166905001"/>
    <n v="1.8867"/>
    <n v="1.3674670058833001E-2"/>
    <s v="15:08"/>
    <s v="0:56"/>
    <s v="0:13"/>
    <s v="0:43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27"/>
    <s v="HBOSS Portal Fax Mapping"/>
    <s v="HBOSS Portal Fax MappingAH-SNAPHELD-FM-PROD"/>
    <x v="0"/>
  </r>
  <r>
    <s v="AH-SNAPHELD-FM-PROD"/>
    <s v="ILO  Mikaela Judith Jacela"/>
    <s v="mikaela.jacela@company.com"/>
    <n v="7"/>
    <n v="3.7866493562696002"/>
    <n v="0.31719999999999998"/>
    <n v="3.0555555555556E-3"/>
    <n v="7"/>
    <n v="1"/>
    <n v="3.7866493562696002"/>
    <n v="18"/>
    <n v="9.7370983446932993"/>
    <n v="1.8486"/>
    <n v="0.17158931082982001"/>
    <s v="12:58"/>
    <s v="2:44"/>
    <s v="2:43"/>
    <s v="0:01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43"/>
    <s v="HBOSS Portal Fax Mapping"/>
    <s v="HBOSS Portal Fax MappingAH-SNAPHELD-FM-PROD"/>
    <x v="0"/>
  </r>
  <r>
    <s v="AH-SNAPHELD-FM-PROD"/>
    <s v="ILO  Nicole Ann Baldoque"/>
    <s v="nicole.baldoque@company.com"/>
    <n v="6"/>
    <n v="2.1422450728363001"/>
    <n v="3.8300000000000001E-2"/>
    <n v="8.6111111111111006E-3"/>
    <n v="6"/>
    <n v="1"/>
    <n v="2.1422450728363001"/>
    <n v="72"/>
    <n v="25.706940874036"/>
    <n v="2.8008000000000002"/>
    <n v="1.3674664381605001E-2"/>
    <s v="27:20"/>
    <s v="0:28"/>
    <s v="0:23"/>
    <s v="0:05"/>
    <s v="0:00"/>
    <s v="52:02"/>
    <s v="0:00"/>
    <s v="0:00"/>
    <n v="0"/>
    <n v="0"/>
    <n v="0"/>
    <n v="0"/>
    <n v="0"/>
    <s v="0:00"/>
    <s v="0:00"/>
    <n v="0"/>
    <n v="0"/>
    <n v="0"/>
    <n v="0"/>
    <n v="0"/>
    <n v="0"/>
    <x v="2"/>
    <x v="44"/>
    <s v="HBOSS Portal Fax Mapping"/>
    <s v="HBOSS Portal Fax MappingAH-SNAPHELD-FM-PROD"/>
    <x v="0"/>
  </r>
  <r>
    <s v="AH-SnapHeld-FTP-Prod"/>
    <s v="ILO_x0009_Arabella Joy Borromeo"/>
    <s v="arabella.borromeo@company.com"/>
    <n v="15"/>
    <n v="8.9402789367027999"/>
    <n v="0.50080000000000002"/>
    <n v="0.90111111111110997"/>
    <n v="4"/>
    <n v="0.26666666666666999"/>
    <n v="2.3840743831208"/>
    <n v="4"/>
    <n v="2.3840743831208"/>
    <n v="1.6778"/>
    <n v="0.29848611276671999"/>
    <s v="0:01"/>
    <s v="5:36"/>
    <s v="2:00"/>
    <s v="3:36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2"/>
    <x v="45"/>
    <s v="AH-AeroHeld-ARM-Prod"/>
    <s v="AH-AeroHeld-ARM-ProdAH-SnapHeld-FTP-Prod"/>
    <x v="5"/>
  </r>
  <r>
    <s v="AH-SnapHeld-FTP-Prod"/>
    <s v="ILO_x0009_Cherryl Rose Gabinera"/>
    <s v="cherryl.gabinera@company.com"/>
    <n v="23"/>
    <n v="10.188261351052001"/>
    <n v="1.6142000000000001"/>
    <n v="0.10111111111111"/>
    <n v="1"/>
    <n v="4.3478260869565001E-2"/>
    <n v="0.44296788482834998"/>
    <n v="1"/>
    <n v="0.44296788482834998"/>
    <n v="2.2574999999999998"/>
    <n v="0.71503875968992003"/>
    <s v="0:01"/>
    <s v="4:28"/>
    <s v="4:12"/>
    <s v="0:15"/>
    <s v="0:00"/>
    <s v="52:16"/>
    <s v="0:00"/>
    <s v="0:00"/>
    <n v="0"/>
    <n v="0"/>
    <n v="0"/>
    <n v="0"/>
    <n v="0"/>
    <s v="0:00"/>
    <s v="0:00"/>
    <n v="0"/>
    <n v="0"/>
    <n v="0"/>
    <n v="0"/>
    <n v="0"/>
    <n v="0"/>
    <x v="2"/>
    <x v="46"/>
    <s v="AH-AeroHeld-ARM-Prod"/>
    <s v="AH-AeroHeld-ARM-ProdAH-SnapHeld-FTP-Prod"/>
    <x v="5"/>
  </r>
  <r>
    <s v="AH-SnapHeld-FTP-Prod"/>
    <s v="ILO_x0009_Geric Perlas"/>
    <s v="geric.perlas@company.com"/>
    <n v="25"/>
    <n v="11.319387847505"/>
    <n v="1.88"/>
    <n v="4.9166666666666997E-2"/>
    <n v="2"/>
    <n v="0.08"/>
    <n v="0.90555102780041996"/>
    <n v="2"/>
    <n v="0.90555102780041996"/>
    <n v="2.2086000000000001"/>
    <n v="0.85121796613238987"/>
    <s v="0:01"/>
    <s v="4:37"/>
    <s v="4:30"/>
    <s v="0:07"/>
    <s v="0:00"/>
    <s v="51:20"/>
    <s v="0:00"/>
    <s v="0:00"/>
    <n v="0"/>
    <n v="0"/>
    <n v="0"/>
    <n v="0"/>
    <n v="0"/>
    <s v="0:00"/>
    <s v="0:00"/>
    <n v="0"/>
    <n v="0"/>
    <n v="0"/>
    <n v="0"/>
    <n v="0"/>
    <n v="0"/>
    <x v="2"/>
    <x v="47"/>
    <s v="AH-AeroHeld-ARM-Prod"/>
    <s v="AH-AeroHeld-ARM-ProdAH-SnapHeld-FTP-Prod"/>
    <x v="5"/>
  </r>
  <r>
    <s v="AH-SnapHeld-FTP-Prod"/>
    <s v="ILO_x0009_Reynald Jomadiao"/>
    <s v="reynald.jomadiao@company.com"/>
    <n v="70"/>
    <n v="25.333864138106001"/>
    <n v="2.2949999999999999"/>
    <n v="0.13277777777777999"/>
    <n v="8"/>
    <n v="0.11428571428570999"/>
    <n v="2.8952987586407"/>
    <n v="8"/>
    <n v="2.8952987586407"/>
    <n v="2.7631000000000001"/>
    <n v="0.83058883138504003"/>
    <s v="0:00"/>
    <s v="2:04"/>
    <s v="1:58"/>
    <s v="0:06"/>
    <s v="0:00"/>
    <s v="45:17"/>
    <s v="0:00"/>
    <s v="0:00"/>
    <n v="0"/>
    <n v="0"/>
    <n v="0"/>
    <n v="0"/>
    <n v="0"/>
    <s v="0:00"/>
    <s v="0:00"/>
    <n v="0"/>
    <n v="0"/>
    <n v="0"/>
    <n v="0"/>
    <n v="0"/>
    <n v="0"/>
    <x v="2"/>
    <x v="48"/>
    <s v="AH-AeroHeld-ARM-Prod"/>
    <s v="AH-AeroHeld-ARM-ProdAH-SnapHeld-FTP-Prod"/>
    <x v="5"/>
  </r>
  <r>
    <s v="AH-SnapHeld-FTP-Prod"/>
    <s v="ILO  Aliyaah Bianca Candoleza"/>
    <s v="aliyaah.candoleza@company.com"/>
    <n v="39"/>
    <n v="15.347684073826001"/>
    <n v="1.8022"/>
    <n v="0.11805555555555999"/>
    <n v="0"/>
    <n v="0"/>
    <n v="0"/>
    <n v="0"/>
    <n v="0"/>
    <n v="2.5411000000000001"/>
    <n v="0.70922041635512001"/>
    <s v="0:01"/>
    <s v="2:57"/>
    <s v="2:46"/>
    <s v="0:10"/>
    <s v="0:00"/>
    <s v="36:32"/>
    <s v="0:00"/>
    <s v="0:00"/>
    <n v="0"/>
    <n v="0"/>
    <n v="0"/>
    <n v="0"/>
    <n v="0"/>
    <s v="0:00"/>
    <s v="0:00"/>
    <n v="0"/>
    <n v="0"/>
    <n v="0"/>
    <n v="0"/>
    <n v="0"/>
    <n v="0"/>
    <x v="2"/>
    <x v="49"/>
    <s v="AH-AeroHeld-ARM-Prod"/>
    <s v="AH-AeroHeld-ARM-ProdAH-SnapHeld-FTP-Prod"/>
    <x v="5"/>
  </r>
  <r>
    <s v="AH-SnapHeld-FTP-Prod"/>
    <s v="ILO  Deimple Jolo"/>
    <s v="deimple.jolo@company.com"/>
    <n v="39"/>
    <n v="15.341043190937"/>
    <n v="1.9094"/>
    <n v="0.16111111111111001"/>
    <n v="0"/>
    <n v="0"/>
    <n v="0"/>
    <n v="0"/>
    <n v="0"/>
    <n v="2.5421999999999998"/>
    <n v="0.75108174022499996"/>
    <s v="0:00"/>
    <s v="3:11"/>
    <s v="2:56"/>
    <s v="0:14"/>
    <s v="0:00"/>
    <s v="27:44"/>
    <s v="0:00"/>
    <s v="0:00"/>
    <n v="0"/>
    <n v="0"/>
    <n v="0"/>
    <n v="0"/>
    <n v="0"/>
    <s v="0:00"/>
    <s v="0:00"/>
    <n v="0"/>
    <n v="0"/>
    <n v="0"/>
    <n v="0"/>
    <n v="0"/>
    <n v="0"/>
    <x v="2"/>
    <x v="50"/>
    <s v="AH-AeroHeld-ARM-Prod"/>
    <s v="AH-AeroHeld-ARM-ProdAH-SnapHeld-FTP-Prod"/>
    <x v="5"/>
  </r>
  <r>
    <s v="AH-SnapHeld-FTP-Prod"/>
    <s v="ILO  Hanz Kimcy Esing"/>
    <s v="hanz.esing@company.com"/>
    <n v="71"/>
    <n v="20.167016985741"/>
    <n v="1.0891999999999999"/>
    <n v="1.8166666666667"/>
    <n v="10"/>
    <n v="0.14084507042253999"/>
    <n v="2.8404249275692002"/>
    <n v="10"/>
    <n v="2.8404249275692002"/>
    <n v="3.5206"/>
    <n v="0.30937908311083001"/>
    <s v="0:00"/>
    <s v="2:27"/>
    <s v="0:55"/>
    <s v="1:32"/>
    <s v="0:00"/>
    <s v="11:04"/>
    <s v="0:00"/>
    <s v="0:00"/>
    <n v="0"/>
    <n v="0"/>
    <n v="0"/>
    <n v="0"/>
    <n v="0"/>
    <s v="0:00"/>
    <s v="0:00"/>
    <n v="0"/>
    <n v="0"/>
    <n v="0"/>
    <n v="0"/>
    <n v="0"/>
    <n v="0"/>
    <x v="2"/>
    <x v="51"/>
    <s v="AH-AeroHeld-ARM-Prod"/>
    <s v="AH-AeroHeld-ARM-ProdAH-SnapHeld-FTP-Prod"/>
    <x v="5"/>
  </r>
  <r>
    <s v="AH-SnapHeld-FTP-Prod"/>
    <s v="ILO  Rovy Belarmino"/>
    <s v="rovy.belarmino@company.com"/>
    <n v="17"/>
    <n v="8.4321214225484997"/>
    <n v="0.81079999999999997"/>
    <n v="0.92027777777777997"/>
    <n v="3"/>
    <n v="0.17647058823528999"/>
    <n v="1.4880214275085999"/>
    <n v="3"/>
    <n v="1.4880214275085999"/>
    <n v="2.0160999999999998"/>
    <n v="0.40216259114130998"/>
    <s v="0:00"/>
    <s v="6:06"/>
    <s v="2:51"/>
    <s v="3:14"/>
    <s v="0:00"/>
    <s v="49:52"/>
    <s v="0:00"/>
    <s v="0:00"/>
    <n v="0"/>
    <n v="0"/>
    <n v="0"/>
    <n v="0"/>
    <n v="0"/>
    <s v="0:00"/>
    <s v="0:00"/>
    <n v="0"/>
    <n v="0"/>
    <n v="0"/>
    <n v="0"/>
    <n v="0"/>
    <n v="0"/>
    <x v="2"/>
    <x v="52"/>
    <s v="AH-AeroHeld-ARM-Prod"/>
    <s v="AH-AeroHeld-ARM-ProdAH-SnapHeld-FTP-Prod"/>
    <x v="5"/>
  </r>
  <r>
    <s v="AH-SnapHeld-FTP-Prod"/>
    <s v="ILO  Sherlem Tonio"/>
    <s v="sherlem.tonio@company.com"/>
    <n v="77"/>
    <n v="16.280102332072001"/>
    <n v="2.9819"/>
    <n v="0.30972222222222001"/>
    <n v="15"/>
    <n v="0.19480519480519001"/>
    <n v="3.1714485062477999"/>
    <n v="15"/>
    <n v="3.1714485062477999"/>
    <n v="4.7297000000000002"/>
    <n v="0.63046282005201004"/>
    <s v="0:01"/>
    <s v="2:33"/>
    <s v="2:19"/>
    <s v="0:14"/>
    <s v="0:00"/>
    <s v="31:47"/>
    <s v="0:00"/>
    <s v="0:00"/>
    <n v="0"/>
    <n v="0"/>
    <n v="0"/>
    <n v="0"/>
    <n v="0"/>
    <s v="0:00"/>
    <s v="0:00"/>
    <n v="0"/>
    <n v="0"/>
    <n v="0"/>
    <n v="0"/>
    <n v="0"/>
    <n v="0"/>
    <x v="2"/>
    <x v="53"/>
    <s v="AH-AeroHeld-ARM-Prod"/>
    <s v="AH-AeroHeld-ARM-ProdAH-SnapHeld-FTP-Prod"/>
    <x v="5"/>
  </r>
  <r>
    <s v="CDT,AddDoctor,GS Escal"/>
    <s v="ILO_x0009_Jason Galampanao"/>
    <s v="jason.galampanao@company.com"/>
    <n v="8"/>
    <n v="2.4443901246638999"/>
    <n v="0.17"/>
    <n v="1.2222222222222001E-2"/>
    <n v="8"/>
    <n v="1"/>
    <n v="2.4443901246638999"/>
    <n v="40"/>
    <n v="12.221950623319"/>
    <n v="3.2728000000000002"/>
    <n v="5.1943290149108E-2"/>
    <s v="4:21"/>
    <s v="1:22"/>
    <s v="1:16"/>
    <s v="0:05"/>
    <s v="0:00"/>
    <s v="49:13"/>
    <s v="0:00"/>
    <s v="0:00"/>
    <n v="0"/>
    <n v="0"/>
    <n v="0"/>
    <n v="0"/>
    <n v="0"/>
    <s v="0:00"/>
    <s v="0:00"/>
    <n v="0"/>
    <n v="0"/>
    <n v="0"/>
    <n v="0"/>
    <n v="0"/>
    <n v="0"/>
    <x v="2"/>
    <x v="54"/>
    <s v="AH-AeroHeld-Fax Map-Prod"/>
    <s v="AH-AeroHeld-Fax Map-ProdCDT,AddDoctor,GS Escal"/>
    <x v="6"/>
  </r>
  <r>
    <s v="Diab FM"/>
    <s v="BTG  April Ann Serrano"/>
    <s v="april.serrano@company.com"/>
    <n v="2"/>
    <n v="0.77270795502839995"/>
    <n v="5.9999999999999995E-4"/>
    <n v="0.02"/>
    <n v="2"/>
    <n v="1"/>
    <n v="0.77270795502839995"/>
    <n v="12"/>
    <n v="4.6362477301703997"/>
    <n v="2.5882999999999998"/>
    <n v="2.3181238650852001E-4"/>
    <s v="51:52"/>
    <s v="0:37"/>
    <s v="0:01"/>
    <s v="0:36"/>
    <s v="0:00"/>
    <s v="61:42"/>
    <s v="0:00"/>
    <s v="0:00"/>
    <n v="0"/>
    <n v="0"/>
    <n v="0"/>
    <n v="0"/>
    <n v="0"/>
    <s v="0:00"/>
    <s v="0:00"/>
    <n v="0"/>
    <n v="0"/>
    <n v="0"/>
    <n v="0"/>
    <n v="0"/>
    <n v="0"/>
    <x v="1"/>
    <x v="55"/>
    <s v="HBOSS Portal Fax Mapping"/>
    <s v="HBOSS Portal Fax MappingDiab FM"/>
    <x v="0"/>
  </r>
  <r>
    <s v="HBOSS BT Project-Blank Held"/>
    <s v="BCD_x0009_Ron Jacob Balquin"/>
    <s v="jacob.balquin@company.com"/>
    <n v="38"/>
    <n v="9.6623270951993998"/>
    <n v="0.75970000000000004"/>
    <n v="7.7777777777778001E-2"/>
    <n v="31"/>
    <n v="0.81578947368420995"/>
    <n v="7.8824247355574002"/>
    <n v="31"/>
    <n v="7.8824247355574002"/>
    <n v="3.9327999999999999"/>
    <n v="0.19317026037429"/>
    <s v="4:47"/>
    <s v="1:19"/>
    <s v="1:11"/>
    <s v="0:07"/>
    <s v="0:00"/>
    <s v="0:00"/>
    <s v="0:00"/>
    <s v="0:00"/>
    <n v="0"/>
    <n v="0"/>
    <n v="0"/>
    <n v="0"/>
    <n v="0"/>
    <s v="0:00"/>
    <s v="0:00"/>
    <n v="0"/>
    <n v="0"/>
    <n v="0"/>
    <n v="0"/>
    <n v="0"/>
    <n v="0"/>
    <x v="0"/>
    <x v="56"/>
    <s v="AH-SnapHeld-Special Project - Billable"/>
    <s v="AH-SnapHeld-Special Project - BillableHBOSS BT Project-Blank Held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74A2C-0390-4B53-B6F6-CB21C445106A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U1:AA23" firstHeaderRow="0" firstDataRow="1" firstDataCol="2"/>
  <pivotFields count="41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3"/>
        <item x="4"/>
        <item x="5"/>
        <item x="7"/>
        <item x="8"/>
        <item x="1"/>
        <item x="9"/>
        <item x="2"/>
        <item x="0"/>
        <item x="10"/>
        <item m="1" x="1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5"/>
    <field x="38"/>
  </rowFields>
  <rowItems count="22">
    <i>
      <x/>
      <x/>
    </i>
    <i r="1">
      <x v="1"/>
    </i>
    <i r="1">
      <x v="3"/>
    </i>
    <i r="1">
      <x v="4"/>
    </i>
    <i r="1">
      <x v="6"/>
    </i>
    <i r="1">
      <x v="8"/>
    </i>
    <i>
      <x v="1"/>
      <x/>
    </i>
    <i r="1">
      <x v="2"/>
    </i>
    <i r="1">
      <x v="3"/>
    </i>
    <i r="1">
      <x v="6"/>
    </i>
    <i r="1">
      <x v="7"/>
    </i>
    <i r="1">
      <x v="8"/>
    </i>
    <i>
      <x v="2"/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alls" fld="3" baseField="0" baseItem="0"/>
    <dataField name="Sum of Points" fld="10" baseField="0" baseItem="0"/>
    <dataField name="Sum of Logged In" fld="12" baseField="0" baseItem="0"/>
    <dataField name="Sum of RPH" fld="39" baseField="0" baseItem="0" numFmtId="2"/>
    <dataField name="Sum of PPH" fld="40" baseField="0" baseItem="0" numFmtId="2"/>
  </dataFields>
  <formats count="4">
    <format dxfId="24">
      <pivotArea outline="0" fieldPosition="0">
        <references count="1">
          <reference field="4294967294" count="1" selected="0">
            <x v="3"/>
          </reference>
        </references>
      </pivotArea>
    </format>
    <format dxfId="23">
      <pivotArea outline="0" fieldPosition="0">
        <references count="1">
          <reference field="4294967294" count="1" selected="0">
            <x v="4"/>
          </reference>
        </references>
      </pivotArea>
    </format>
    <format dxfId="22">
      <pivotArea outline="0" fieldPosition="0">
        <references count="3">
          <reference field="4294967294" count="1" selected="0">
            <x v="2"/>
          </reference>
          <reference field="35" count="0" selected="0"/>
          <reference field="38" count="0" selected="0"/>
        </references>
      </pivotArea>
    </format>
    <format dxfId="21">
      <pivotArea field="3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54FFE-A52D-49D3-843C-0F3D85F212FE}" name="PivotTable3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D1:AK59" firstHeaderRow="0" firstDataRow="1" firstDataCol="3"/>
  <pivotFields count="4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1"/>
        <item m="1" x="4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7">
        <item m="1" x="76"/>
        <item x="54"/>
        <item x="42"/>
        <item x="48"/>
        <item x="56"/>
        <item x="39"/>
        <item x="37"/>
        <item x="30"/>
        <item m="1" x="71"/>
        <item m="1" x="69"/>
        <item m="1" x="58"/>
        <item x="33"/>
        <item m="1" x="72"/>
        <item m="1" x="73"/>
        <item m="1" x="74"/>
        <item x="34"/>
        <item m="1" x="75"/>
        <item x="44"/>
        <item x="51"/>
        <item m="1" x="63"/>
        <item x="53"/>
        <item m="1" x="70"/>
        <item x="31"/>
        <item x="32"/>
        <item x="35"/>
        <item x="36"/>
        <item x="38"/>
        <item x="40"/>
        <item x="0"/>
        <item x="1"/>
        <item x="41"/>
        <item x="27"/>
        <item x="43"/>
        <item x="45"/>
        <item x="46"/>
        <item x="47"/>
        <item x="49"/>
        <item x="50"/>
        <item x="52"/>
        <item x="28"/>
        <item m="1" x="59"/>
        <item m="1" x="60"/>
        <item m="1" x="61"/>
        <item m="1" x="62"/>
        <item m="1" x="64"/>
        <item m="1" x="65"/>
        <item m="1" x="66"/>
        <item m="1" x="67"/>
        <item m="1" x="68"/>
        <item m="1" x="57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9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1"/>
        <item x="0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5"/>
    <field x="39"/>
    <field x="36"/>
  </rowFields>
  <rowItems count="58">
    <i>
      <x/>
      <x v="1"/>
      <x v="28"/>
    </i>
    <i r="2">
      <x v="29"/>
    </i>
    <i r="2">
      <x v="30"/>
    </i>
    <i r="2">
      <x v="50"/>
    </i>
    <i r="2">
      <x v="51"/>
    </i>
    <i r="1">
      <x v="2"/>
      <x v="22"/>
    </i>
    <i r="2">
      <x v="23"/>
    </i>
    <i r="1">
      <x v="7"/>
      <x v="4"/>
    </i>
    <i>
      <x v="1"/>
      <x/>
      <x v="7"/>
    </i>
    <i r="1">
      <x v="1"/>
      <x v="2"/>
    </i>
    <i r="2">
      <x v="17"/>
    </i>
    <i r="2">
      <x v="31"/>
    </i>
    <i r="2">
      <x v="32"/>
    </i>
    <i r="2">
      <x v="39"/>
    </i>
    <i r="2">
      <x v="75"/>
    </i>
    <i r="1">
      <x v="2"/>
      <x v="6"/>
    </i>
    <i r="2">
      <x v="26"/>
    </i>
    <i r="1">
      <x v="3"/>
      <x v="5"/>
    </i>
    <i r="1">
      <x v="4"/>
      <x v="27"/>
    </i>
    <i r="1">
      <x v="5"/>
      <x v="3"/>
    </i>
    <i r="2">
      <x v="18"/>
    </i>
    <i r="2">
      <x v="20"/>
    </i>
    <i r="2">
      <x v="33"/>
    </i>
    <i r="2">
      <x v="34"/>
    </i>
    <i r="2">
      <x v="35"/>
    </i>
    <i r="2">
      <x v="36"/>
    </i>
    <i r="2">
      <x v="37"/>
    </i>
    <i r="2">
      <x v="38"/>
    </i>
    <i r="1">
      <x v="6"/>
      <x v="1"/>
    </i>
    <i>
      <x v="2"/>
      <x v="1"/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2">
      <x v="59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6"/>
    </i>
    <i r="1">
      <x v="2"/>
      <x v="11"/>
    </i>
    <i r="2">
      <x v="15"/>
    </i>
    <i r="2">
      <x v="24"/>
    </i>
    <i r="2"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alls" fld="3" baseField="0" baseItem="0"/>
    <dataField name="Sum of Points" fld="10" baseField="0" baseItem="0"/>
    <dataField name="Sum of Logged In" fld="12" baseField="0" baseItem="0" numFmtId="2"/>
    <dataField name="Sum of RPH" fld="40" baseField="0" baseItem="0" numFmtId="2"/>
    <dataField name="Sum of PPH" fld="4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6E4DAB8-36CE-4637-AB1C-A9C02D27492E}" autoFormatId="16" applyNumberFormats="0" applyBorderFormats="0" applyFontFormats="0" applyPatternFormats="0" applyAlignmentFormats="0" applyWidthHeightFormats="0">
  <queryTableRefresh nextId="47" unboundColumnsRight="5">
    <queryTableFields count="40">
      <queryTableField id="1" name="Team" tableColumnId="1"/>
      <queryTableField id="2" name="Agent" tableColumnId="2"/>
      <queryTableField id="3" name="Agent Email" tableColumnId="3"/>
      <queryTableField id="4" name="Calls" tableColumnId="4"/>
      <queryTableField id="5" name="Calls/Hr" tableColumnId="5"/>
      <queryTableField id="6" name="Talk" tableColumnId="6"/>
      <queryTableField id="7" name="Wrap Up" tableColumnId="7"/>
      <queryTableField id="8" name="Conv" tableColumnId="8"/>
      <queryTableField id="9" name="Conv %" tableColumnId="9"/>
      <queryTableField id="10" name="Conv/Hr" tableColumnId="10"/>
      <queryTableField id="11" name="Points" tableColumnId="11"/>
      <queryTableField id="12" name="Points/Hr" tableColumnId="12"/>
      <queryTableField id="13" name="Logged In" tableColumnId="13"/>
      <queryTableField id="14" name="Eff %" tableColumnId="14"/>
      <queryTableField id="15" name="AAT" tableColumnId="15"/>
      <queryTableField id="16" name="AHT" tableColumnId="16"/>
      <queryTableField id="17" name="ATT" tableColumnId="17"/>
      <queryTableField id="18" name="AWT" tableColumnId="18"/>
      <queryTableField id="19" name="Administrative" tableColumnId="19"/>
      <queryTableField id="20" name="Break" tableColumnId="20"/>
      <queryTableField id="21" name="Coaching" tableColumnId="21"/>
      <queryTableField id="22" name="Unavailable" tableColumnId="22"/>
      <queryTableField id="23" name="QA Score" tableColumnId="23"/>
      <queryTableField id="24" name="Scorecards" tableColumnId="24"/>
      <queryTableField id="25" name="Passed" tableColumnId="25"/>
      <queryTableField id="26" name="Auto Fails" tableColumnId="26"/>
      <queryTableField id="27" name="Holds" tableColumnId="27"/>
      <queryTableField id="28" name="Hold" tableColumnId="28"/>
      <queryTableField id="29" name="Hold/Call" tableColumnId="29"/>
      <queryTableField id="30" name="Rings Tot" tableColumnId="30"/>
      <queryTableField id="31" name="Rings Ans" tableColumnId="31"/>
      <queryTableField id="32" name="Rings Decl" tableColumnId="32"/>
      <queryTableField id="33" name="Rings Timeout" tableColumnId="33"/>
      <queryTableField id="34" name="Rings Miss" tableColumnId="34"/>
      <queryTableField id="35" name="Rings Aban" tableColumnId="35"/>
      <queryTableField id="42" dataBound="0" tableColumnId="36"/>
      <queryTableField id="43" dataBound="0" tableColumnId="37"/>
      <queryTableField id="44" dataBound="0" tableColumnId="38"/>
      <queryTableField id="45" dataBound="0" tableColumnId="39"/>
      <queryTableField id="46" dataBound="0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D4256CF-63FC-4CA6-95DA-6A1C17B39DA2}" autoFormatId="16" applyNumberFormats="0" applyBorderFormats="0" applyFontFormats="0" applyPatternFormats="0" applyAlignmentFormats="0" applyWidthHeightFormats="0">
  <queryTableRefresh nextId="44" unboundColumnsRight="4">
    <queryTableFields count="39">
      <queryTableField id="1" name="Campaign" tableColumnId="1"/>
      <queryTableField id="2" name="Agent" tableColumnId="2"/>
      <queryTableField id="3" name="Agent Email" tableColumnId="3"/>
      <queryTableField id="4" name="Calls" tableColumnId="4"/>
      <queryTableField id="5" name="Calls/Hr" tableColumnId="5"/>
      <queryTableField id="6" name="Talk" tableColumnId="6"/>
      <queryTableField id="7" name="Wrap Up" tableColumnId="7"/>
      <queryTableField id="8" name="Conv" tableColumnId="8"/>
      <queryTableField id="9" name="Conv %" tableColumnId="9"/>
      <queryTableField id="10" name="Conv/Hr" tableColumnId="10"/>
      <queryTableField id="11" name="Points" tableColumnId="11"/>
      <queryTableField id="12" name="Points/Hr" tableColumnId="12"/>
      <queryTableField id="13" name="Logged In" tableColumnId="13"/>
      <queryTableField id="14" name="Eff %" tableColumnId="14"/>
      <queryTableField id="15" name="AAT" tableColumnId="15"/>
      <queryTableField id="16" name="AHT" tableColumnId="16"/>
      <queryTableField id="17" name="ATT" tableColumnId="17"/>
      <queryTableField id="18" name="AWT" tableColumnId="18"/>
      <queryTableField id="19" name="Administrative" tableColumnId="19"/>
      <queryTableField id="20" name="Break" tableColumnId="20"/>
      <queryTableField id="21" name="Coaching" tableColumnId="21"/>
      <queryTableField id="22" name="Unavailable" tableColumnId="22"/>
      <queryTableField id="23" name="QA Score" tableColumnId="23"/>
      <queryTableField id="24" name="Scorecards" tableColumnId="24"/>
      <queryTableField id="25" name="Passed" tableColumnId="25"/>
      <queryTableField id="26" name="Auto Fails" tableColumnId="26"/>
      <queryTableField id="27" name="Holds" tableColumnId="27"/>
      <queryTableField id="28" name="Hold" tableColumnId="28"/>
      <queryTableField id="29" name="Hold/Call" tableColumnId="29"/>
      <queryTableField id="30" name="Rings Tot" tableColumnId="30"/>
      <queryTableField id="31" name="Rings Ans" tableColumnId="31"/>
      <queryTableField id="32" name="Rings Decl" tableColumnId="32"/>
      <queryTableField id="33" name="Rings Timeout" tableColumnId="33"/>
      <queryTableField id="34" name="Rings Miss" tableColumnId="34"/>
      <queryTableField id="35" name="Rings Aban" tableColumnId="35"/>
      <queryTableField id="40" dataBound="0" tableColumnId="36"/>
      <queryTableField id="41" dataBound="0" tableColumnId="37"/>
      <queryTableField id="42" dataBound="0" tableColumnId="38"/>
      <queryTableField id="43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A32304-7029-4892-85B0-E8E0C2B4B348}" name="Team_Report" displayName="Team_Report" ref="A1:AN61" tableType="queryTable" totalsRowShown="0">
  <autoFilter ref="A1:AN61" xr:uid="{B2A32304-7029-4892-85B0-E8E0C2B4B348}"/>
  <tableColumns count="40">
    <tableColumn id="1" xr3:uid="{A659FA8C-6D94-4844-A43C-4B176FBB46C8}" uniqueName="1" name="Team" queryTableFieldId="1"/>
    <tableColumn id="2" xr3:uid="{5F40805A-D2A4-4EC3-9936-07B088955521}" uniqueName="2" name="Agent" queryTableFieldId="2"/>
    <tableColumn id="3" xr3:uid="{BFC91FA7-0435-415D-AF03-D828A380FD96}" uniqueName="3" name="Agent Email" queryTableFieldId="3"/>
    <tableColumn id="4" xr3:uid="{77855DAF-4864-482D-B2D4-0205158054E7}" uniqueName="4" name="Calls" queryTableFieldId="4"/>
    <tableColumn id="5" xr3:uid="{7A60AD20-3EC5-438C-A44F-8E7DC0AC477B}" uniqueName="5" name="Calls/Hr" queryTableFieldId="5"/>
    <tableColumn id="6" xr3:uid="{820F0247-6153-4E68-B4F9-B8B50EB55546}" uniqueName="6" name="Talk" queryTableFieldId="6"/>
    <tableColumn id="7" xr3:uid="{785CE1E3-0267-4E01-8F75-5A2544AC9316}" uniqueName="7" name="Wrap Up" queryTableFieldId="7"/>
    <tableColumn id="8" xr3:uid="{E2DC0BD0-E502-49F2-A758-B2334BBE615B}" uniqueName="8" name="Conv" queryTableFieldId="8"/>
    <tableColumn id="9" xr3:uid="{C369B801-4A02-4C78-A2DC-7947341B3453}" uniqueName="9" name="Conv %" queryTableFieldId="9"/>
    <tableColumn id="10" xr3:uid="{051D47F1-2CF3-4A57-AC58-CB837E9F3330}" uniqueName="10" name="Conv/Hr" queryTableFieldId="10"/>
    <tableColumn id="11" xr3:uid="{A273A6D8-EB78-43E0-B419-94EDBE86A8C1}" uniqueName="11" name="Points" queryTableFieldId="11"/>
    <tableColumn id="12" xr3:uid="{5B38D703-B63B-4FED-952D-5060446F84EE}" uniqueName="12" name="Points/Hr" queryTableFieldId="12"/>
    <tableColumn id="13" xr3:uid="{0815CCF3-9DDC-48F5-B15E-05E66B904850}" uniqueName="13" name="Logged In" queryTableFieldId="13"/>
    <tableColumn id="14" xr3:uid="{7E6F95E3-74A9-4878-B8EC-02EA99089BF5}" uniqueName="14" name="Eff %" queryTableFieldId="14"/>
    <tableColumn id="15" xr3:uid="{82847893-5A98-438B-9CDC-0C0A5988CD72}" uniqueName="15" name="AAT" queryTableFieldId="15"/>
    <tableColumn id="16" xr3:uid="{1FDBDCB9-280D-4F51-AB78-E644D23D2D80}" uniqueName="16" name="AHT" queryTableFieldId="16"/>
    <tableColumn id="17" xr3:uid="{15FE2F96-E3D0-406F-BB5B-AC79679640AA}" uniqueName="17" name="ATT" queryTableFieldId="17"/>
    <tableColumn id="18" xr3:uid="{C1E4CA36-1FEF-43C3-A774-9AA061A7AD12}" uniqueName="18" name="AWT" queryTableFieldId="18"/>
    <tableColumn id="19" xr3:uid="{23E8C38B-7CB9-4EEC-BFBA-2AD98CEA5479}" uniqueName="19" name="Administrative" queryTableFieldId="19"/>
    <tableColumn id="20" xr3:uid="{87E2E516-0A1A-4D34-B0C6-FB08F79325E6}" uniqueName="20" name="Break" queryTableFieldId="20"/>
    <tableColumn id="21" xr3:uid="{08F506E5-48D6-4E36-93E3-1DA2D832521E}" uniqueName="21" name="Coaching" queryTableFieldId="21"/>
    <tableColumn id="22" xr3:uid="{41FF8622-B5DA-445E-BA36-99CBB6FD0901}" uniqueName="22" name="Unavailable" queryTableFieldId="22"/>
    <tableColumn id="23" xr3:uid="{FFE1ABC4-1C34-499B-851E-7174C7E10A3A}" uniqueName="23" name="QA Score" queryTableFieldId="23"/>
    <tableColumn id="24" xr3:uid="{85766593-9058-411A-A8AD-6566C210798F}" uniqueName="24" name="Scorecards" queryTableFieldId="24"/>
    <tableColumn id="25" xr3:uid="{A851C003-FEA3-4A0D-B0AD-A583C1F9561F}" uniqueName="25" name="Passed" queryTableFieldId="25"/>
    <tableColumn id="26" xr3:uid="{89657417-55B4-470A-BE07-169C247D84D7}" uniqueName="26" name="Auto Fails" queryTableFieldId="26"/>
    <tableColumn id="27" xr3:uid="{F87BD9C6-EF81-438D-BFCF-CEC4BAE44D23}" uniqueName="27" name="Holds" queryTableFieldId="27"/>
    <tableColumn id="28" xr3:uid="{6280689F-4526-4962-A2E6-AFBEFC8749A6}" uniqueName="28" name="Hold" queryTableFieldId="28"/>
    <tableColumn id="29" xr3:uid="{8925443D-C5D7-4EC2-AF66-AF6987AD62E0}" uniqueName="29" name="Hold/Call" queryTableFieldId="29"/>
    <tableColumn id="30" xr3:uid="{249CAB74-2CB1-4DDB-9C8D-E1ED738987E7}" uniqueName="30" name="Rings Tot" queryTableFieldId="30"/>
    <tableColumn id="31" xr3:uid="{B5240288-D472-4BF2-8790-82EC0A0D4787}" uniqueName="31" name="Rings Ans" queryTableFieldId="31"/>
    <tableColumn id="32" xr3:uid="{D8E187DA-6205-413B-B9CE-CFC966A17DCE}" uniqueName="32" name="Rings Decl" queryTableFieldId="32"/>
    <tableColumn id="33" xr3:uid="{298AAB17-FC41-426B-A771-0110ABEF2628}" uniqueName="33" name="Rings Timeout" queryTableFieldId="33"/>
    <tableColumn id="34" xr3:uid="{7349102B-E384-4110-9520-E789687BAC5A}" uniqueName="34" name="Rings Miss" queryTableFieldId="34"/>
    <tableColumn id="35" xr3:uid="{F0D0B264-4A95-42BB-A0EE-B78CE4795096}" uniqueName="35" name="Rings Aban" queryTableFieldId="35"/>
    <tableColumn id="36" xr3:uid="{ECED6F14-0183-41FF-B8A5-126A989C09C5}" uniqueName="36" name="Site" queryTableFieldId="42" dataDxfId="8">
      <calculatedColumnFormula>LEFT(B2,3)</calculatedColumnFormula>
    </tableColumn>
    <tableColumn id="37" xr3:uid="{48F45AED-522A-43CD-BFD7-1E0391CAF251}" uniqueName="37" name="AgentName" queryTableFieldId="43" dataDxfId="7">
      <calculatedColumnFormula>TRIM(RIGHT(B2, LEN(B2)-3))</calculatedColumnFormula>
    </tableColumn>
    <tableColumn id="38" xr3:uid="{1A618781-C27F-4A9E-98BD-2F771033BECA}" uniqueName="38" name="Campaign2" queryTableFieldId="44" dataDxfId="6">
      <calculatedColumnFormula>_xlfn.XLOOKUP(Team_Report[[#This Row],[Team]],reference!B:B,reference!A:A)</calculatedColumnFormula>
    </tableColumn>
    <tableColumn id="39" xr3:uid="{23671978-4168-44F7-AFA8-15B9A6CAA90C}" uniqueName="39" name="Camp+Team" queryTableFieldId="45" dataDxfId="5">
      <calculatedColumnFormula>_xlfn.CONCAT(AL2,A2)</calculatedColumnFormula>
    </tableColumn>
    <tableColumn id="40" xr3:uid="{1A27D23B-1DB7-4DFE-9C5C-3207F86AC586}" uniqueName="40" name="Workflow" queryTableFieldId="46" dataDxfId="4">
      <calculatedColumnFormula>IFERROR(_xlfn.XLOOKUP(Team_Report[[#This Row],[Camp+Team]],reference!D:D,reference!C:C),"")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D988BD-E4E2-4733-8F4B-D691964E7EB7}" name="Campaign_Report" displayName="Campaign_Report" ref="A1:AM164" tableType="queryTable" totalsRowShown="0">
  <autoFilter ref="A1:AM164" xr:uid="{B7D988BD-E4E2-4733-8F4B-D691964E7EB7}"/>
  <tableColumns count="39">
    <tableColumn id="1" xr3:uid="{F0284B57-1248-4D06-ACE8-F5E81B19F87E}" uniqueName="1" name="Campaign" queryTableFieldId="1"/>
    <tableColumn id="2" xr3:uid="{BE3C153D-6FC1-4FD0-8E11-64C97D09D871}" uniqueName="2" name="Agent" queryTableFieldId="2"/>
    <tableColumn id="3" xr3:uid="{191AC835-5A77-4FCC-89B6-599192457270}" uniqueName="3" name="Agent Email" queryTableFieldId="3"/>
    <tableColumn id="4" xr3:uid="{BADB3ED4-A19B-4BD6-B932-6A59E3A50F99}" uniqueName="4" name="Calls" queryTableFieldId="4"/>
    <tableColumn id="5" xr3:uid="{A2832F38-A8DF-4117-9C92-DAED86166B49}" uniqueName="5" name="Calls/Hr" queryTableFieldId="5"/>
    <tableColumn id="6" xr3:uid="{9324AA5A-EAC4-4DB1-8B67-F3CA649110BF}" uniqueName="6" name="Talk" queryTableFieldId="6"/>
    <tableColumn id="7" xr3:uid="{77427012-2AF9-4ADA-B4BB-F67E90FB06F9}" uniqueName="7" name="Wrap Up" queryTableFieldId="7"/>
    <tableColumn id="8" xr3:uid="{7B99470A-7FD9-46AF-A30C-98EB4C91E077}" uniqueName="8" name="Conv" queryTableFieldId="8"/>
    <tableColumn id="9" xr3:uid="{81435A9C-3EBB-41AB-B95B-C4D719A8B6C2}" uniqueName="9" name="Conv %" queryTableFieldId="9"/>
    <tableColumn id="10" xr3:uid="{3F5AF8CD-CE49-4B23-A778-B6C7C9F180BA}" uniqueName="10" name="Conv/Hr" queryTableFieldId="10"/>
    <tableColumn id="11" xr3:uid="{7CDE7964-76EC-474F-BE1B-267AD2FF4914}" uniqueName="11" name="Points" queryTableFieldId="11"/>
    <tableColumn id="12" xr3:uid="{19BE1ACC-289B-4727-9D5C-63669A19065D}" uniqueName="12" name="Points/Hr" queryTableFieldId="12"/>
    <tableColumn id="13" xr3:uid="{E466B95E-13A3-4627-8EA7-494F65194160}" uniqueName="13" name="Logged In" queryTableFieldId="13"/>
    <tableColumn id="14" xr3:uid="{68242576-5566-48B0-ADA2-2304DB9F3D17}" uniqueName="14" name="Eff %" queryTableFieldId="14"/>
    <tableColumn id="15" xr3:uid="{04503A24-04A5-4531-A2D5-E36A59C3CAE6}" uniqueName="15" name="AAT" queryTableFieldId="15"/>
    <tableColumn id="16" xr3:uid="{1D457098-0425-4FE2-9E7E-555C4C99F039}" uniqueName="16" name="AHT" queryTableFieldId="16"/>
    <tableColumn id="17" xr3:uid="{14A94305-4652-4537-8D80-CA553171A11D}" uniqueName="17" name="ATT" queryTableFieldId="17"/>
    <tableColumn id="18" xr3:uid="{A9B8E1F4-6BEE-4755-9448-061855D4C761}" uniqueName="18" name="AWT" queryTableFieldId="18"/>
    <tableColumn id="19" xr3:uid="{516B47E0-0C10-43DD-A49B-CDBA053E8C58}" uniqueName="19" name="Administrative" queryTableFieldId="19"/>
    <tableColumn id="20" xr3:uid="{BEBE7DCE-29F4-4B26-A563-A501C65457B3}" uniqueName="20" name="Break" queryTableFieldId="20"/>
    <tableColumn id="21" xr3:uid="{74BCC2E8-720A-46AF-A0DB-54BDF5434242}" uniqueName="21" name="Coaching" queryTableFieldId="21"/>
    <tableColumn id="22" xr3:uid="{D741DDE0-933D-4F7F-B206-36C920FBA86D}" uniqueName="22" name="Unavailable" queryTableFieldId="22"/>
    <tableColumn id="23" xr3:uid="{63B17C8E-C060-4201-BD9E-FF03BF75218F}" uniqueName="23" name="QA Score" queryTableFieldId="23"/>
    <tableColumn id="24" xr3:uid="{61F92EFE-F7A7-4F61-A96E-7366F710CAA8}" uniqueName="24" name="Scorecards" queryTableFieldId="24"/>
    <tableColumn id="25" xr3:uid="{EA033AC2-DE4B-4149-8580-851E56B5E45F}" uniqueName="25" name="Passed" queryTableFieldId="25"/>
    <tableColumn id="26" xr3:uid="{F9EEF827-1DBA-41C8-B5C6-7F3D0FC03E1C}" uniqueName="26" name="Auto Fails" queryTableFieldId="26"/>
    <tableColumn id="27" xr3:uid="{5AB000DC-3A3C-41F7-8B4A-3BB556AF7D90}" uniqueName="27" name="Holds" queryTableFieldId="27"/>
    <tableColumn id="28" xr3:uid="{5C987E56-3358-45FC-9E81-3DF68D632DD3}" uniqueName="28" name="Hold" queryTableFieldId="28"/>
    <tableColumn id="29" xr3:uid="{9CD914C1-C65C-4869-BB8E-12DC5D021577}" uniqueName="29" name="Hold/Call" queryTableFieldId="29"/>
    <tableColumn id="30" xr3:uid="{69EC743E-3B86-442A-B872-9FABA01FCE6B}" uniqueName="30" name="Rings Tot" queryTableFieldId="30"/>
    <tableColumn id="31" xr3:uid="{DC1A12A0-4484-492A-9E2B-8DDC21E29DCE}" uniqueName="31" name="Rings Ans" queryTableFieldId="31"/>
    <tableColumn id="32" xr3:uid="{A3304E18-6B42-42A6-8C63-78E576809F7D}" uniqueName="32" name="Rings Decl" queryTableFieldId="32"/>
    <tableColumn id="33" xr3:uid="{14541479-E065-4EA5-8727-83037611297C}" uniqueName="33" name="Rings Timeout" queryTableFieldId="33"/>
    <tableColumn id="34" xr3:uid="{38404BE9-24C6-4743-9156-C69619A899EC}" uniqueName="34" name="Rings Miss" queryTableFieldId="34"/>
    <tableColumn id="35" xr3:uid="{9116A6A6-B08C-4E19-9BEF-2ABD3FC634B5}" uniqueName="35" name="Rings Aban" queryTableFieldId="35"/>
    <tableColumn id="36" xr3:uid="{6123C4DC-2ED8-49D1-8EA3-034BCCA9F44E}" uniqueName="36" name="Site" queryTableFieldId="40" dataDxfId="3">
      <calculatedColumnFormula>LEFT(B2,3)</calculatedColumnFormula>
    </tableColumn>
    <tableColumn id="37" xr3:uid="{9F9912F5-E102-4601-A544-14A7BB543115}" uniqueName="37" name="AgentName" queryTableFieldId="41" dataDxfId="2">
      <calculatedColumnFormula>TRIM(RIGHT(B2, LEN(B2)-3))</calculatedColumnFormula>
    </tableColumn>
    <tableColumn id="38" xr3:uid="{736CC4B7-C9FB-47D4-875D-41BD0B1A6824}" uniqueName="38" name="CampMatch" queryTableFieldId="42" dataDxfId="1">
      <calculatedColumnFormula>_xlfn.XLOOKUP(A2,reference!A:A,reference!D:D)</calculatedColumnFormula>
    </tableColumn>
    <tableColumn id="39" xr3:uid="{DE84D5FB-AE31-4DCD-A06A-F9E833524E45}" uniqueName="39" name="Workflow" queryTableFieldId="43" dataDxfId="0">
      <calculatedColumnFormula>IF(A2="AH-SnapHeld-Special Project - B",_xlfn.XLOOKUP(AK2,BP:BP,BO:BO),IF(_xlfn.XLOOKUP(AL2,reference!D:D,reference!C:C)=0,"",_xlfn.XLOOKUP(AL2,reference!D:D,reference!C:C)))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ookerstudio.google.com/reporting/a1804b46-0312-42b0-80a1-6e7beba696da/page/p_h766chu63c?s=gBBoE3MmLjg&amp;pli=1" TargetMode="External"/><Relationship Id="rId2" Type="http://schemas.openxmlformats.org/officeDocument/2006/relationships/hyperlink" Target="https://hbos.freshdesk.com/support/tickets/new" TargetMode="External"/><Relationship Id="rId1" Type="http://schemas.openxmlformats.org/officeDocument/2006/relationships/hyperlink" Target="https://adapthealthhelpdesk.freshservice.com/support/ticket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workbookViewId="0"/>
  </sheetViews>
  <sheetFormatPr defaultColWidth="12.6640625" defaultRowHeight="15.75" customHeight="1"/>
  <sheetData>
    <row r="1" spans="1:2">
      <c r="A1" s="1" t="s">
        <v>0</v>
      </c>
      <c r="B1" s="2" t="s">
        <v>1</v>
      </c>
    </row>
    <row r="2" spans="1:2">
      <c r="B2" s="2" t="s">
        <v>2</v>
      </c>
    </row>
    <row r="3" spans="1:2">
      <c r="A3" s="1" t="s">
        <v>3</v>
      </c>
      <c r="B3" s="2" t="s">
        <v>4</v>
      </c>
    </row>
  </sheetData>
  <hyperlinks>
    <hyperlink ref="B1" r:id="rId1" xr:uid="{00000000-0004-0000-0000-000000000000}"/>
    <hyperlink ref="B2" r:id="rId2" xr:uid="{00000000-0004-0000-0000-000001000000}"/>
    <hyperlink ref="B3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57"/>
  <sheetViews>
    <sheetView workbookViewId="0"/>
  </sheetViews>
  <sheetFormatPr defaultColWidth="12.6640625" defaultRowHeight="15.75" customHeight="1"/>
  <cols>
    <col min="1" max="1" width="20.6640625" customWidth="1"/>
    <col min="2" max="2" width="27" customWidth="1"/>
    <col min="14" max="14" width="14.6640625" customWidth="1"/>
    <col min="18" max="18" width="21.44140625" customWidth="1"/>
    <col min="23" max="23" width="12.6640625" hidden="1"/>
    <col min="24" max="24" width="16.33203125" customWidth="1"/>
    <col min="25" max="25" width="19.6640625" customWidth="1"/>
  </cols>
  <sheetData>
    <row r="1" spans="1:25" ht="15.75" customHeight="1">
      <c r="A1" s="3" t="s">
        <v>5</v>
      </c>
      <c r="B1" s="3" t="s">
        <v>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>
        <v>45547</v>
      </c>
      <c r="O1" s="5"/>
      <c r="P1" s="5"/>
      <c r="Q1" s="5"/>
      <c r="R1" s="6" t="s">
        <v>7</v>
      </c>
      <c r="S1" s="7" t="s">
        <v>8</v>
      </c>
      <c r="T1" s="7" t="s">
        <v>9</v>
      </c>
      <c r="U1" s="7" t="s">
        <v>10</v>
      </c>
      <c r="V1" s="7" t="s">
        <v>11</v>
      </c>
      <c r="W1" s="7"/>
      <c r="X1" s="7" t="s">
        <v>12</v>
      </c>
      <c r="Y1" s="8"/>
    </row>
    <row r="2" spans="1:25" ht="15.75" customHeight="1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10"/>
      <c r="O2" s="5"/>
      <c r="P2" s="5"/>
      <c r="Q2" s="5"/>
      <c r="R2" s="11" t="s">
        <v>26</v>
      </c>
      <c r="S2" s="12">
        <v>15</v>
      </c>
      <c r="T2" s="12">
        <v>1284</v>
      </c>
      <c r="U2" s="12">
        <v>2</v>
      </c>
      <c r="V2" s="12">
        <v>80</v>
      </c>
      <c r="W2" s="13"/>
      <c r="X2" s="14">
        <v>0.61</v>
      </c>
    </row>
    <row r="3" spans="1:25" ht="15.75" customHeight="1">
      <c r="A3" s="15" t="s">
        <v>27</v>
      </c>
      <c r="B3" s="16">
        <v>4</v>
      </c>
      <c r="C3" s="16">
        <v>25</v>
      </c>
      <c r="D3" s="16">
        <v>5</v>
      </c>
      <c r="E3" s="16">
        <v>24</v>
      </c>
      <c r="F3" s="16">
        <v>9</v>
      </c>
      <c r="G3" s="17"/>
      <c r="H3" s="17"/>
      <c r="I3" s="17"/>
      <c r="J3" s="17"/>
      <c r="K3" s="17"/>
      <c r="L3" s="17"/>
      <c r="M3" s="16">
        <v>67</v>
      </c>
      <c r="N3" s="18">
        <v>0.43280000000000002</v>
      </c>
      <c r="O3" s="5"/>
      <c r="P3" s="5"/>
      <c r="Q3" s="5"/>
      <c r="R3" s="11" t="s">
        <v>28</v>
      </c>
      <c r="S3" s="12">
        <v>15</v>
      </c>
      <c r="T3" s="12">
        <v>1021</v>
      </c>
      <c r="U3" s="12">
        <v>4</v>
      </c>
      <c r="V3" s="12">
        <v>32</v>
      </c>
      <c r="W3" s="13"/>
      <c r="X3" s="14">
        <v>0.44</v>
      </c>
    </row>
    <row r="4" spans="1:25" ht="15.75" customHeight="1">
      <c r="A4" s="15" t="s">
        <v>29</v>
      </c>
      <c r="B4" s="16">
        <v>7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6">
        <v>7</v>
      </c>
      <c r="N4" s="18">
        <v>1</v>
      </c>
      <c r="O4" s="5"/>
      <c r="P4" s="5"/>
      <c r="Q4" s="5"/>
      <c r="R4" s="11" t="s">
        <v>30</v>
      </c>
      <c r="S4" s="12">
        <v>20</v>
      </c>
      <c r="T4" s="12">
        <v>41</v>
      </c>
      <c r="U4" s="12">
        <v>1</v>
      </c>
      <c r="V4" s="12">
        <v>5</v>
      </c>
      <c r="W4" s="13"/>
      <c r="X4" s="19">
        <v>1</v>
      </c>
    </row>
    <row r="5" spans="1:25" ht="15.75" customHeight="1">
      <c r="A5" s="15" t="s">
        <v>31</v>
      </c>
      <c r="B5" s="16">
        <v>11</v>
      </c>
      <c r="C5" s="16">
        <v>6</v>
      </c>
      <c r="D5" s="17"/>
      <c r="E5" s="16">
        <v>1</v>
      </c>
      <c r="F5" s="17"/>
      <c r="G5" s="17"/>
      <c r="H5" s="17"/>
      <c r="I5" s="17"/>
      <c r="J5" s="17"/>
      <c r="K5" s="17"/>
      <c r="L5" s="17"/>
      <c r="M5" s="16">
        <v>18</v>
      </c>
      <c r="N5" s="18">
        <v>0.94440000000000002</v>
      </c>
      <c r="O5" s="5"/>
      <c r="P5" s="5"/>
      <c r="Q5" s="5"/>
      <c r="R5" s="11" t="s">
        <v>32</v>
      </c>
      <c r="S5" s="12">
        <v>17</v>
      </c>
      <c r="T5" s="12">
        <v>315</v>
      </c>
      <c r="U5" s="12">
        <v>2</v>
      </c>
      <c r="V5" s="12">
        <v>20</v>
      </c>
      <c r="W5" s="13"/>
      <c r="X5" s="19">
        <v>1</v>
      </c>
    </row>
    <row r="6" spans="1:25" ht="15.75" customHeight="1">
      <c r="A6" s="20" t="s">
        <v>33</v>
      </c>
      <c r="B6" s="16">
        <v>1547</v>
      </c>
      <c r="C6" s="16">
        <v>1604</v>
      </c>
      <c r="D6" s="16">
        <v>196</v>
      </c>
      <c r="E6" s="16">
        <v>348</v>
      </c>
      <c r="F6" s="16">
        <v>304</v>
      </c>
      <c r="G6" s="16">
        <v>482</v>
      </c>
      <c r="H6" s="16">
        <v>976</v>
      </c>
      <c r="I6" s="16">
        <v>701</v>
      </c>
      <c r="J6" s="16">
        <v>824</v>
      </c>
      <c r="K6" s="16">
        <v>470</v>
      </c>
      <c r="L6" s="16">
        <v>1</v>
      </c>
      <c r="M6" s="16">
        <v>7453</v>
      </c>
      <c r="N6" s="18">
        <v>0.42280000000000001</v>
      </c>
      <c r="O6" s="5"/>
      <c r="P6" s="5"/>
      <c r="Q6" s="5"/>
      <c r="R6" s="11" t="s">
        <v>34</v>
      </c>
      <c r="S6" s="12">
        <v>17</v>
      </c>
      <c r="T6" s="12">
        <v>176</v>
      </c>
      <c r="U6" s="12">
        <v>2</v>
      </c>
      <c r="V6" s="12">
        <v>11</v>
      </c>
      <c r="W6" s="13"/>
      <c r="X6" s="21">
        <v>0.94599999999999995</v>
      </c>
    </row>
    <row r="7" spans="1:25" ht="15.75" customHeight="1">
      <c r="A7" s="15" t="s">
        <v>35</v>
      </c>
      <c r="B7" s="16">
        <v>135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6">
        <v>135</v>
      </c>
      <c r="N7" s="18">
        <v>1</v>
      </c>
      <c r="O7" s="5"/>
      <c r="P7" s="5"/>
      <c r="Q7" s="5"/>
      <c r="R7" s="11" t="s">
        <v>36</v>
      </c>
      <c r="S7" s="12">
        <v>10</v>
      </c>
      <c r="T7" s="12">
        <v>0</v>
      </c>
      <c r="U7" s="13"/>
      <c r="V7" s="13"/>
      <c r="W7" s="13"/>
      <c r="X7" s="22" t="s">
        <v>37</v>
      </c>
    </row>
    <row r="8" spans="1:25" ht="15.75" customHeight="1">
      <c r="A8" s="15" t="s">
        <v>38</v>
      </c>
      <c r="B8" s="16">
        <v>96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6">
        <v>96</v>
      </c>
      <c r="N8" s="18">
        <v>1</v>
      </c>
      <c r="O8" s="5"/>
      <c r="P8" s="5"/>
      <c r="Q8" s="5"/>
      <c r="R8" s="11" t="s">
        <v>39</v>
      </c>
      <c r="S8" s="12">
        <v>20</v>
      </c>
      <c r="T8" s="12">
        <v>25</v>
      </c>
      <c r="U8" s="12">
        <v>5</v>
      </c>
      <c r="V8" s="12">
        <v>1</v>
      </c>
      <c r="W8" s="12">
        <v>1447</v>
      </c>
      <c r="X8" s="19">
        <v>1</v>
      </c>
    </row>
    <row r="9" spans="1:25" ht="15.75" customHeight="1">
      <c r="A9" s="20" t="s">
        <v>40</v>
      </c>
      <c r="B9" s="16">
        <v>1776</v>
      </c>
      <c r="C9" s="16">
        <v>636</v>
      </c>
      <c r="D9" s="16">
        <v>620</v>
      </c>
      <c r="E9" s="16">
        <v>242</v>
      </c>
      <c r="F9" s="16">
        <v>378</v>
      </c>
      <c r="G9" s="16">
        <v>467</v>
      </c>
      <c r="H9" s="16">
        <v>824</v>
      </c>
      <c r="I9" s="16">
        <v>554</v>
      </c>
      <c r="J9" s="16">
        <v>591</v>
      </c>
      <c r="K9" s="16">
        <v>375</v>
      </c>
      <c r="L9" s="17"/>
      <c r="M9" s="16">
        <v>6463</v>
      </c>
      <c r="N9" s="18">
        <v>0.37319999999999998</v>
      </c>
      <c r="O9" s="5"/>
      <c r="P9" s="5"/>
      <c r="Q9" s="5"/>
      <c r="R9" s="11" t="s">
        <v>41</v>
      </c>
      <c r="S9" s="12">
        <v>25</v>
      </c>
      <c r="T9" s="12">
        <v>145</v>
      </c>
      <c r="U9" s="12">
        <v>1</v>
      </c>
      <c r="V9" s="12">
        <v>18</v>
      </c>
      <c r="W9" s="13"/>
      <c r="X9" s="21">
        <v>0.93</v>
      </c>
    </row>
    <row r="10" spans="1:25" ht="15.75" customHeight="1">
      <c r="A10" s="15" t="s">
        <v>42</v>
      </c>
      <c r="B10" s="16">
        <v>213</v>
      </c>
      <c r="C10" s="16">
        <v>34</v>
      </c>
      <c r="D10" s="16">
        <v>9</v>
      </c>
      <c r="E10" s="16">
        <v>1</v>
      </c>
      <c r="F10" s="16">
        <v>7</v>
      </c>
      <c r="G10" s="17"/>
      <c r="H10" s="17"/>
      <c r="I10" s="17"/>
      <c r="J10" s="17"/>
      <c r="K10" s="17"/>
      <c r="L10" s="17"/>
      <c r="M10" s="16">
        <v>264</v>
      </c>
      <c r="N10" s="18">
        <v>0.93559999999999999</v>
      </c>
      <c r="O10" s="5"/>
      <c r="P10" s="5"/>
      <c r="Q10" s="5"/>
      <c r="R10" s="11" t="s">
        <v>43</v>
      </c>
      <c r="S10" s="12">
        <v>10</v>
      </c>
      <c r="T10" s="12">
        <v>20</v>
      </c>
      <c r="U10" s="12">
        <v>5</v>
      </c>
      <c r="V10" s="12">
        <v>1</v>
      </c>
      <c r="W10" s="13"/>
      <c r="X10" s="19">
        <v>1</v>
      </c>
    </row>
    <row r="11" spans="1:25" ht="15.75" customHeight="1">
      <c r="A11" s="15" t="s">
        <v>44</v>
      </c>
      <c r="B11" s="16">
        <v>7060</v>
      </c>
      <c r="C11" s="16">
        <v>3115</v>
      </c>
      <c r="D11" s="16">
        <v>3065</v>
      </c>
      <c r="E11" s="16">
        <v>3913</v>
      </c>
      <c r="F11" s="16">
        <v>5276</v>
      </c>
      <c r="G11" s="16">
        <v>2592</v>
      </c>
      <c r="H11" s="16">
        <v>85</v>
      </c>
      <c r="I11" s="16">
        <v>23</v>
      </c>
      <c r="J11" s="16">
        <v>13</v>
      </c>
      <c r="K11" s="16">
        <v>34</v>
      </c>
      <c r="L11" s="17"/>
      <c r="M11" s="16">
        <v>25176</v>
      </c>
      <c r="N11" s="18">
        <v>0.4042</v>
      </c>
      <c r="O11" s="5"/>
      <c r="P11" s="5"/>
      <c r="Q11" s="5"/>
      <c r="R11" s="11" t="s">
        <v>45</v>
      </c>
      <c r="S11" s="12">
        <v>25</v>
      </c>
      <c r="T11" s="12">
        <v>1</v>
      </c>
      <c r="U11" s="12">
        <v>5</v>
      </c>
      <c r="V11" s="12">
        <v>0</v>
      </c>
      <c r="W11" s="13"/>
      <c r="X11" s="19">
        <v>1</v>
      </c>
    </row>
    <row r="12" spans="1:25" ht="15.75" customHeight="1">
      <c r="A12" s="23" t="s">
        <v>25</v>
      </c>
      <c r="B12" s="24">
        <v>10849</v>
      </c>
      <c r="C12" s="24">
        <v>5420</v>
      </c>
      <c r="D12" s="24">
        <v>3895</v>
      </c>
      <c r="E12" s="24">
        <v>4529</v>
      </c>
      <c r="F12" s="24">
        <v>5974</v>
      </c>
      <c r="G12" s="24">
        <v>3541</v>
      </c>
      <c r="H12" s="24">
        <v>1885</v>
      </c>
      <c r="I12" s="24">
        <v>1278</v>
      </c>
      <c r="J12" s="24">
        <v>1428</v>
      </c>
      <c r="K12" s="24">
        <v>879</v>
      </c>
      <c r="L12" s="24">
        <v>1</v>
      </c>
      <c r="M12" s="24">
        <v>39679</v>
      </c>
      <c r="N12" s="18">
        <v>0.41</v>
      </c>
      <c r="O12" s="5"/>
      <c r="P12" s="5"/>
      <c r="Q12" s="5"/>
      <c r="R12" s="11" t="s">
        <v>42</v>
      </c>
      <c r="S12" s="12">
        <v>15</v>
      </c>
      <c r="T12" s="12">
        <v>23</v>
      </c>
      <c r="U12" s="12">
        <v>5</v>
      </c>
      <c r="V12" s="12">
        <v>1</v>
      </c>
      <c r="W12" s="13"/>
      <c r="X12" s="25">
        <v>0.94</v>
      </c>
    </row>
    <row r="13" spans="1:25" ht="15.75" customHeight="1">
      <c r="O13" s="5"/>
      <c r="P13" s="5"/>
      <c r="Q13" s="5"/>
      <c r="R13" s="11" t="s">
        <v>46</v>
      </c>
      <c r="S13" s="12">
        <v>6</v>
      </c>
      <c r="T13" s="12">
        <v>27</v>
      </c>
      <c r="U13" s="12">
        <v>1</v>
      </c>
      <c r="V13" s="12">
        <v>3</v>
      </c>
      <c r="W13" s="13"/>
      <c r="X13" s="13" t="s">
        <v>47</v>
      </c>
    </row>
    <row r="14" spans="1:25" ht="15.75" customHeight="1">
      <c r="O14" s="5"/>
      <c r="P14" s="5"/>
      <c r="Q14" s="5"/>
      <c r="R14" s="11" t="s">
        <v>48</v>
      </c>
      <c r="S14" s="12">
        <v>15</v>
      </c>
      <c r="T14" s="12">
        <v>80</v>
      </c>
      <c r="U14" s="12">
        <v>1</v>
      </c>
      <c r="V14" s="12">
        <v>10</v>
      </c>
      <c r="W14" s="13"/>
      <c r="X14" s="13" t="s">
        <v>47</v>
      </c>
    </row>
    <row r="15" spans="1:25" ht="15.75" customHeight="1">
      <c r="O15" s="5"/>
      <c r="P15" s="5"/>
      <c r="Q15" s="5"/>
      <c r="R15" s="11" t="s">
        <v>49</v>
      </c>
      <c r="S15" s="12">
        <v>12</v>
      </c>
      <c r="T15" s="12">
        <v>167</v>
      </c>
      <c r="U15" s="12">
        <v>3</v>
      </c>
      <c r="V15" s="12">
        <v>7</v>
      </c>
      <c r="W15" s="13"/>
      <c r="X15" s="26">
        <v>0.4</v>
      </c>
    </row>
    <row r="16" spans="1:25" ht="15.75" customHeight="1">
      <c r="A16" s="3" t="s">
        <v>5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27">
        <v>45547.208333333336</v>
      </c>
      <c r="O16" s="5"/>
      <c r="P16" s="5"/>
      <c r="Q16" s="5"/>
      <c r="R16" s="11" t="s">
        <v>50</v>
      </c>
      <c r="S16" s="12">
        <v>12</v>
      </c>
      <c r="T16" s="12">
        <v>0</v>
      </c>
      <c r="U16" s="12">
        <v>5</v>
      </c>
      <c r="V16" s="12">
        <v>1</v>
      </c>
      <c r="W16" s="12">
        <v>93</v>
      </c>
      <c r="X16" s="28">
        <v>0.73</v>
      </c>
    </row>
    <row r="17" spans="1:25" ht="15.75" customHeight="1">
      <c r="A17" s="9" t="s">
        <v>13</v>
      </c>
      <c r="B17" s="9" t="s">
        <v>14</v>
      </c>
      <c r="C17" s="9" t="s">
        <v>15</v>
      </c>
      <c r="D17" s="9" t="s">
        <v>16</v>
      </c>
      <c r="E17" s="9" t="s">
        <v>17</v>
      </c>
      <c r="F17" s="9" t="s">
        <v>18</v>
      </c>
      <c r="G17" s="9" t="s">
        <v>19</v>
      </c>
      <c r="H17" s="9" t="s">
        <v>20</v>
      </c>
      <c r="I17" s="9" t="s">
        <v>21</v>
      </c>
      <c r="J17" s="9" t="s">
        <v>22</v>
      </c>
      <c r="K17" s="9" t="s">
        <v>23</v>
      </c>
      <c r="L17" s="9" t="s">
        <v>24</v>
      </c>
      <c r="M17" s="9" t="s">
        <v>25</v>
      </c>
      <c r="N17" s="5"/>
      <c r="O17" s="5"/>
      <c r="P17" s="5"/>
      <c r="Q17" s="5"/>
      <c r="R17" s="11" t="s">
        <v>51</v>
      </c>
      <c r="S17" s="13"/>
      <c r="T17" s="12">
        <v>160</v>
      </c>
      <c r="U17" s="12">
        <v>5</v>
      </c>
      <c r="V17" s="12">
        <v>4</v>
      </c>
      <c r="W17" s="13"/>
      <c r="X17" s="19">
        <v>1</v>
      </c>
    </row>
    <row r="18" spans="1:25" ht="15.75" customHeight="1">
      <c r="A18" s="15" t="s">
        <v>27</v>
      </c>
      <c r="B18" s="16">
        <v>4</v>
      </c>
      <c r="C18" s="16">
        <v>25</v>
      </c>
      <c r="D18" s="16">
        <v>5</v>
      </c>
      <c r="E18" s="16">
        <v>24</v>
      </c>
      <c r="F18" s="16">
        <v>9</v>
      </c>
      <c r="G18" s="17"/>
      <c r="H18" s="17"/>
      <c r="I18" s="17"/>
      <c r="J18" s="17"/>
      <c r="K18" s="17"/>
      <c r="L18" s="17"/>
      <c r="M18" s="16">
        <v>67</v>
      </c>
      <c r="N18" s="18">
        <v>0.43280000000000002</v>
      </c>
      <c r="O18" s="5"/>
      <c r="P18" s="5"/>
      <c r="Q18" s="5"/>
      <c r="R18" s="11" t="s">
        <v>52</v>
      </c>
      <c r="S18" s="13"/>
      <c r="T18" s="12">
        <v>40</v>
      </c>
      <c r="U18" s="12">
        <v>5</v>
      </c>
      <c r="V18" s="12">
        <v>1</v>
      </c>
      <c r="W18" s="13"/>
      <c r="X18" s="19">
        <v>1</v>
      </c>
    </row>
    <row r="19" spans="1:25" ht="15.75" customHeight="1">
      <c r="A19" s="15" t="s">
        <v>29</v>
      </c>
      <c r="B19" s="16">
        <v>14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6">
        <v>14</v>
      </c>
      <c r="N19" s="18">
        <v>1</v>
      </c>
      <c r="O19" s="5"/>
      <c r="P19" s="5"/>
      <c r="Q19" s="5"/>
      <c r="R19" s="11" t="s">
        <v>53</v>
      </c>
      <c r="S19" s="13"/>
      <c r="T19" s="12">
        <v>40</v>
      </c>
      <c r="U19" s="12">
        <v>5</v>
      </c>
      <c r="V19" s="12">
        <v>1</v>
      </c>
      <c r="W19" s="13"/>
      <c r="X19" s="19">
        <v>1</v>
      </c>
    </row>
    <row r="20" spans="1:25" ht="15.75" customHeight="1">
      <c r="A20" s="15" t="s">
        <v>31</v>
      </c>
      <c r="B20" s="16">
        <v>9</v>
      </c>
      <c r="C20" s="16">
        <v>4</v>
      </c>
      <c r="D20" s="17"/>
      <c r="E20" s="16">
        <v>1</v>
      </c>
      <c r="F20" s="17"/>
      <c r="G20" s="17"/>
      <c r="H20" s="17"/>
      <c r="I20" s="17"/>
      <c r="J20" s="17"/>
      <c r="K20" s="17"/>
      <c r="L20" s="17"/>
      <c r="M20" s="16">
        <v>14</v>
      </c>
      <c r="N20" s="18">
        <v>0.92859999999999998</v>
      </c>
      <c r="O20" s="5"/>
      <c r="P20" s="5"/>
      <c r="Q20" s="5"/>
      <c r="R20" s="11" t="s">
        <v>54</v>
      </c>
      <c r="S20" s="13"/>
      <c r="T20" s="12">
        <v>160</v>
      </c>
      <c r="U20" s="12">
        <v>5</v>
      </c>
      <c r="V20" s="12">
        <v>4</v>
      </c>
      <c r="W20" s="13"/>
      <c r="X20" s="29">
        <v>1</v>
      </c>
      <c r="Y20" s="1" t="s">
        <v>55</v>
      </c>
    </row>
    <row r="21" spans="1:25" ht="15.75" customHeight="1">
      <c r="A21" s="15" t="s">
        <v>33</v>
      </c>
      <c r="B21" s="16">
        <v>1586</v>
      </c>
      <c r="C21" s="16">
        <v>1608</v>
      </c>
      <c r="D21" s="16">
        <v>196</v>
      </c>
      <c r="E21" s="16">
        <v>348</v>
      </c>
      <c r="F21" s="16">
        <v>304</v>
      </c>
      <c r="G21" s="16">
        <v>483</v>
      </c>
      <c r="H21" s="16">
        <v>976</v>
      </c>
      <c r="I21" s="16">
        <v>701</v>
      </c>
      <c r="J21" s="16">
        <v>824</v>
      </c>
      <c r="K21" s="16">
        <v>468</v>
      </c>
      <c r="L21" s="16">
        <v>1</v>
      </c>
      <c r="M21" s="16">
        <v>7495</v>
      </c>
      <c r="N21" s="18">
        <v>0.42620000000000002</v>
      </c>
      <c r="O21" s="5"/>
      <c r="P21" s="5"/>
      <c r="Q21" s="5"/>
      <c r="R21" s="11" t="s">
        <v>56</v>
      </c>
      <c r="S21" s="13"/>
      <c r="T21" s="12">
        <v>40</v>
      </c>
      <c r="U21" s="12">
        <v>5</v>
      </c>
      <c r="V21" s="12">
        <v>1</v>
      </c>
      <c r="W21" s="13"/>
      <c r="X21" s="19">
        <v>1</v>
      </c>
    </row>
    <row r="22" spans="1:25" ht="15.75" customHeight="1">
      <c r="A22" s="15" t="s">
        <v>35</v>
      </c>
      <c r="B22" s="16">
        <v>132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6">
        <v>132</v>
      </c>
      <c r="N22" s="18">
        <v>1</v>
      </c>
      <c r="O22" s="5"/>
      <c r="P22" s="5"/>
      <c r="Q22" s="5"/>
      <c r="R22" s="30" t="s">
        <v>57</v>
      </c>
      <c r="S22" s="13"/>
      <c r="T22" s="12">
        <v>20</v>
      </c>
      <c r="U22" s="12">
        <v>5</v>
      </c>
      <c r="V22" s="12">
        <v>0.5</v>
      </c>
      <c r="W22" s="13"/>
      <c r="X22" s="13"/>
    </row>
    <row r="23" spans="1:25" ht="15.75" customHeight="1">
      <c r="A23" s="15" t="s">
        <v>38</v>
      </c>
      <c r="B23" s="16">
        <v>89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6">
        <v>89</v>
      </c>
      <c r="N23" s="18">
        <v>1</v>
      </c>
      <c r="O23" s="5"/>
      <c r="P23" s="5"/>
      <c r="Q23" s="5"/>
      <c r="R23" s="11" t="s">
        <v>58</v>
      </c>
      <c r="S23" s="12">
        <v>10</v>
      </c>
      <c r="T23" s="12">
        <v>39</v>
      </c>
      <c r="U23" s="12">
        <v>5</v>
      </c>
      <c r="V23" s="12">
        <v>1</v>
      </c>
      <c r="W23" s="13"/>
      <c r="X23" s="19">
        <v>1</v>
      </c>
    </row>
    <row r="24" spans="1:25" ht="15.75" customHeight="1">
      <c r="A24" s="15" t="s">
        <v>40</v>
      </c>
      <c r="B24" s="16">
        <v>1853</v>
      </c>
      <c r="C24" s="16">
        <v>637</v>
      </c>
      <c r="D24" s="16">
        <v>620</v>
      </c>
      <c r="E24" s="16">
        <v>243</v>
      </c>
      <c r="F24" s="16">
        <v>379</v>
      </c>
      <c r="G24" s="16">
        <v>466</v>
      </c>
      <c r="H24" s="16">
        <v>824</v>
      </c>
      <c r="I24" s="16">
        <v>553</v>
      </c>
      <c r="J24" s="16">
        <v>591</v>
      </c>
      <c r="K24" s="16">
        <v>374</v>
      </c>
      <c r="L24" s="17"/>
      <c r="M24" s="16">
        <v>6540</v>
      </c>
      <c r="N24" s="18">
        <v>0.38069999999999998</v>
      </c>
      <c r="O24" s="5"/>
      <c r="P24" s="5"/>
      <c r="Q24" s="5"/>
      <c r="R24" s="11" t="s">
        <v>59</v>
      </c>
      <c r="S24" s="12">
        <v>6</v>
      </c>
      <c r="T24" s="12">
        <v>89</v>
      </c>
      <c r="U24" s="12">
        <v>1</v>
      </c>
      <c r="V24" s="12">
        <v>11</v>
      </c>
      <c r="W24" s="13"/>
      <c r="X24" s="19">
        <v>1</v>
      </c>
    </row>
    <row r="25" spans="1:25" ht="15.75" customHeight="1">
      <c r="A25" s="15" t="s">
        <v>42</v>
      </c>
      <c r="B25" s="16">
        <v>220</v>
      </c>
      <c r="C25" s="16">
        <v>34</v>
      </c>
      <c r="D25" s="16">
        <v>9</v>
      </c>
      <c r="E25" s="16">
        <v>1</v>
      </c>
      <c r="F25" s="16">
        <v>7</v>
      </c>
      <c r="G25" s="17"/>
      <c r="H25" s="17"/>
      <c r="I25" s="17"/>
      <c r="J25" s="17"/>
      <c r="K25" s="17"/>
      <c r="L25" s="17"/>
      <c r="M25" s="16">
        <v>271</v>
      </c>
      <c r="N25" s="18">
        <v>0.93730000000000002</v>
      </c>
      <c r="O25" s="5"/>
      <c r="P25" s="5"/>
      <c r="Q25" s="5"/>
      <c r="R25" s="11" t="s">
        <v>60</v>
      </c>
      <c r="S25" s="12">
        <v>20</v>
      </c>
      <c r="T25" s="12">
        <v>250</v>
      </c>
      <c r="U25" s="12">
        <v>22</v>
      </c>
      <c r="V25" s="12">
        <v>1</v>
      </c>
      <c r="W25" s="13"/>
      <c r="X25" s="14">
        <v>0.62519999999999998</v>
      </c>
    </row>
    <row r="26" spans="1:25" ht="15.75" customHeight="1">
      <c r="A26" s="15" t="s">
        <v>44</v>
      </c>
      <c r="B26" s="16">
        <v>7362</v>
      </c>
      <c r="C26" s="16">
        <v>2900</v>
      </c>
      <c r="D26" s="16">
        <v>2874</v>
      </c>
      <c r="E26" s="16">
        <v>3480</v>
      </c>
      <c r="F26" s="16">
        <v>5134</v>
      </c>
      <c r="G26" s="16">
        <v>2523</v>
      </c>
      <c r="H26" s="16">
        <v>84</v>
      </c>
      <c r="I26" s="16">
        <v>25</v>
      </c>
      <c r="J26" s="16">
        <v>14</v>
      </c>
      <c r="K26" s="16">
        <v>45</v>
      </c>
      <c r="L26" s="17"/>
      <c r="M26" s="16">
        <v>24441</v>
      </c>
      <c r="N26" s="18">
        <v>0.4199</v>
      </c>
      <c r="O26" s="5"/>
      <c r="P26" s="5"/>
      <c r="Q26" s="5"/>
      <c r="R26" s="11" t="s">
        <v>61</v>
      </c>
      <c r="S26" s="12">
        <v>20</v>
      </c>
      <c r="T26" s="12">
        <v>50</v>
      </c>
      <c r="U26" s="12">
        <v>1</v>
      </c>
      <c r="V26" s="12">
        <v>6</v>
      </c>
      <c r="W26" s="13"/>
      <c r="X26" s="13" t="s">
        <v>47</v>
      </c>
    </row>
    <row r="27" spans="1:25" ht="15.6">
      <c r="A27" s="23" t="s">
        <v>25</v>
      </c>
      <c r="B27" s="24">
        <v>11269</v>
      </c>
      <c r="C27" s="24">
        <v>5208</v>
      </c>
      <c r="D27" s="24">
        <v>3704</v>
      </c>
      <c r="E27" s="24">
        <v>4097</v>
      </c>
      <c r="F27" s="24">
        <v>5833</v>
      </c>
      <c r="G27" s="24">
        <v>3472</v>
      </c>
      <c r="H27" s="24">
        <v>1884</v>
      </c>
      <c r="I27" s="24">
        <v>1279</v>
      </c>
      <c r="J27" s="24">
        <v>1429</v>
      </c>
      <c r="K27" s="24">
        <v>887</v>
      </c>
      <c r="L27" s="24">
        <v>1</v>
      </c>
      <c r="M27" s="24">
        <v>39063</v>
      </c>
      <c r="N27" s="18">
        <v>0.42180000000000001</v>
      </c>
      <c r="O27" s="5"/>
      <c r="P27" s="5"/>
      <c r="Q27" s="5"/>
      <c r="R27" s="11" t="s">
        <v>62</v>
      </c>
      <c r="S27" s="12">
        <v>15</v>
      </c>
      <c r="T27" s="12">
        <v>40</v>
      </c>
      <c r="U27" s="12">
        <v>1</v>
      </c>
      <c r="V27" s="12">
        <v>5</v>
      </c>
      <c r="W27" s="13"/>
      <c r="X27" s="19">
        <v>1</v>
      </c>
    </row>
    <row r="28" spans="1:25" ht="15.6"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5" ht="15.6">
      <c r="A29" s="3" t="s">
        <v>5</v>
      </c>
      <c r="B29" s="3"/>
      <c r="C29" s="3" t="s">
        <v>63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1">
        <v>45548</v>
      </c>
      <c r="R29" s="1" t="s">
        <v>64</v>
      </c>
    </row>
    <row r="30" spans="1:25" ht="15.6">
      <c r="A30" s="9" t="s">
        <v>65</v>
      </c>
      <c r="B30" s="9" t="s">
        <v>66</v>
      </c>
      <c r="C30" s="9" t="s">
        <v>14</v>
      </c>
      <c r="D30" s="9" t="s">
        <v>15</v>
      </c>
      <c r="E30" s="9" t="s">
        <v>16</v>
      </c>
      <c r="F30" s="9" t="s">
        <v>17</v>
      </c>
      <c r="G30" s="9" t="s">
        <v>18</v>
      </c>
      <c r="H30" s="9" t="s">
        <v>19</v>
      </c>
      <c r="I30" s="9" t="s">
        <v>20</v>
      </c>
      <c r="J30" s="9" t="s">
        <v>21</v>
      </c>
      <c r="K30" s="9" t="s">
        <v>22</v>
      </c>
      <c r="L30" s="9" t="s">
        <v>23</v>
      </c>
      <c r="M30" s="9" t="s">
        <v>24</v>
      </c>
      <c r="N30" s="9" t="s">
        <v>25</v>
      </c>
      <c r="O30" s="32" t="s">
        <v>12</v>
      </c>
      <c r="R30" s="6" t="s">
        <v>7</v>
      </c>
      <c r="S30" s="6" t="s">
        <v>8</v>
      </c>
      <c r="T30" s="6" t="s">
        <v>9</v>
      </c>
      <c r="U30" s="6" t="s">
        <v>10</v>
      </c>
      <c r="V30" s="6" t="s">
        <v>11</v>
      </c>
      <c r="W30" s="6"/>
      <c r="X30" s="6" t="s">
        <v>12</v>
      </c>
    </row>
    <row r="31" spans="1:25" ht="15.6">
      <c r="A31" s="33" t="s">
        <v>27</v>
      </c>
      <c r="B31" s="5"/>
      <c r="C31" s="5"/>
      <c r="D31" s="34">
        <v>29</v>
      </c>
      <c r="E31" s="34">
        <v>4</v>
      </c>
      <c r="F31" s="34">
        <v>25</v>
      </c>
      <c r="G31" s="34">
        <v>9</v>
      </c>
      <c r="H31" s="5"/>
      <c r="I31" s="5"/>
      <c r="J31" s="5"/>
      <c r="K31" s="5"/>
      <c r="L31" s="5"/>
      <c r="M31" s="5"/>
      <c r="N31" s="34">
        <v>67</v>
      </c>
      <c r="O31" s="35">
        <v>0</v>
      </c>
      <c r="R31" s="36" t="s">
        <v>26</v>
      </c>
      <c r="S31" s="37">
        <v>15</v>
      </c>
      <c r="T31" s="37">
        <v>1284</v>
      </c>
      <c r="U31" s="37">
        <v>2</v>
      </c>
      <c r="V31" s="37">
        <v>80</v>
      </c>
      <c r="W31" s="36"/>
      <c r="X31" s="38">
        <v>0.56999999999999995</v>
      </c>
    </row>
    <row r="32" spans="1:25" ht="15.6">
      <c r="A32" s="33" t="s">
        <v>29</v>
      </c>
      <c r="B32" s="5" t="s">
        <v>67</v>
      </c>
      <c r="C32" s="34">
        <v>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34">
        <v>1</v>
      </c>
      <c r="O32" s="35">
        <v>1</v>
      </c>
      <c r="R32" s="36" t="s">
        <v>28</v>
      </c>
      <c r="S32" s="37">
        <v>15</v>
      </c>
      <c r="T32" s="37">
        <v>1021</v>
      </c>
      <c r="U32" s="37">
        <v>4</v>
      </c>
      <c r="V32" s="37">
        <v>32</v>
      </c>
      <c r="W32" s="36"/>
      <c r="X32" s="38">
        <v>0.44</v>
      </c>
    </row>
    <row r="33" spans="1:24" ht="15.6">
      <c r="A33" s="33" t="s">
        <v>35</v>
      </c>
      <c r="B33" s="5"/>
      <c r="C33" s="34">
        <v>184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34">
        <v>184</v>
      </c>
      <c r="O33" s="35">
        <v>1</v>
      </c>
      <c r="R33" s="36" t="s">
        <v>30</v>
      </c>
      <c r="S33" s="37">
        <v>20</v>
      </c>
      <c r="T33" s="37">
        <v>41</v>
      </c>
      <c r="U33" s="37">
        <v>1</v>
      </c>
      <c r="V33" s="37">
        <v>5</v>
      </c>
      <c r="W33" s="36"/>
      <c r="X33" s="38">
        <v>1</v>
      </c>
    </row>
    <row r="34" spans="1:24" ht="15.6">
      <c r="A34" s="33" t="s">
        <v>38</v>
      </c>
      <c r="B34" s="5"/>
      <c r="C34" s="34">
        <v>5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34">
        <v>5</v>
      </c>
      <c r="O34" s="35">
        <v>1</v>
      </c>
      <c r="R34" s="36" t="s">
        <v>32</v>
      </c>
      <c r="S34" s="37">
        <v>17</v>
      </c>
      <c r="T34" s="37">
        <v>315</v>
      </c>
      <c r="U34" s="37">
        <v>2</v>
      </c>
      <c r="V34" s="37">
        <v>20</v>
      </c>
      <c r="W34" s="36"/>
      <c r="X34" s="38">
        <v>0.95</v>
      </c>
    </row>
    <row r="35" spans="1:24" ht="15.6">
      <c r="A35" s="17" t="s">
        <v>31</v>
      </c>
      <c r="B35" s="5"/>
      <c r="C35" s="34">
        <v>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34">
        <v>5</v>
      </c>
      <c r="O35" s="39">
        <v>1</v>
      </c>
      <c r="R35" s="36" t="s">
        <v>34</v>
      </c>
      <c r="S35" s="37">
        <v>17</v>
      </c>
      <c r="T35" s="37">
        <v>176</v>
      </c>
      <c r="U35" s="37">
        <v>2</v>
      </c>
      <c r="V35" s="37">
        <v>11</v>
      </c>
      <c r="W35" s="36"/>
      <c r="X35" s="38"/>
    </row>
    <row r="36" spans="1:24" ht="15.6">
      <c r="A36" s="17" t="s">
        <v>33</v>
      </c>
      <c r="B36" s="5"/>
      <c r="C36" s="34">
        <v>1116</v>
      </c>
      <c r="D36" s="34">
        <v>1366</v>
      </c>
      <c r="E36" s="34">
        <v>955</v>
      </c>
      <c r="F36" s="34">
        <v>330</v>
      </c>
      <c r="G36" s="34">
        <v>317</v>
      </c>
      <c r="H36" s="34">
        <v>447</v>
      </c>
      <c r="I36" s="34">
        <v>1059</v>
      </c>
      <c r="J36" s="34">
        <v>669</v>
      </c>
      <c r="K36" s="34">
        <v>839</v>
      </c>
      <c r="L36" s="34">
        <v>485</v>
      </c>
      <c r="M36" s="34">
        <v>1</v>
      </c>
      <c r="N36" s="34">
        <v>7584</v>
      </c>
      <c r="O36" s="39">
        <v>0.33</v>
      </c>
      <c r="R36" s="36" t="s">
        <v>36</v>
      </c>
      <c r="S36" s="37">
        <v>10</v>
      </c>
      <c r="T36" s="37">
        <v>0</v>
      </c>
      <c r="U36" s="36"/>
      <c r="V36" s="36"/>
      <c r="W36" s="36"/>
      <c r="X36" s="40"/>
    </row>
    <row r="37" spans="1:24" ht="15.6">
      <c r="A37" s="17" t="s">
        <v>40</v>
      </c>
      <c r="B37" s="5"/>
      <c r="C37" s="34">
        <v>1412</v>
      </c>
      <c r="D37" s="34">
        <v>915</v>
      </c>
      <c r="E37" s="34">
        <v>869</v>
      </c>
      <c r="F37" s="34">
        <v>216</v>
      </c>
      <c r="G37" s="34">
        <v>375</v>
      </c>
      <c r="H37" s="34">
        <v>473</v>
      </c>
      <c r="I37" s="34">
        <v>872</v>
      </c>
      <c r="J37" s="34">
        <v>533</v>
      </c>
      <c r="K37" s="34">
        <v>595</v>
      </c>
      <c r="L37" s="34">
        <v>389</v>
      </c>
      <c r="M37" s="5"/>
      <c r="N37" s="34">
        <v>6649</v>
      </c>
      <c r="O37" s="39">
        <v>0.35</v>
      </c>
      <c r="R37" s="36" t="s">
        <v>39</v>
      </c>
      <c r="S37" s="37">
        <v>20</v>
      </c>
      <c r="T37" s="37">
        <v>25</v>
      </c>
      <c r="U37" s="37">
        <v>5</v>
      </c>
      <c r="V37" s="37">
        <v>1</v>
      </c>
      <c r="W37" s="37">
        <v>1447</v>
      </c>
      <c r="X37" s="38"/>
    </row>
    <row r="38" spans="1:24" ht="15.6">
      <c r="A38" s="17" t="s">
        <v>42</v>
      </c>
      <c r="B38" s="5"/>
      <c r="C38" s="34">
        <v>184</v>
      </c>
      <c r="D38" s="34">
        <v>74</v>
      </c>
      <c r="E38" s="34">
        <v>14</v>
      </c>
      <c r="F38" s="34">
        <v>2</v>
      </c>
      <c r="G38" s="34">
        <v>7</v>
      </c>
      <c r="H38" s="34">
        <v>1</v>
      </c>
      <c r="I38" s="5"/>
      <c r="J38" s="5"/>
      <c r="K38" s="5"/>
      <c r="L38" s="5"/>
      <c r="M38" s="5"/>
      <c r="N38" s="34">
        <v>282</v>
      </c>
      <c r="O38" s="39">
        <v>0.91</v>
      </c>
      <c r="R38" s="36" t="s">
        <v>41</v>
      </c>
      <c r="S38" s="37">
        <v>25</v>
      </c>
      <c r="T38" s="37">
        <v>145</v>
      </c>
      <c r="U38" s="37">
        <v>1</v>
      </c>
      <c r="V38" s="37">
        <v>18</v>
      </c>
      <c r="W38" s="36"/>
      <c r="X38" s="41">
        <v>0.77</v>
      </c>
    </row>
    <row r="39" spans="1:24" ht="15.6">
      <c r="A39" s="42" t="s">
        <v>44</v>
      </c>
      <c r="B39" s="5" t="s">
        <v>67</v>
      </c>
      <c r="C39" s="34">
        <v>319</v>
      </c>
      <c r="D39" s="34">
        <v>109</v>
      </c>
      <c r="E39" s="34">
        <v>31</v>
      </c>
      <c r="F39" s="34">
        <v>106</v>
      </c>
      <c r="G39" s="34">
        <v>263</v>
      </c>
      <c r="H39" s="34">
        <v>107</v>
      </c>
      <c r="I39" s="34">
        <v>19</v>
      </c>
      <c r="J39" s="5"/>
      <c r="K39" s="5"/>
      <c r="L39" s="5"/>
      <c r="M39" s="5"/>
      <c r="N39" s="34">
        <v>954</v>
      </c>
      <c r="O39" s="39">
        <v>0.45</v>
      </c>
      <c r="R39" s="36" t="s">
        <v>43</v>
      </c>
      <c r="S39" s="37">
        <v>10</v>
      </c>
      <c r="T39" s="37">
        <v>20</v>
      </c>
      <c r="U39" s="37">
        <v>5</v>
      </c>
      <c r="V39" s="37">
        <v>1</v>
      </c>
      <c r="W39" s="36"/>
      <c r="X39" s="38">
        <v>1</v>
      </c>
    </row>
    <row r="40" spans="1:24" ht="15.6">
      <c r="A40" s="42"/>
      <c r="B40" s="5" t="s">
        <v>68</v>
      </c>
      <c r="C40" s="34">
        <v>34</v>
      </c>
      <c r="D40" s="34">
        <v>2</v>
      </c>
      <c r="E40" s="34">
        <v>3</v>
      </c>
      <c r="F40" s="34">
        <v>1</v>
      </c>
      <c r="G40" s="34">
        <v>2</v>
      </c>
      <c r="H40" s="34">
        <v>4</v>
      </c>
      <c r="I40" s="5"/>
      <c r="J40" s="5"/>
      <c r="K40" s="5"/>
      <c r="L40" s="5"/>
      <c r="M40" s="5"/>
      <c r="N40" s="34">
        <v>46</v>
      </c>
      <c r="O40" s="39">
        <v>0.78</v>
      </c>
      <c r="R40" s="36" t="s">
        <v>45</v>
      </c>
      <c r="S40" s="37">
        <v>25</v>
      </c>
      <c r="T40" s="37">
        <v>1</v>
      </c>
      <c r="U40" s="37">
        <v>5</v>
      </c>
      <c r="V40" s="37">
        <v>0</v>
      </c>
      <c r="W40" s="36"/>
      <c r="X40" s="38">
        <v>1</v>
      </c>
    </row>
    <row r="41" spans="1:24" ht="15.6">
      <c r="A41" s="42"/>
      <c r="B41" s="5" t="s">
        <v>69</v>
      </c>
      <c r="C41" s="34">
        <v>800</v>
      </c>
      <c r="D41" s="34">
        <v>446</v>
      </c>
      <c r="E41" s="34">
        <v>83</v>
      </c>
      <c r="F41" s="34">
        <v>8</v>
      </c>
      <c r="G41" s="34">
        <v>12</v>
      </c>
      <c r="H41" s="34">
        <v>7</v>
      </c>
      <c r="I41" s="34">
        <v>1</v>
      </c>
      <c r="J41" s="5"/>
      <c r="K41" s="5"/>
      <c r="L41" s="5"/>
      <c r="M41" s="5"/>
      <c r="N41" s="34">
        <v>1357</v>
      </c>
      <c r="O41" s="39">
        <v>0.92</v>
      </c>
      <c r="R41" s="36" t="s">
        <v>42</v>
      </c>
      <c r="S41" s="37">
        <v>15</v>
      </c>
      <c r="T41" s="37">
        <v>23</v>
      </c>
      <c r="U41" s="37">
        <v>5</v>
      </c>
      <c r="V41" s="37">
        <v>1</v>
      </c>
      <c r="W41" s="36"/>
      <c r="X41" s="41"/>
    </row>
    <row r="42" spans="1:24" ht="15.6">
      <c r="A42" s="42"/>
      <c r="B42" s="5" t="s">
        <v>70</v>
      </c>
      <c r="C42" s="34">
        <v>863</v>
      </c>
      <c r="D42" s="34">
        <v>299</v>
      </c>
      <c r="E42" s="34">
        <v>44</v>
      </c>
      <c r="F42" s="34">
        <v>3</v>
      </c>
      <c r="G42" s="5"/>
      <c r="H42" s="5"/>
      <c r="I42" s="5"/>
      <c r="J42" s="5"/>
      <c r="K42" s="5"/>
      <c r="L42" s="5"/>
      <c r="M42" s="5"/>
      <c r="N42" s="34">
        <v>1209</v>
      </c>
      <c r="O42" s="39">
        <v>0.96</v>
      </c>
      <c r="R42" s="36" t="s">
        <v>46</v>
      </c>
      <c r="S42" s="37">
        <v>6</v>
      </c>
      <c r="T42" s="37">
        <v>27</v>
      </c>
      <c r="U42" s="37">
        <v>1</v>
      </c>
      <c r="V42" s="37">
        <v>3</v>
      </c>
      <c r="W42" s="36"/>
      <c r="X42" s="43"/>
    </row>
    <row r="43" spans="1:24" ht="15.6">
      <c r="A43" s="42"/>
      <c r="B43" s="5" t="s">
        <v>71</v>
      </c>
      <c r="C43" s="34">
        <v>2207</v>
      </c>
      <c r="D43" s="34">
        <v>456</v>
      </c>
      <c r="E43" s="34">
        <v>44</v>
      </c>
      <c r="F43" s="34">
        <v>127</v>
      </c>
      <c r="G43" s="34">
        <v>14</v>
      </c>
      <c r="H43" s="34">
        <v>4</v>
      </c>
      <c r="I43" s="5"/>
      <c r="J43" s="5"/>
      <c r="K43" s="5"/>
      <c r="L43" s="5"/>
      <c r="M43" s="5"/>
      <c r="N43" s="34">
        <v>2852</v>
      </c>
      <c r="O43" s="39">
        <v>0.93</v>
      </c>
      <c r="R43" s="36" t="s">
        <v>48</v>
      </c>
      <c r="S43" s="37">
        <v>15</v>
      </c>
      <c r="T43" s="37">
        <v>80</v>
      </c>
      <c r="U43" s="37">
        <v>1</v>
      </c>
      <c r="V43" s="37">
        <v>10</v>
      </c>
      <c r="W43" s="36"/>
      <c r="X43" s="43"/>
    </row>
    <row r="44" spans="1:24" ht="15.6">
      <c r="A44" s="42"/>
      <c r="B44" s="5" t="s">
        <v>72</v>
      </c>
      <c r="C44" s="34">
        <v>5105</v>
      </c>
      <c r="D44" s="34">
        <v>718</v>
      </c>
      <c r="E44" s="34">
        <v>1758</v>
      </c>
      <c r="F44" s="34">
        <v>1198</v>
      </c>
      <c r="G44" s="34">
        <v>3087</v>
      </c>
      <c r="H44" s="34">
        <v>4268</v>
      </c>
      <c r="I44" s="34">
        <v>107</v>
      </c>
      <c r="J44" s="5"/>
      <c r="K44" s="5"/>
      <c r="L44" s="5"/>
      <c r="M44" s="5"/>
      <c r="N44" s="34">
        <v>16241</v>
      </c>
      <c r="O44" s="39">
        <v>0.36</v>
      </c>
      <c r="R44" s="36" t="s">
        <v>49</v>
      </c>
      <c r="S44" s="37">
        <v>12</v>
      </c>
      <c r="T44" s="37">
        <v>167</v>
      </c>
      <c r="U44" s="37">
        <v>3</v>
      </c>
      <c r="V44" s="37">
        <v>7</v>
      </c>
      <c r="W44" s="36"/>
      <c r="X44" s="41">
        <v>0.9</v>
      </c>
    </row>
    <row r="45" spans="1:24" ht="15.6">
      <c r="A45" s="17"/>
      <c r="B45" s="5" t="s">
        <v>73</v>
      </c>
      <c r="C45" s="34">
        <v>51</v>
      </c>
      <c r="D45" s="34">
        <v>32</v>
      </c>
      <c r="E45" s="34">
        <v>10</v>
      </c>
      <c r="F45" s="34">
        <v>87</v>
      </c>
      <c r="G45" s="34">
        <v>85</v>
      </c>
      <c r="H45" s="34">
        <v>14</v>
      </c>
      <c r="I45" s="34">
        <v>13</v>
      </c>
      <c r="J45" s="34">
        <v>23</v>
      </c>
      <c r="K45" s="34">
        <v>13</v>
      </c>
      <c r="L45" s="34">
        <v>34</v>
      </c>
      <c r="M45" s="5"/>
      <c r="N45" s="34">
        <v>362</v>
      </c>
      <c r="O45" s="39">
        <v>0.23</v>
      </c>
      <c r="R45" s="36" t="s">
        <v>50</v>
      </c>
      <c r="S45" s="37">
        <v>12</v>
      </c>
      <c r="T45" s="37">
        <v>0</v>
      </c>
      <c r="U45" s="37">
        <v>5</v>
      </c>
      <c r="V45" s="37">
        <v>1</v>
      </c>
      <c r="W45" s="37">
        <v>93</v>
      </c>
      <c r="X45" s="41">
        <v>1</v>
      </c>
    </row>
    <row r="46" spans="1:24" ht="15.6">
      <c r="A46" s="44" t="s">
        <v>25</v>
      </c>
      <c r="B46" s="44"/>
      <c r="C46" s="24">
        <v>12286</v>
      </c>
      <c r="D46" s="24">
        <v>4446</v>
      </c>
      <c r="E46" s="24">
        <v>3815</v>
      </c>
      <c r="F46" s="24">
        <v>2103</v>
      </c>
      <c r="G46" s="24">
        <v>4171</v>
      </c>
      <c r="H46" s="24">
        <v>5325</v>
      </c>
      <c r="I46" s="24">
        <v>2071</v>
      </c>
      <c r="J46" s="24">
        <v>1225</v>
      </c>
      <c r="K46" s="24">
        <v>1447</v>
      </c>
      <c r="L46" s="24">
        <v>908</v>
      </c>
      <c r="M46" s="24">
        <v>1</v>
      </c>
      <c r="N46" s="24">
        <v>37798</v>
      </c>
      <c r="O46" s="39">
        <v>0.44</v>
      </c>
      <c r="R46" s="36" t="s">
        <v>51</v>
      </c>
      <c r="S46" s="36"/>
      <c r="T46" s="37">
        <v>160</v>
      </c>
      <c r="U46" s="37">
        <v>5</v>
      </c>
      <c r="V46" s="37">
        <v>4</v>
      </c>
      <c r="W46" s="36"/>
      <c r="X46" s="38">
        <v>1</v>
      </c>
    </row>
    <row r="47" spans="1:24" ht="13.2">
      <c r="R47" s="36" t="s">
        <v>52</v>
      </c>
      <c r="S47" s="36"/>
      <c r="T47" s="37">
        <v>40</v>
      </c>
      <c r="U47" s="37">
        <v>5</v>
      </c>
      <c r="V47" s="37">
        <v>1</v>
      </c>
      <c r="W47" s="36"/>
      <c r="X47" s="38">
        <v>1</v>
      </c>
    </row>
    <row r="48" spans="1:24" ht="15.6">
      <c r="A48" s="3" t="s">
        <v>5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1" t="s">
        <v>74</v>
      </c>
      <c r="R48" s="36" t="s">
        <v>53</v>
      </c>
      <c r="S48" s="36"/>
      <c r="T48" s="37">
        <v>40</v>
      </c>
      <c r="U48" s="37">
        <v>5</v>
      </c>
      <c r="V48" s="37">
        <v>1</v>
      </c>
      <c r="W48" s="36"/>
      <c r="X48" s="38">
        <v>1</v>
      </c>
    </row>
    <row r="49" spans="1:24" ht="15.6">
      <c r="A49" s="9" t="s">
        <v>13</v>
      </c>
      <c r="B49" s="9" t="s">
        <v>14</v>
      </c>
      <c r="C49" s="9" t="s">
        <v>15</v>
      </c>
      <c r="D49" s="9" t="s">
        <v>16</v>
      </c>
      <c r="E49" s="9" t="s">
        <v>17</v>
      </c>
      <c r="F49" s="9" t="s">
        <v>18</v>
      </c>
      <c r="G49" s="9" t="s">
        <v>19</v>
      </c>
      <c r="H49" s="9" t="s">
        <v>20</v>
      </c>
      <c r="I49" s="9" t="s">
        <v>21</v>
      </c>
      <c r="J49" s="9" t="s">
        <v>22</v>
      </c>
      <c r="K49" s="9" t="s">
        <v>23</v>
      </c>
      <c r="L49" s="9" t="s">
        <v>24</v>
      </c>
      <c r="M49" s="9" t="s">
        <v>25</v>
      </c>
      <c r="N49" s="5"/>
      <c r="R49" s="36" t="s">
        <v>54</v>
      </c>
      <c r="S49" s="36"/>
      <c r="T49" s="37">
        <v>160</v>
      </c>
      <c r="U49" s="37">
        <v>5</v>
      </c>
      <c r="V49" s="37">
        <v>4</v>
      </c>
      <c r="W49" s="36"/>
      <c r="X49" s="45">
        <v>1</v>
      </c>
    </row>
    <row r="50" spans="1:24" ht="15.6">
      <c r="A50" s="15" t="s">
        <v>27</v>
      </c>
      <c r="B50" s="17"/>
      <c r="C50" s="16">
        <v>29</v>
      </c>
      <c r="D50" s="16">
        <v>4</v>
      </c>
      <c r="E50" s="16">
        <v>25</v>
      </c>
      <c r="F50" s="16">
        <v>9</v>
      </c>
      <c r="G50" s="17"/>
      <c r="H50" s="17"/>
      <c r="I50" s="17"/>
      <c r="J50" s="17"/>
      <c r="K50" s="17"/>
      <c r="L50" s="17"/>
      <c r="M50" s="16">
        <v>67</v>
      </c>
      <c r="N50" s="18">
        <v>0.43280000000000002</v>
      </c>
      <c r="R50" s="36" t="s">
        <v>56</v>
      </c>
      <c r="S50" s="36"/>
      <c r="T50" s="37">
        <v>40</v>
      </c>
      <c r="U50" s="37">
        <v>5</v>
      </c>
      <c r="V50" s="37">
        <v>1</v>
      </c>
      <c r="W50" s="36"/>
      <c r="X50" s="38">
        <v>1</v>
      </c>
    </row>
    <row r="51" spans="1:24" ht="15.6">
      <c r="A51" s="15" t="s">
        <v>29</v>
      </c>
      <c r="B51" s="16">
        <v>6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6">
        <v>6</v>
      </c>
      <c r="N51" s="18">
        <v>1</v>
      </c>
      <c r="R51" s="36" t="s">
        <v>57</v>
      </c>
      <c r="S51" s="36"/>
      <c r="T51" s="37">
        <v>20</v>
      </c>
      <c r="U51" s="37">
        <v>5</v>
      </c>
      <c r="V51" s="37">
        <v>0.5</v>
      </c>
      <c r="W51" s="36"/>
      <c r="X51" s="43"/>
    </row>
    <row r="52" spans="1:24" ht="15.6">
      <c r="A52" s="15" t="s">
        <v>31</v>
      </c>
      <c r="B52" s="16">
        <v>5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6">
        <v>5</v>
      </c>
      <c r="N52" s="18">
        <v>1</v>
      </c>
      <c r="R52" s="36" t="s">
        <v>58</v>
      </c>
      <c r="S52" s="37">
        <v>10</v>
      </c>
      <c r="T52" s="37">
        <v>39</v>
      </c>
      <c r="U52" s="37">
        <v>5</v>
      </c>
      <c r="V52" s="37">
        <v>1</v>
      </c>
      <c r="W52" s="36"/>
      <c r="X52" s="38">
        <v>0.77</v>
      </c>
    </row>
    <row r="53" spans="1:24" ht="15.6">
      <c r="A53" s="15" t="s">
        <v>33</v>
      </c>
      <c r="B53" s="16">
        <v>1153</v>
      </c>
      <c r="C53" s="16">
        <v>1366</v>
      </c>
      <c r="D53" s="16">
        <v>960</v>
      </c>
      <c r="E53" s="16">
        <v>330</v>
      </c>
      <c r="F53" s="16">
        <v>317</v>
      </c>
      <c r="G53" s="16">
        <v>448</v>
      </c>
      <c r="H53" s="16">
        <v>1059</v>
      </c>
      <c r="I53" s="16">
        <v>669</v>
      </c>
      <c r="J53" s="16">
        <v>839</v>
      </c>
      <c r="K53" s="16">
        <v>485</v>
      </c>
      <c r="L53" s="16">
        <v>1</v>
      </c>
      <c r="M53" s="16">
        <v>7627</v>
      </c>
      <c r="N53" s="18">
        <v>0.33029999999999998</v>
      </c>
      <c r="R53" s="36" t="s">
        <v>59</v>
      </c>
      <c r="S53" s="37">
        <v>6</v>
      </c>
      <c r="T53" s="37">
        <v>89</v>
      </c>
      <c r="U53" s="37">
        <v>1</v>
      </c>
      <c r="V53" s="37">
        <v>11</v>
      </c>
      <c r="W53" s="36"/>
      <c r="X53" s="38">
        <v>0.74880000000000002</v>
      </c>
    </row>
    <row r="54" spans="1:24" ht="15.6">
      <c r="A54" s="15" t="s">
        <v>35</v>
      </c>
      <c r="B54" s="16">
        <v>139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6">
        <v>139</v>
      </c>
      <c r="N54" s="18">
        <v>1</v>
      </c>
      <c r="R54" s="36" t="s">
        <v>60</v>
      </c>
      <c r="S54" s="37">
        <v>20</v>
      </c>
      <c r="T54" s="37">
        <v>250</v>
      </c>
      <c r="U54" s="37">
        <v>22</v>
      </c>
      <c r="V54" s="37">
        <v>1</v>
      </c>
      <c r="W54" s="36"/>
      <c r="X54" s="38">
        <v>1</v>
      </c>
    </row>
    <row r="55" spans="1:24" ht="15.6">
      <c r="A55" s="15" t="s">
        <v>38</v>
      </c>
      <c r="B55" s="16">
        <v>12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6">
        <v>12</v>
      </c>
      <c r="N55" s="18">
        <v>1</v>
      </c>
      <c r="R55" s="36" t="s">
        <v>61</v>
      </c>
      <c r="S55" s="37">
        <v>20</v>
      </c>
      <c r="T55" s="37">
        <v>50</v>
      </c>
      <c r="U55" s="37">
        <v>1</v>
      </c>
      <c r="V55" s="37">
        <v>6</v>
      </c>
      <c r="W55" s="36"/>
      <c r="X55" s="43"/>
    </row>
    <row r="56" spans="1:24" ht="15.6">
      <c r="A56" s="15" t="s">
        <v>40</v>
      </c>
      <c r="B56" s="16">
        <v>1458</v>
      </c>
      <c r="C56" s="16">
        <v>916</v>
      </c>
      <c r="D56" s="16">
        <v>869</v>
      </c>
      <c r="E56" s="16">
        <v>217</v>
      </c>
      <c r="F56" s="16">
        <v>376</v>
      </c>
      <c r="G56" s="16">
        <v>473</v>
      </c>
      <c r="H56" s="16">
        <v>872</v>
      </c>
      <c r="I56" s="16">
        <v>533</v>
      </c>
      <c r="J56" s="16">
        <v>594</v>
      </c>
      <c r="K56" s="16">
        <v>389</v>
      </c>
      <c r="L56" s="17"/>
      <c r="M56" s="16">
        <v>6697</v>
      </c>
      <c r="N56" s="18">
        <v>0.35449999999999998</v>
      </c>
      <c r="R56" s="36" t="s">
        <v>62</v>
      </c>
      <c r="S56" s="37">
        <v>15</v>
      </c>
      <c r="T56" s="37">
        <v>40</v>
      </c>
      <c r="U56" s="37">
        <v>1</v>
      </c>
      <c r="V56" s="37">
        <v>5</v>
      </c>
      <c r="W56" s="36"/>
      <c r="X56" s="38"/>
    </row>
    <row r="57" spans="1:24" ht="15.6">
      <c r="A57" s="15" t="s">
        <v>42</v>
      </c>
      <c r="B57" s="16">
        <v>185</v>
      </c>
      <c r="C57" s="16">
        <v>73</v>
      </c>
      <c r="D57" s="16">
        <v>14</v>
      </c>
      <c r="E57" s="16">
        <v>2</v>
      </c>
      <c r="F57" s="16">
        <v>6</v>
      </c>
      <c r="G57" s="16">
        <v>1</v>
      </c>
      <c r="H57" s="17"/>
      <c r="I57" s="17"/>
      <c r="J57" s="17"/>
      <c r="K57" s="17"/>
      <c r="L57" s="17"/>
      <c r="M57" s="16">
        <v>281</v>
      </c>
      <c r="N57" s="18">
        <v>0.91810000000000003</v>
      </c>
    </row>
    <row r="58" spans="1:24" ht="15.6">
      <c r="A58" s="15" t="s">
        <v>44</v>
      </c>
      <c r="B58" s="16">
        <v>9336</v>
      </c>
      <c r="C58" s="16">
        <v>2020</v>
      </c>
      <c r="D58" s="16">
        <v>1945</v>
      </c>
      <c r="E58" s="16">
        <v>1454</v>
      </c>
      <c r="F58" s="16">
        <v>3414</v>
      </c>
      <c r="G58" s="16">
        <v>4074</v>
      </c>
      <c r="H58" s="16">
        <v>118</v>
      </c>
      <c r="I58" s="16">
        <v>24</v>
      </c>
      <c r="J58" s="16">
        <v>14</v>
      </c>
      <c r="K58" s="16">
        <v>44</v>
      </c>
      <c r="L58" s="17"/>
      <c r="M58" s="16">
        <v>22443</v>
      </c>
      <c r="N58" s="18">
        <v>0.50600000000000001</v>
      </c>
    </row>
    <row r="59" spans="1:24" ht="15.6">
      <c r="A59" s="23" t="s">
        <v>25</v>
      </c>
      <c r="B59" s="24">
        <v>12294</v>
      </c>
      <c r="C59" s="24">
        <v>4404</v>
      </c>
      <c r="D59" s="24">
        <v>3792</v>
      </c>
      <c r="E59" s="24">
        <v>2028</v>
      </c>
      <c r="F59" s="24">
        <v>4122</v>
      </c>
      <c r="G59" s="24">
        <v>4996</v>
      </c>
      <c r="H59" s="24">
        <v>2049</v>
      </c>
      <c r="I59" s="24">
        <v>1226</v>
      </c>
      <c r="J59" s="24">
        <v>1447</v>
      </c>
      <c r="K59" s="24">
        <v>918</v>
      </c>
      <c r="L59" s="24">
        <v>1</v>
      </c>
      <c r="M59" s="24">
        <v>37277</v>
      </c>
      <c r="N59" s="18">
        <v>0.44790000000000002</v>
      </c>
    </row>
    <row r="61" spans="1:24" ht="15.6">
      <c r="A61" s="3" t="s">
        <v>5</v>
      </c>
      <c r="B61" s="3" t="s">
        <v>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5" t="s">
        <v>75</v>
      </c>
    </row>
    <row r="62" spans="1:24" ht="15.6">
      <c r="A62" s="9" t="s">
        <v>13</v>
      </c>
      <c r="B62" s="9" t="s">
        <v>14</v>
      </c>
      <c r="C62" s="9" t="s">
        <v>15</v>
      </c>
      <c r="D62" s="9" t="s">
        <v>16</v>
      </c>
      <c r="E62" s="9" t="s">
        <v>17</v>
      </c>
      <c r="F62" s="9" t="s">
        <v>18</v>
      </c>
      <c r="G62" s="9" t="s">
        <v>19</v>
      </c>
      <c r="H62" s="9" t="s">
        <v>20</v>
      </c>
      <c r="I62" s="9" t="s">
        <v>21</v>
      </c>
      <c r="J62" s="9" t="s">
        <v>22</v>
      </c>
      <c r="K62" s="9" t="s">
        <v>23</v>
      </c>
      <c r="L62" s="9" t="s">
        <v>24</v>
      </c>
      <c r="M62" s="9" t="s">
        <v>25</v>
      </c>
      <c r="N62" s="5"/>
    </row>
    <row r="63" spans="1:24" ht="15.6">
      <c r="A63" s="15" t="s">
        <v>27</v>
      </c>
      <c r="B63" s="17"/>
      <c r="C63" s="16">
        <v>29</v>
      </c>
      <c r="D63" s="16">
        <v>4</v>
      </c>
      <c r="E63" s="16">
        <v>25</v>
      </c>
      <c r="F63" s="16">
        <v>9</v>
      </c>
      <c r="G63" s="17"/>
      <c r="H63" s="17"/>
      <c r="I63" s="17"/>
      <c r="J63" s="17"/>
      <c r="K63" s="17"/>
      <c r="L63" s="17"/>
      <c r="M63" s="16">
        <v>67</v>
      </c>
      <c r="N63" s="18">
        <v>0.43280000000000002</v>
      </c>
    </row>
    <row r="64" spans="1:24" ht="15.6">
      <c r="A64" s="15" t="s">
        <v>31</v>
      </c>
      <c r="B64" s="16">
        <v>5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6">
        <v>5</v>
      </c>
      <c r="N64" s="18">
        <v>1</v>
      </c>
    </row>
    <row r="65" spans="1:15" ht="15.6">
      <c r="A65" s="15" t="s">
        <v>33</v>
      </c>
      <c r="B65" s="16">
        <v>1200</v>
      </c>
      <c r="C65" s="16">
        <v>1366</v>
      </c>
      <c r="D65" s="16">
        <v>960</v>
      </c>
      <c r="E65" s="16">
        <v>330</v>
      </c>
      <c r="F65" s="16">
        <v>317</v>
      </c>
      <c r="G65" s="16">
        <v>448</v>
      </c>
      <c r="H65" s="16">
        <v>1059</v>
      </c>
      <c r="I65" s="16">
        <v>669</v>
      </c>
      <c r="J65" s="16">
        <v>839</v>
      </c>
      <c r="K65" s="16">
        <v>485</v>
      </c>
      <c r="L65" s="16">
        <v>1</v>
      </c>
      <c r="M65" s="16">
        <v>7674</v>
      </c>
      <c r="N65" s="18">
        <v>0.33439999999999998</v>
      </c>
    </row>
    <row r="66" spans="1:15" ht="15.6">
      <c r="A66" s="15" t="s">
        <v>35</v>
      </c>
      <c r="B66" s="16">
        <v>38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6">
        <v>38</v>
      </c>
      <c r="N66" s="18">
        <v>1</v>
      </c>
    </row>
    <row r="67" spans="1:15" ht="15.6">
      <c r="A67" s="15" t="s">
        <v>38</v>
      </c>
      <c r="B67" s="16">
        <v>9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6">
        <v>9</v>
      </c>
      <c r="N67" s="18">
        <v>1</v>
      </c>
    </row>
    <row r="68" spans="1:15" ht="15.6">
      <c r="A68" s="15" t="s">
        <v>40</v>
      </c>
      <c r="B68" s="16">
        <v>1568</v>
      </c>
      <c r="C68" s="16">
        <v>916</v>
      </c>
      <c r="D68" s="16">
        <v>869</v>
      </c>
      <c r="E68" s="16">
        <v>217</v>
      </c>
      <c r="F68" s="16">
        <v>376</v>
      </c>
      <c r="G68" s="16">
        <v>472</v>
      </c>
      <c r="H68" s="16">
        <v>872</v>
      </c>
      <c r="I68" s="16">
        <v>533</v>
      </c>
      <c r="J68" s="16">
        <v>594</v>
      </c>
      <c r="K68" s="16">
        <v>389</v>
      </c>
      <c r="L68" s="17"/>
      <c r="M68" s="16">
        <v>6806</v>
      </c>
      <c r="N68" s="18">
        <v>0.36499999999999999</v>
      </c>
    </row>
    <row r="69" spans="1:15" ht="15.6">
      <c r="A69" s="15" t="s">
        <v>42</v>
      </c>
      <c r="B69" s="16">
        <v>176</v>
      </c>
      <c r="C69" s="16">
        <v>71</v>
      </c>
      <c r="D69" s="16">
        <v>14</v>
      </c>
      <c r="E69" s="16">
        <v>2</v>
      </c>
      <c r="F69" s="16">
        <v>6</v>
      </c>
      <c r="G69" s="16">
        <v>1</v>
      </c>
      <c r="H69" s="17"/>
      <c r="I69" s="17"/>
      <c r="J69" s="17"/>
      <c r="K69" s="17"/>
      <c r="L69" s="17"/>
      <c r="M69" s="16">
        <v>270</v>
      </c>
      <c r="N69" s="18">
        <v>0.91479999999999995</v>
      </c>
    </row>
    <row r="70" spans="1:15" ht="15.6">
      <c r="A70" s="15" t="s">
        <v>44</v>
      </c>
      <c r="B70" s="16">
        <v>9385</v>
      </c>
      <c r="C70" s="16">
        <v>1983</v>
      </c>
      <c r="D70" s="16">
        <v>1845</v>
      </c>
      <c r="E70" s="16">
        <v>1391</v>
      </c>
      <c r="F70" s="16">
        <v>3203</v>
      </c>
      <c r="G70" s="16">
        <v>3692</v>
      </c>
      <c r="H70" s="16">
        <v>115</v>
      </c>
      <c r="I70" s="16">
        <v>24</v>
      </c>
      <c r="J70" s="16">
        <v>14</v>
      </c>
      <c r="K70" s="16">
        <v>44</v>
      </c>
      <c r="L70" s="17"/>
      <c r="M70" s="16">
        <v>21696</v>
      </c>
      <c r="N70" s="18">
        <v>0.52400000000000002</v>
      </c>
    </row>
    <row r="71" spans="1:15" ht="15.6">
      <c r="A71" s="23" t="s">
        <v>25</v>
      </c>
      <c r="B71" s="24">
        <v>12381</v>
      </c>
      <c r="C71" s="24">
        <v>4365</v>
      </c>
      <c r="D71" s="24">
        <v>3692</v>
      </c>
      <c r="E71" s="24">
        <v>1965</v>
      </c>
      <c r="F71" s="24">
        <v>3911</v>
      </c>
      <c r="G71" s="24">
        <v>4613</v>
      </c>
      <c r="H71" s="24">
        <v>2046</v>
      </c>
      <c r="I71" s="24">
        <v>1226</v>
      </c>
      <c r="J71" s="24">
        <v>1447</v>
      </c>
      <c r="K71" s="24">
        <v>918</v>
      </c>
      <c r="L71" s="24">
        <v>1</v>
      </c>
      <c r="M71" s="24">
        <v>36565</v>
      </c>
      <c r="N71" s="18">
        <v>0.45800000000000002</v>
      </c>
    </row>
    <row r="74" spans="1:15" ht="15.6">
      <c r="A74" s="3" t="s">
        <v>5</v>
      </c>
      <c r="B74" s="3"/>
      <c r="C74" s="3" t="s">
        <v>63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46">
        <v>45551</v>
      </c>
    </row>
    <row r="75" spans="1:15" ht="15.6">
      <c r="A75" s="9" t="s">
        <v>65</v>
      </c>
      <c r="B75" s="9" t="s">
        <v>66</v>
      </c>
      <c r="C75" s="9" t="s">
        <v>14</v>
      </c>
      <c r="D75" s="9" t="s">
        <v>15</v>
      </c>
      <c r="E75" s="9" t="s">
        <v>16</v>
      </c>
      <c r="F75" s="9" t="s">
        <v>17</v>
      </c>
      <c r="G75" s="9" t="s">
        <v>18</v>
      </c>
      <c r="H75" s="9" t="s">
        <v>19</v>
      </c>
      <c r="I75" s="9" t="s">
        <v>20</v>
      </c>
      <c r="J75" s="9" t="s">
        <v>21</v>
      </c>
      <c r="K75" s="9" t="s">
        <v>22</v>
      </c>
      <c r="L75" s="9" t="s">
        <v>23</v>
      </c>
      <c r="M75" s="9" t="s">
        <v>24</v>
      </c>
      <c r="N75" s="9" t="s">
        <v>25</v>
      </c>
      <c r="O75" s="32" t="s">
        <v>12</v>
      </c>
    </row>
    <row r="76" spans="1:15" ht="15.6">
      <c r="A76" s="47" t="s">
        <v>27</v>
      </c>
      <c r="B76" s="5"/>
      <c r="C76" s="34">
        <v>387</v>
      </c>
      <c r="D76" s="34">
        <v>4</v>
      </c>
      <c r="E76" s="34">
        <v>25</v>
      </c>
      <c r="F76" s="34">
        <v>5</v>
      </c>
      <c r="G76" s="34">
        <v>31</v>
      </c>
      <c r="H76" s="5"/>
      <c r="I76" s="5"/>
      <c r="J76" s="5"/>
      <c r="K76" s="5"/>
      <c r="L76" s="5"/>
      <c r="M76" s="5"/>
      <c r="N76" s="34">
        <v>452</v>
      </c>
      <c r="O76" s="48">
        <v>0.86</v>
      </c>
    </row>
    <row r="77" spans="1:15" ht="15.6">
      <c r="A77" s="47" t="s">
        <v>29</v>
      </c>
      <c r="B77" s="5"/>
      <c r="C77" s="34">
        <v>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34">
        <v>7</v>
      </c>
      <c r="O77" s="48">
        <v>1</v>
      </c>
    </row>
    <row r="78" spans="1:15" ht="15.6">
      <c r="A78" s="47" t="s">
        <v>35</v>
      </c>
      <c r="B78" s="5"/>
      <c r="C78" s="34">
        <v>249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34">
        <v>249</v>
      </c>
      <c r="O78" s="48">
        <v>1</v>
      </c>
    </row>
    <row r="79" spans="1:15" ht="15.6">
      <c r="A79" s="47" t="s">
        <v>38</v>
      </c>
      <c r="B79" s="5"/>
      <c r="C79" s="34">
        <v>15</v>
      </c>
      <c r="D79" s="34">
        <v>3</v>
      </c>
      <c r="E79" s="5"/>
      <c r="F79" s="5"/>
      <c r="G79" s="5"/>
      <c r="H79" s="5"/>
      <c r="I79" s="5"/>
      <c r="J79" s="5"/>
      <c r="K79" s="5"/>
      <c r="L79" s="5"/>
      <c r="M79" s="5"/>
      <c r="N79" s="34">
        <v>18</v>
      </c>
      <c r="O79" s="48">
        <v>0.83</v>
      </c>
    </row>
    <row r="80" spans="1:15" ht="15.6">
      <c r="A80" s="17" t="s">
        <v>31</v>
      </c>
      <c r="B80" s="5"/>
      <c r="C80" s="34">
        <v>71</v>
      </c>
      <c r="D80" s="34">
        <v>5</v>
      </c>
      <c r="E80" s="5"/>
      <c r="F80" s="5"/>
      <c r="G80" s="5"/>
      <c r="H80" s="5"/>
      <c r="I80" s="5"/>
      <c r="J80" s="5"/>
      <c r="K80" s="5"/>
      <c r="L80" s="5"/>
      <c r="M80" s="5"/>
      <c r="N80" s="34">
        <v>76</v>
      </c>
      <c r="O80" s="39">
        <v>1</v>
      </c>
    </row>
    <row r="81" spans="1:15" ht="15.6">
      <c r="A81" s="17" t="s">
        <v>33</v>
      </c>
      <c r="B81" s="5"/>
      <c r="C81" s="34">
        <v>591</v>
      </c>
      <c r="D81" s="34">
        <v>1521</v>
      </c>
      <c r="E81" s="34">
        <v>586</v>
      </c>
      <c r="F81" s="34">
        <v>851</v>
      </c>
      <c r="G81" s="34">
        <v>539</v>
      </c>
      <c r="H81" s="34">
        <v>378</v>
      </c>
      <c r="I81" s="34">
        <v>1063</v>
      </c>
      <c r="J81" s="34">
        <v>753</v>
      </c>
      <c r="K81" s="34">
        <v>828</v>
      </c>
      <c r="L81" s="34">
        <v>533</v>
      </c>
      <c r="M81" s="34">
        <v>1</v>
      </c>
      <c r="N81" s="34">
        <v>7644</v>
      </c>
      <c r="O81" s="39">
        <v>0.28000000000000003</v>
      </c>
    </row>
    <row r="82" spans="1:15" ht="15.6">
      <c r="A82" s="17" t="s">
        <v>40</v>
      </c>
      <c r="B82" s="5"/>
      <c r="C82" s="34">
        <v>529</v>
      </c>
      <c r="D82" s="34">
        <v>1762</v>
      </c>
      <c r="E82" s="34">
        <v>262</v>
      </c>
      <c r="F82" s="34">
        <v>719</v>
      </c>
      <c r="G82" s="34">
        <v>470</v>
      </c>
      <c r="H82" s="34">
        <v>401</v>
      </c>
      <c r="I82" s="34">
        <v>913</v>
      </c>
      <c r="J82" s="34">
        <v>616</v>
      </c>
      <c r="K82" s="34">
        <v>598</v>
      </c>
      <c r="L82" s="34">
        <v>408</v>
      </c>
      <c r="M82" s="5"/>
      <c r="N82" s="34">
        <v>6678</v>
      </c>
      <c r="O82" s="39">
        <v>0.34</v>
      </c>
    </row>
    <row r="83" spans="1:15" ht="15.6">
      <c r="A83" s="17" t="s">
        <v>42</v>
      </c>
      <c r="B83" s="5"/>
      <c r="C83" s="34">
        <v>55</v>
      </c>
      <c r="D83" s="34">
        <v>182</v>
      </c>
      <c r="E83" s="34">
        <v>5</v>
      </c>
      <c r="F83" s="34">
        <v>15</v>
      </c>
      <c r="G83" s="34">
        <v>4</v>
      </c>
      <c r="H83" s="34">
        <v>3</v>
      </c>
      <c r="I83" s="5"/>
      <c r="J83" s="5"/>
      <c r="K83" s="5"/>
      <c r="L83" s="5"/>
      <c r="M83" s="5"/>
      <c r="N83" s="34">
        <v>264</v>
      </c>
      <c r="O83" s="39">
        <v>0.9</v>
      </c>
    </row>
    <row r="84" spans="1:15" ht="15.6">
      <c r="A84" s="17" t="s">
        <v>44</v>
      </c>
      <c r="B84" s="5"/>
      <c r="C84" s="34">
        <v>8846</v>
      </c>
      <c r="D84" s="34">
        <v>9498</v>
      </c>
      <c r="E84" s="34">
        <v>923</v>
      </c>
      <c r="F84" s="34">
        <v>1787</v>
      </c>
      <c r="G84" s="34">
        <v>2748</v>
      </c>
      <c r="H84" s="34">
        <v>3496</v>
      </c>
      <c r="I84" s="34">
        <v>309</v>
      </c>
      <c r="J84" s="34">
        <v>18</v>
      </c>
      <c r="K84" s="34">
        <v>15</v>
      </c>
      <c r="L84" s="34">
        <v>35</v>
      </c>
      <c r="M84" s="5"/>
      <c r="N84" s="34">
        <v>27675</v>
      </c>
      <c r="O84" s="39">
        <v>0.66</v>
      </c>
    </row>
    <row r="85" spans="1:15" ht="15.6">
      <c r="A85" s="44" t="s">
        <v>25</v>
      </c>
      <c r="B85" s="44"/>
      <c r="C85" s="24">
        <v>10750</v>
      </c>
      <c r="D85" s="24">
        <v>12975</v>
      </c>
      <c r="E85" s="24">
        <v>1801</v>
      </c>
      <c r="F85" s="24">
        <v>3377</v>
      </c>
      <c r="G85" s="24">
        <v>3792</v>
      </c>
      <c r="H85" s="24">
        <v>4278</v>
      </c>
      <c r="I85" s="24">
        <v>2285</v>
      </c>
      <c r="J85" s="24">
        <v>1387</v>
      </c>
      <c r="K85" s="24">
        <v>1441</v>
      </c>
      <c r="L85" s="24">
        <v>976</v>
      </c>
      <c r="M85" s="24">
        <v>1</v>
      </c>
      <c r="N85" s="24">
        <v>43063</v>
      </c>
      <c r="O85" s="39">
        <v>0.55000000000000004</v>
      </c>
    </row>
    <row r="87" spans="1:15" ht="15.6">
      <c r="A87" s="3" t="s">
        <v>5</v>
      </c>
      <c r="B87" s="3" t="s">
        <v>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49">
        <v>45551.0625</v>
      </c>
    </row>
    <row r="88" spans="1:15" ht="15.6">
      <c r="A88" s="9" t="s">
        <v>13</v>
      </c>
      <c r="B88" s="9" t="s">
        <v>14</v>
      </c>
      <c r="C88" s="9" t="s">
        <v>15</v>
      </c>
      <c r="D88" s="9" t="s">
        <v>16</v>
      </c>
      <c r="E88" s="9" t="s">
        <v>17</v>
      </c>
      <c r="F88" s="9" t="s">
        <v>18</v>
      </c>
      <c r="G88" s="9" t="s">
        <v>19</v>
      </c>
      <c r="H88" s="9" t="s">
        <v>20</v>
      </c>
      <c r="I88" s="9" t="s">
        <v>21</v>
      </c>
      <c r="J88" s="9" t="s">
        <v>22</v>
      </c>
      <c r="K88" s="9" t="s">
        <v>23</v>
      </c>
      <c r="L88" s="9" t="s">
        <v>24</v>
      </c>
      <c r="M88" s="9" t="s">
        <v>25</v>
      </c>
      <c r="N88" s="50">
        <v>45551</v>
      </c>
    </row>
    <row r="89" spans="1:15" ht="15.6">
      <c r="A89" s="15" t="s">
        <v>27</v>
      </c>
      <c r="B89" s="16">
        <v>194</v>
      </c>
      <c r="C89" s="16">
        <v>4</v>
      </c>
      <c r="D89" s="16">
        <v>24</v>
      </c>
      <c r="E89" s="16">
        <v>5</v>
      </c>
      <c r="F89" s="16">
        <v>30</v>
      </c>
      <c r="G89" s="17"/>
      <c r="H89" s="17"/>
      <c r="I89" s="17"/>
      <c r="J89" s="17"/>
      <c r="K89" s="17"/>
      <c r="L89" s="17"/>
      <c r="M89" s="16">
        <v>257</v>
      </c>
      <c r="N89" s="39">
        <v>0.77</v>
      </c>
    </row>
    <row r="90" spans="1:15" ht="15.6">
      <c r="A90" s="15" t="s">
        <v>29</v>
      </c>
      <c r="B90" s="16">
        <v>22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6">
        <v>22</v>
      </c>
      <c r="N90" s="39">
        <v>1</v>
      </c>
    </row>
    <row r="91" spans="1:15" ht="15.6">
      <c r="A91" s="15" t="s">
        <v>31</v>
      </c>
      <c r="B91" s="16">
        <v>71</v>
      </c>
      <c r="C91" s="16">
        <v>5</v>
      </c>
      <c r="D91" s="17"/>
      <c r="E91" s="17"/>
      <c r="F91" s="17"/>
      <c r="G91" s="17"/>
      <c r="H91" s="17"/>
      <c r="I91" s="17"/>
      <c r="J91" s="17"/>
      <c r="K91" s="17"/>
      <c r="L91" s="17"/>
      <c r="M91" s="16">
        <v>76</v>
      </c>
      <c r="N91" s="39">
        <v>1</v>
      </c>
    </row>
    <row r="92" spans="1:15" ht="15.6">
      <c r="A92" s="15" t="s">
        <v>33</v>
      </c>
      <c r="B92" s="16">
        <v>677</v>
      </c>
      <c r="C92" s="16">
        <v>1488</v>
      </c>
      <c r="D92" s="16">
        <v>560</v>
      </c>
      <c r="E92" s="16">
        <v>818</v>
      </c>
      <c r="F92" s="16">
        <v>527</v>
      </c>
      <c r="G92" s="16">
        <v>370</v>
      </c>
      <c r="H92" s="16">
        <v>1058</v>
      </c>
      <c r="I92" s="16">
        <v>750</v>
      </c>
      <c r="J92" s="16">
        <v>828</v>
      </c>
      <c r="K92" s="16">
        <v>519</v>
      </c>
      <c r="L92" s="16">
        <v>1</v>
      </c>
      <c r="M92" s="16">
        <v>7596</v>
      </c>
      <c r="N92" s="39">
        <v>0.28999999999999998</v>
      </c>
    </row>
    <row r="93" spans="1:15" ht="15.6">
      <c r="A93" s="15" t="s">
        <v>35</v>
      </c>
      <c r="B93" s="16">
        <v>164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6">
        <v>164</v>
      </c>
      <c r="N93" s="39">
        <v>1</v>
      </c>
    </row>
    <row r="94" spans="1:15" ht="15.6">
      <c r="A94" s="15" t="s">
        <v>38</v>
      </c>
      <c r="B94" s="16">
        <v>44</v>
      </c>
      <c r="C94" s="16">
        <v>3</v>
      </c>
      <c r="D94" s="17"/>
      <c r="E94" s="17"/>
      <c r="F94" s="17"/>
      <c r="G94" s="17"/>
      <c r="H94" s="17"/>
      <c r="I94" s="17"/>
      <c r="J94" s="17"/>
      <c r="K94" s="17"/>
      <c r="L94" s="17"/>
      <c r="M94" s="16">
        <v>47</v>
      </c>
      <c r="N94" s="39">
        <v>1</v>
      </c>
    </row>
    <row r="95" spans="1:15" ht="15.6">
      <c r="A95" s="15" t="s">
        <v>40</v>
      </c>
      <c r="B95" s="16">
        <v>622</v>
      </c>
      <c r="C95" s="16">
        <v>1727</v>
      </c>
      <c r="D95" s="16">
        <v>253</v>
      </c>
      <c r="E95" s="16">
        <v>685</v>
      </c>
      <c r="F95" s="16">
        <v>449</v>
      </c>
      <c r="G95" s="16">
        <v>396</v>
      </c>
      <c r="H95" s="16">
        <v>896</v>
      </c>
      <c r="I95" s="16">
        <v>611</v>
      </c>
      <c r="J95" s="16">
        <v>596</v>
      </c>
      <c r="K95" s="16">
        <v>388</v>
      </c>
      <c r="L95" s="17"/>
      <c r="M95" s="16">
        <v>6623</v>
      </c>
      <c r="N95" s="39">
        <v>0.35</v>
      </c>
    </row>
    <row r="96" spans="1:15" ht="15.6">
      <c r="A96" s="15" t="s">
        <v>42</v>
      </c>
      <c r="B96" s="16">
        <v>69</v>
      </c>
      <c r="C96" s="16">
        <v>173</v>
      </c>
      <c r="D96" s="16">
        <v>5</v>
      </c>
      <c r="E96" s="16">
        <v>15</v>
      </c>
      <c r="F96" s="16">
        <v>4</v>
      </c>
      <c r="G96" s="16">
        <v>3</v>
      </c>
      <c r="H96" s="17"/>
      <c r="I96" s="17"/>
      <c r="J96" s="17"/>
      <c r="K96" s="17"/>
      <c r="L96" s="17"/>
      <c r="M96" s="16">
        <v>269</v>
      </c>
      <c r="N96" s="39">
        <v>0.9</v>
      </c>
    </row>
    <row r="97" spans="1:14" ht="15.6">
      <c r="A97" s="15" t="s">
        <v>44</v>
      </c>
      <c r="B97" s="16">
        <v>9226</v>
      </c>
      <c r="C97" s="16">
        <v>9212</v>
      </c>
      <c r="D97" s="16">
        <v>906</v>
      </c>
      <c r="E97" s="16">
        <v>1752</v>
      </c>
      <c r="F97" s="16">
        <v>2694</v>
      </c>
      <c r="G97" s="16">
        <v>3410</v>
      </c>
      <c r="H97" s="16">
        <v>290</v>
      </c>
      <c r="I97" s="16">
        <v>19</v>
      </c>
      <c r="J97" s="16">
        <v>17</v>
      </c>
      <c r="K97" s="16">
        <v>46</v>
      </c>
      <c r="L97" s="17"/>
      <c r="M97" s="16">
        <v>27572</v>
      </c>
      <c r="N97" s="39">
        <v>0.67</v>
      </c>
    </row>
    <row r="98" spans="1:14" ht="15.6">
      <c r="A98" s="23" t="s">
        <v>25</v>
      </c>
      <c r="B98" s="24">
        <v>11089</v>
      </c>
      <c r="C98" s="24">
        <v>12612</v>
      </c>
      <c r="D98" s="24">
        <v>1748</v>
      </c>
      <c r="E98" s="24">
        <v>3275</v>
      </c>
      <c r="F98" s="24">
        <v>3704</v>
      </c>
      <c r="G98" s="24">
        <v>4179</v>
      </c>
      <c r="H98" s="24">
        <v>2244</v>
      </c>
      <c r="I98" s="24">
        <v>1380</v>
      </c>
      <c r="J98" s="24">
        <v>1441</v>
      </c>
      <c r="K98" s="24">
        <v>953</v>
      </c>
      <c r="L98" s="24">
        <v>1</v>
      </c>
      <c r="M98" s="24">
        <v>42626</v>
      </c>
      <c r="N98" s="39">
        <v>0.56000000000000005</v>
      </c>
    </row>
    <row r="100" spans="1:14" ht="13.8">
      <c r="A100" s="51" t="s">
        <v>5</v>
      </c>
      <c r="B100" s="51" t="s">
        <v>6</v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</row>
    <row r="101" spans="1:14" ht="13.8">
      <c r="A101" s="52" t="s">
        <v>13</v>
      </c>
      <c r="B101" s="52" t="s">
        <v>14</v>
      </c>
      <c r="C101" s="52" t="s">
        <v>15</v>
      </c>
      <c r="D101" s="52" t="s">
        <v>16</v>
      </c>
      <c r="E101" s="52" t="s">
        <v>17</v>
      </c>
      <c r="F101" s="52" t="s">
        <v>18</v>
      </c>
      <c r="G101" s="52" t="s">
        <v>19</v>
      </c>
      <c r="H101" s="52" t="s">
        <v>20</v>
      </c>
      <c r="I101" s="52" t="s">
        <v>21</v>
      </c>
      <c r="J101" s="52" t="s">
        <v>22</v>
      </c>
      <c r="K101" s="52" t="s">
        <v>23</v>
      </c>
      <c r="L101" s="52" t="s">
        <v>24</v>
      </c>
      <c r="M101" s="52" t="s">
        <v>25</v>
      </c>
      <c r="N101" s="53">
        <v>45552</v>
      </c>
    </row>
    <row r="102" spans="1:14" ht="13.8">
      <c r="A102" s="54" t="s">
        <v>27</v>
      </c>
      <c r="B102" s="55">
        <v>9</v>
      </c>
      <c r="C102" s="55">
        <v>27</v>
      </c>
      <c r="D102" s="55">
        <v>4</v>
      </c>
      <c r="E102" s="55">
        <v>28</v>
      </c>
      <c r="F102" s="55">
        <v>24</v>
      </c>
      <c r="G102" s="55">
        <v>7</v>
      </c>
      <c r="H102" s="56"/>
      <c r="I102" s="56"/>
      <c r="J102" s="56"/>
      <c r="K102" s="56"/>
      <c r="L102" s="56"/>
      <c r="M102" s="55">
        <v>99</v>
      </c>
      <c r="N102" s="57">
        <v>0.36359999999999998</v>
      </c>
    </row>
    <row r="103" spans="1:14" ht="13.8">
      <c r="A103" s="54" t="s">
        <v>29</v>
      </c>
      <c r="B103" s="55">
        <v>2</v>
      </c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5">
        <v>2</v>
      </c>
      <c r="N103" s="57">
        <v>1</v>
      </c>
    </row>
    <row r="104" spans="1:14" ht="13.8">
      <c r="A104" s="54" t="s">
        <v>31</v>
      </c>
      <c r="B104" s="55">
        <v>3</v>
      </c>
      <c r="C104" s="55">
        <v>76</v>
      </c>
      <c r="D104" s="56"/>
      <c r="E104" s="56"/>
      <c r="F104" s="56"/>
      <c r="G104" s="56"/>
      <c r="H104" s="56"/>
      <c r="I104" s="56"/>
      <c r="J104" s="56"/>
      <c r="K104" s="56"/>
      <c r="L104" s="56"/>
      <c r="M104" s="55">
        <v>79</v>
      </c>
      <c r="N104" s="57">
        <v>1</v>
      </c>
    </row>
    <row r="105" spans="1:14" ht="13.8">
      <c r="A105" s="54" t="s">
        <v>33</v>
      </c>
      <c r="B105" s="55">
        <v>1492</v>
      </c>
      <c r="C105" s="55">
        <v>1124</v>
      </c>
      <c r="D105" s="55">
        <v>160</v>
      </c>
      <c r="E105" s="55">
        <v>743</v>
      </c>
      <c r="F105" s="55">
        <v>489</v>
      </c>
      <c r="G105" s="55">
        <v>395</v>
      </c>
      <c r="H105" s="55">
        <v>1032</v>
      </c>
      <c r="I105" s="55">
        <v>725</v>
      </c>
      <c r="J105" s="55">
        <v>841</v>
      </c>
      <c r="K105" s="55">
        <v>515</v>
      </c>
      <c r="L105" s="55">
        <v>1</v>
      </c>
      <c r="M105" s="55">
        <v>7517</v>
      </c>
      <c r="N105" s="57">
        <v>0.34799999999999998</v>
      </c>
    </row>
    <row r="106" spans="1:14" ht="13.8">
      <c r="A106" s="54" t="s">
        <v>35</v>
      </c>
      <c r="B106" s="55">
        <v>125</v>
      </c>
      <c r="C106" s="55">
        <v>1</v>
      </c>
      <c r="D106" s="56"/>
      <c r="E106" s="56"/>
      <c r="F106" s="56"/>
      <c r="G106" s="56"/>
      <c r="H106" s="56"/>
      <c r="I106" s="56"/>
      <c r="J106" s="56"/>
      <c r="K106" s="56"/>
      <c r="L106" s="56"/>
      <c r="M106" s="55">
        <v>126</v>
      </c>
      <c r="N106" s="57">
        <v>1</v>
      </c>
    </row>
    <row r="107" spans="1:14" ht="13.8">
      <c r="A107" s="54" t="s">
        <v>38</v>
      </c>
      <c r="B107" s="55">
        <v>2</v>
      </c>
      <c r="C107" s="55">
        <v>13</v>
      </c>
      <c r="D107" s="56"/>
      <c r="E107" s="56"/>
      <c r="F107" s="56"/>
      <c r="G107" s="56"/>
      <c r="H107" s="56"/>
      <c r="I107" s="56"/>
      <c r="J107" s="56"/>
      <c r="K107" s="56"/>
      <c r="L107" s="56"/>
      <c r="M107" s="55">
        <v>15</v>
      </c>
      <c r="N107" s="57">
        <v>1</v>
      </c>
    </row>
    <row r="108" spans="1:14" ht="13.8">
      <c r="A108" s="54" t="s">
        <v>40</v>
      </c>
      <c r="B108" s="55">
        <v>1021</v>
      </c>
      <c r="C108" s="55">
        <v>1398</v>
      </c>
      <c r="D108" s="55">
        <v>139</v>
      </c>
      <c r="E108" s="55">
        <v>660</v>
      </c>
      <c r="F108" s="55">
        <v>371</v>
      </c>
      <c r="G108" s="55">
        <v>449</v>
      </c>
      <c r="H108" s="55">
        <v>883</v>
      </c>
      <c r="I108" s="55">
        <v>562</v>
      </c>
      <c r="J108" s="55">
        <v>583</v>
      </c>
      <c r="K108" s="55">
        <v>385</v>
      </c>
      <c r="L108" s="56"/>
      <c r="M108" s="55">
        <v>6451</v>
      </c>
      <c r="N108" s="57">
        <v>0.375</v>
      </c>
    </row>
    <row r="109" spans="1:14" ht="13.8">
      <c r="A109" s="54" t="s">
        <v>42</v>
      </c>
      <c r="B109" s="55">
        <v>57</v>
      </c>
      <c r="C109" s="55">
        <v>157</v>
      </c>
      <c r="D109" s="55">
        <v>39</v>
      </c>
      <c r="E109" s="55">
        <v>15</v>
      </c>
      <c r="F109" s="55">
        <v>6</v>
      </c>
      <c r="G109" s="55">
        <v>3</v>
      </c>
      <c r="H109" s="56"/>
      <c r="I109" s="56"/>
      <c r="J109" s="56"/>
      <c r="K109" s="56"/>
      <c r="L109" s="56"/>
      <c r="M109" s="55">
        <v>277</v>
      </c>
      <c r="N109" s="57">
        <v>0.77259999999999995</v>
      </c>
    </row>
    <row r="110" spans="1:14" ht="13.8">
      <c r="A110" s="54" t="s">
        <v>44</v>
      </c>
      <c r="B110" s="55">
        <v>4214</v>
      </c>
      <c r="C110" s="55">
        <v>13820</v>
      </c>
      <c r="D110" s="55">
        <v>758</v>
      </c>
      <c r="E110" s="55">
        <v>2215</v>
      </c>
      <c r="F110" s="55">
        <v>2556</v>
      </c>
      <c r="G110" s="55">
        <v>3764</v>
      </c>
      <c r="H110" s="55">
        <v>288</v>
      </c>
      <c r="I110" s="55">
        <v>20</v>
      </c>
      <c r="J110" s="55">
        <v>15</v>
      </c>
      <c r="K110" s="55">
        <v>35</v>
      </c>
      <c r="L110" s="56"/>
      <c r="M110" s="55">
        <v>27685</v>
      </c>
      <c r="N110" s="57">
        <v>0.65139999999999998</v>
      </c>
    </row>
    <row r="111" spans="1:14" ht="13.8">
      <c r="A111" s="58" t="s">
        <v>25</v>
      </c>
      <c r="B111" s="59">
        <v>6925</v>
      </c>
      <c r="C111" s="59">
        <v>16616</v>
      </c>
      <c r="D111" s="59">
        <v>1100</v>
      </c>
      <c r="E111" s="59">
        <v>3661</v>
      </c>
      <c r="F111" s="59">
        <v>3446</v>
      </c>
      <c r="G111" s="59">
        <v>4618</v>
      </c>
      <c r="H111" s="59">
        <v>2203</v>
      </c>
      <c r="I111" s="59">
        <v>1307</v>
      </c>
      <c r="J111" s="59">
        <v>1439</v>
      </c>
      <c r="K111" s="59">
        <v>935</v>
      </c>
      <c r="L111" s="59">
        <v>1</v>
      </c>
      <c r="M111" s="59">
        <v>42251</v>
      </c>
      <c r="N111" s="60">
        <v>0.55720000000000003</v>
      </c>
    </row>
    <row r="113" spans="1:14" ht="13.8">
      <c r="A113" s="51" t="s">
        <v>5</v>
      </c>
      <c r="B113" s="51" t="s">
        <v>6</v>
      </c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61">
        <v>45552</v>
      </c>
    </row>
    <row r="114" spans="1:14" ht="13.8">
      <c r="A114" s="52" t="s">
        <v>13</v>
      </c>
      <c r="B114" s="52" t="s">
        <v>14</v>
      </c>
      <c r="C114" s="52" t="s">
        <v>15</v>
      </c>
      <c r="D114" s="52" t="s">
        <v>16</v>
      </c>
      <c r="E114" s="52" t="s">
        <v>17</v>
      </c>
      <c r="F114" s="52" t="s">
        <v>18</v>
      </c>
      <c r="G114" s="52" t="s">
        <v>19</v>
      </c>
      <c r="H114" s="52" t="s">
        <v>20</v>
      </c>
      <c r="I114" s="52" t="s">
        <v>21</v>
      </c>
      <c r="J114" s="52" t="s">
        <v>22</v>
      </c>
      <c r="K114" s="52" t="s">
        <v>23</v>
      </c>
      <c r="L114" s="52" t="s">
        <v>24</v>
      </c>
      <c r="M114" s="52" t="s">
        <v>25</v>
      </c>
      <c r="N114" s="62"/>
    </row>
    <row r="115" spans="1:14" ht="13.8">
      <c r="A115" s="54" t="s">
        <v>27</v>
      </c>
      <c r="B115" s="55">
        <v>9</v>
      </c>
      <c r="C115" s="55">
        <v>27</v>
      </c>
      <c r="D115" s="55">
        <v>4</v>
      </c>
      <c r="E115" s="55">
        <v>28</v>
      </c>
      <c r="F115" s="55">
        <v>24</v>
      </c>
      <c r="G115" s="55">
        <v>7</v>
      </c>
      <c r="H115" s="56"/>
      <c r="I115" s="56"/>
      <c r="J115" s="56"/>
      <c r="K115" s="56"/>
      <c r="L115" s="56"/>
      <c r="M115" s="55">
        <v>99</v>
      </c>
      <c r="N115" s="57">
        <v>0.36359999999999998</v>
      </c>
    </row>
    <row r="116" spans="1:14" ht="13.8">
      <c r="A116" s="54" t="s">
        <v>29</v>
      </c>
      <c r="B116" s="55">
        <v>2</v>
      </c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5">
        <v>2</v>
      </c>
      <c r="N116" s="57">
        <v>1</v>
      </c>
    </row>
    <row r="117" spans="1:14" ht="13.8">
      <c r="A117" s="54" t="s">
        <v>31</v>
      </c>
      <c r="B117" s="55">
        <v>3</v>
      </c>
      <c r="C117" s="55">
        <v>76</v>
      </c>
      <c r="D117" s="56"/>
      <c r="E117" s="56"/>
      <c r="F117" s="56"/>
      <c r="G117" s="56"/>
      <c r="H117" s="56"/>
      <c r="I117" s="56"/>
      <c r="J117" s="56"/>
      <c r="K117" s="56"/>
      <c r="L117" s="56"/>
      <c r="M117" s="55">
        <v>79</v>
      </c>
      <c r="N117" s="57">
        <v>1</v>
      </c>
    </row>
    <row r="118" spans="1:14" ht="13.8">
      <c r="A118" s="54" t="s">
        <v>33</v>
      </c>
      <c r="B118" s="55">
        <v>1492</v>
      </c>
      <c r="C118" s="55">
        <v>1124</v>
      </c>
      <c r="D118" s="55">
        <v>160</v>
      </c>
      <c r="E118" s="55">
        <v>743</v>
      </c>
      <c r="F118" s="55">
        <v>489</v>
      </c>
      <c r="G118" s="55">
        <v>395</v>
      </c>
      <c r="H118" s="55">
        <v>1032</v>
      </c>
      <c r="I118" s="55">
        <v>725</v>
      </c>
      <c r="J118" s="55">
        <v>841</v>
      </c>
      <c r="K118" s="55">
        <v>515</v>
      </c>
      <c r="L118" s="55">
        <v>1</v>
      </c>
      <c r="M118" s="55">
        <v>7517</v>
      </c>
      <c r="N118" s="57">
        <v>0.34799999999999998</v>
      </c>
    </row>
    <row r="119" spans="1:14" ht="13.8">
      <c r="A119" s="54" t="s">
        <v>35</v>
      </c>
      <c r="B119" s="55">
        <v>125</v>
      </c>
      <c r="C119" s="55">
        <v>1</v>
      </c>
      <c r="D119" s="56"/>
      <c r="E119" s="56"/>
      <c r="F119" s="56"/>
      <c r="G119" s="56"/>
      <c r="H119" s="56"/>
      <c r="I119" s="56"/>
      <c r="J119" s="56"/>
      <c r="K119" s="56"/>
      <c r="L119" s="56"/>
      <c r="M119" s="55">
        <v>126</v>
      </c>
      <c r="N119" s="57">
        <v>1</v>
      </c>
    </row>
    <row r="120" spans="1:14" ht="13.8">
      <c r="A120" s="54" t="s">
        <v>38</v>
      </c>
      <c r="B120" s="55">
        <v>2</v>
      </c>
      <c r="C120" s="55">
        <v>13</v>
      </c>
      <c r="D120" s="56"/>
      <c r="E120" s="56"/>
      <c r="F120" s="56"/>
      <c r="G120" s="56"/>
      <c r="H120" s="56"/>
      <c r="I120" s="56"/>
      <c r="J120" s="56"/>
      <c r="K120" s="56"/>
      <c r="L120" s="56"/>
      <c r="M120" s="55">
        <v>15</v>
      </c>
      <c r="N120" s="57">
        <v>1</v>
      </c>
    </row>
    <row r="121" spans="1:14" ht="13.8">
      <c r="A121" s="54" t="s">
        <v>40</v>
      </c>
      <c r="B121" s="55">
        <v>1021</v>
      </c>
      <c r="C121" s="55">
        <v>1398</v>
      </c>
      <c r="D121" s="55">
        <v>139</v>
      </c>
      <c r="E121" s="55">
        <v>660</v>
      </c>
      <c r="F121" s="55">
        <v>371</v>
      </c>
      <c r="G121" s="55">
        <v>449</v>
      </c>
      <c r="H121" s="55">
        <v>883</v>
      </c>
      <c r="I121" s="55">
        <v>562</v>
      </c>
      <c r="J121" s="55">
        <v>583</v>
      </c>
      <c r="K121" s="55">
        <v>385</v>
      </c>
      <c r="L121" s="56"/>
      <c r="M121" s="55">
        <v>6451</v>
      </c>
      <c r="N121" s="57">
        <v>0.375</v>
      </c>
    </row>
    <row r="122" spans="1:14" ht="13.8">
      <c r="A122" s="54" t="s">
        <v>42</v>
      </c>
      <c r="B122" s="55">
        <v>57</v>
      </c>
      <c r="C122" s="55">
        <v>157</v>
      </c>
      <c r="D122" s="55">
        <v>39</v>
      </c>
      <c r="E122" s="55">
        <v>15</v>
      </c>
      <c r="F122" s="55">
        <v>6</v>
      </c>
      <c r="G122" s="55">
        <v>3</v>
      </c>
      <c r="H122" s="56"/>
      <c r="I122" s="56"/>
      <c r="J122" s="56"/>
      <c r="K122" s="56"/>
      <c r="L122" s="56"/>
      <c r="M122" s="55">
        <v>277</v>
      </c>
      <c r="N122" s="57">
        <v>0.77259999999999995</v>
      </c>
    </row>
    <row r="123" spans="1:14" ht="13.8">
      <c r="A123" s="54" t="s">
        <v>44</v>
      </c>
      <c r="B123" s="55">
        <v>4214</v>
      </c>
      <c r="C123" s="55">
        <v>13820</v>
      </c>
      <c r="D123" s="55">
        <v>758</v>
      </c>
      <c r="E123" s="55">
        <v>2215</v>
      </c>
      <c r="F123" s="55">
        <v>2556</v>
      </c>
      <c r="G123" s="55">
        <v>3764</v>
      </c>
      <c r="H123" s="55">
        <v>288</v>
      </c>
      <c r="I123" s="55">
        <v>20</v>
      </c>
      <c r="J123" s="55">
        <v>15</v>
      </c>
      <c r="K123" s="55">
        <v>35</v>
      </c>
      <c r="L123" s="56"/>
      <c r="M123" s="55">
        <v>27685</v>
      </c>
      <c r="N123" s="57">
        <v>0.65139999999999998</v>
      </c>
    </row>
    <row r="124" spans="1:14" ht="13.8">
      <c r="A124" s="58" t="s">
        <v>25</v>
      </c>
      <c r="B124" s="59">
        <v>6925</v>
      </c>
      <c r="C124" s="59">
        <v>16616</v>
      </c>
      <c r="D124" s="59">
        <v>1100</v>
      </c>
      <c r="E124" s="59">
        <v>3661</v>
      </c>
      <c r="F124" s="59">
        <v>3446</v>
      </c>
      <c r="G124" s="59">
        <v>4618</v>
      </c>
      <c r="H124" s="59">
        <v>2203</v>
      </c>
      <c r="I124" s="59">
        <v>1307</v>
      </c>
      <c r="J124" s="59">
        <v>1439</v>
      </c>
      <c r="K124" s="59">
        <v>935</v>
      </c>
      <c r="L124" s="59">
        <v>1</v>
      </c>
      <c r="M124" s="59">
        <v>42251</v>
      </c>
      <c r="N124" s="57">
        <v>0.55720000000000003</v>
      </c>
    </row>
    <row r="126" spans="1:14" ht="15.6">
      <c r="A126" s="3" t="s">
        <v>5</v>
      </c>
      <c r="B126" s="3" t="s">
        <v>6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49">
        <v>45552.520833333336</v>
      </c>
    </row>
    <row r="127" spans="1:14" ht="15.6">
      <c r="A127" s="9" t="s">
        <v>13</v>
      </c>
      <c r="B127" s="9" t="s">
        <v>14</v>
      </c>
      <c r="C127" s="9" t="s">
        <v>15</v>
      </c>
      <c r="D127" s="9" t="s">
        <v>16</v>
      </c>
      <c r="E127" s="9" t="s">
        <v>17</v>
      </c>
      <c r="F127" s="9" t="s">
        <v>18</v>
      </c>
      <c r="G127" s="9" t="s">
        <v>19</v>
      </c>
      <c r="H127" s="9" t="s">
        <v>20</v>
      </c>
      <c r="I127" s="9" t="s">
        <v>21</v>
      </c>
      <c r="J127" s="9" t="s">
        <v>22</v>
      </c>
      <c r="K127" s="9" t="s">
        <v>23</v>
      </c>
      <c r="L127" s="9" t="s">
        <v>25</v>
      </c>
      <c r="M127" s="5"/>
    </row>
    <row r="128" spans="1:14" ht="15.6">
      <c r="A128" s="15" t="s">
        <v>27</v>
      </c>
      <c r="B128" s="17"/>
      <c r="C128" s="16">
        <v>23</v>
      </c>
      <c r="D128" s="16">
        <v>4</v>
      </c>
      <c r="E128" s="16">
        <v>28</v>
      </c>
      <c r="F128" s="16">
        <v>24</v>
      </c>
      <c r="G128" s="16">
        <v>7</v>
      </c>
      <c r="H128" s="17"/>
      <c r="I128" s="17"/>
      <c r="J128" s="17"/>
      <c r="K128" s="17"/>
      <c r="L128" s="16">
        <v>86</v>
      </c>
      <c r="M128" s="18">
        <v>0.26740000000000003</v>
      </c>
    </row>
    <row r="129" spans="1:15" ht="15.6">
      <c r="A129" s="15" t="s">
        <v>29</v>
      </c>
      <c r="B129" s="16">
        <v>11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6">
        <v>11</v>
      </c>
      <c r="M129" s="18">
        <v>1</v>
      </c>
    </row>
    <row r="130" spans="1:15" ht="15.6">
      <c r="A130" s="15" t="s">
        <v>31</v>
      </c>
      <c r="B130" s="16">
        <v>3</v>
      </c>
      <c r="C130" s="16">
        <v>76</v>
      </c>
      <c r="D130" s="17"/>
      <c r="E130" s="17"/>
      <c r="F130" s="17"/>
      <c r="G130" s="17"/>
      <c r="H130" s="17"/>
      <c r="I130" s="17"/>
      <c r="J130" s="17"/>
      <c r="K130" s="17"/>
      <c r="L130" s="16">
        <v>79</v>
      </c>
      <c r="M130" s="18">
        <v>1</v>
      </c>
    </row>
    <row r="131" spans="1:15" ht="15.6">
      <c r="A131" s="15" t="s">
        <v>33</v>
      </c>
      <c r="B131" s="16">
        <v>1587</v>
      </c>
      <c r="C131" s="16">
        <v>1064</v>
      </c>
      <c r="D131" s="16">
        <v>155</v>
      </c>
      <c r="E131" s="16">
        <v>721</v>
      </c>
      <c r="F131" s="16">
        <v>480</v>
      </c>
      <c r="G131" s="16">
        <v>383</v>
      </c>
      <c r="H131" s="16">
        <v>1022</v>
      </c>
      <c r="I131" s="16">
        <v>724</v>
      </c>
      <c r="J131" s="16">
        <v>841</v>
      </c>
      <c r="K131" s="16">
        <v>514</v>
      </c>
      <c r="L131" s="16">
        <v>7491</v>
      </c>
      <c r="M131" s="18">
        <v>0.35389999999999999</v>
      </c>
    </row>
    <row r="132" spans="1:15" ht="15.6">
      <c r="A132" s="15" t="s">
        <v>35</v>
      </c>
      <c r="B132" s="16">
        <v>48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6">
        <v>48</v>
      </c>
      <c r="M132" s="18">
        <v>1</v>
      </c>
    </row>
    <row r="133" spans="1:15" ht="15.6">
      <c r="A133" s="15" t="s">
        <v>38</v>
      </c>
      <c r="B133" s="16">
        <v>12</v>
      </c>
      <c r="C133" s="16">
        <v>13</v>
      </c>
      <c r="D133" s="17"/>
      <c r="E133" s="17"/>
      <c r="F133" s="17"/>
      <c r="G133" s="17"/>
      <c r="H133" s="17"/>
      <c r="I133" s="17"/>
      <c r="J133" s="17"/>
      <c r="K133" s="17"/>
      <c r="L133" s="16">
        <v>25</v>
      </c>
      <c r="M133" s="18">
        <v>1</v>
      </c>
    </row>
    <row r="134" spans="1:15" ht="15.6">
      <c r="A134" s="15" t="s">
        <v>40</v>
      </c>
      <c r="B134" s="16">
        <v>1098</v>
      </c>
      <c r="C134" s="16">
        <v>1330</v>
      </c>
      <c r="D134" s="16">
        <v>129</v>
      </c>
      <c r="E134" s="16">
        <v>652</v>
      </c>
      <c r="F134" s="16">
        <v>368</v>
      </c>
      <c r="G134" s="16">
        <v>426</v>
      </c>
      <c r="H134" s="16">
        <v>866</v>
      </c>
      <c r="I134" s="16">
        <v>562</v>
      </c>
      <c r="J134" s="16">
        <v>579</v>
      </c>
      <c r="K134" s="16">
        <v>381</v>
      </c>
      <c r="L134" s="16">
        <v>6391</v>
      </c>
      <c r="M134" s="18">
        <v>0.37990000000000002</v>
      </c>
    </row>
    <row r="135" spans="1:15" ht="15.6">
      <c r="A135" s="15" t="s">
        <v>42</v>
      </c>
      <c r="B135" s="16">
        <v>78</v>
      </c>
      <c r="C135" s="16">
        <v>155</v>
      </c>
      <c r="D135" s="16">
        <v>37</v>
      </c>
      <c r="E135" s="16">
        <v>15</v>
      </c>
      <c r="F135" s="16">
        <v>6</v>
      </c>
      <c r="G135" s="16">
        <v>3</v>
      </c>
      <c r="H135" s="17"/>
      <c r="I135" s="17"/>
      <c r="J135" s="17"/>
      <c r="K135" s="17"/>
      <c r="L135" s="16">
        <v>294</v>
      </c>
      <c r="M135" s="18">
        <v>0.79249999999999998</v>
      </c>
    </row>
    <row r="136" spans="1:15" ht="15.6">
      <c r="A136" s="15" t="s">
        <v>44</v>
      </c>
      <c r="B136" s="16">
        <v>4354</v>
      </c>
      <c r="C136" s="16">
        <v>13385</v>
      </c>
      <c r="D136" s="16">
        <v>751</v>
      </c>
      <c r="E136" s="16">
        <v>2204</v>
      </c>
      <c r="F136" s="16">
        <v>2528</v>
      </c>
      <c r="G136" s="16">
        <v>3752</v>
      </c>
      <c r="H136" s="16">
        <v>283</v>
      </c>
      <c r="I136" s="16">
        <v>21</v>
      </c>
      <c r="J136" s="16">
        <v>17</v>
      </c>
      <c r="K136" s="16">
        <v>46</v>
      </c>
      <c r="L136" s="16">
        <v>27341</v>
      </c>
      <c r="M136" s="18">
        <v>0.64880000000000004</v>
      </c>
    </row>
    <row r="137" spans="1:15" ht="15.6">
      <c r="A137" s="23" t="s">
        <v>25</v>
      </c>
      <c r="B137" s="24">
        <v>7191</v>
      </c>
      <c r="C137" s="24">
        <v>16046</v>
      </c>
      <c r="D137" s="24">
        <v>1076</v>
      </c>
      <c r="E137" s="24">
        <v>3620</v>
      </c>
      <c r="F137" s="24">
        <v>3406</v>
      </c>
      <c r="G137" s="24">
        <v>4571</v>
      </c>
      <c r="H137" s="24">
        <v>2171</v>
      </c>
      <c r="I137" s="24">
        <v>1307</v>
      </c>
      <c r="J137" s="24">
        <v>1437</v>
      </c>
      <c r="K137" s="24">
        <v>941</v>
      </c>
      <c r="L137" s="24">
        <v>41766</v>
      </c>
      <c r="M137" s="18">
        <v>0.55640000000000001</v>
      </c>
    </row>
    <row r="139" spans="1:15" ht="15.6">
      <c r="A139" s="3" t="s">
        <v>5</v>
      </c>
      <c r="B139" s="3"/>
      <c r="C139" s="3" t="s">
        <v>63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63">
        <v>45553</v>
      </c>
    </row>
    <row r="140" spans="1:15" ht="15.6">
      <c r="A140" s="9" t="s">
        <v>65</v>
      </c>
      <c r="B140" s="9" t="s">
        <v>66</v>
      </c>
      <c r="C140" s="9" t="s">
        <v>14</v>
      </c>
      <c r="D140" s="9" t="s">
        <v>15</v>
      </c>
      <c r="E140" s="9" t="s">
        <v>16</v>
      </c>
      <c r="F140" s="9" t="s">
        <v>17</v>
      </c>
      <c r="G140" s="9" t="s">
        <v>18</v>
      </c>
      <c r="H140" s="9" t="s">
        <v>19</v>
      </c>
      <c r="I140" s="9" t="s">
        <v>20</v>
      </c>
      <c r="J140" s="9" t="s">
        <v>21</v>
      </c>
      <c r="K140" s="9" t="s">
        <v>22</v>
      </c>
      <c r="L140" s="9" t="s">
        <v>23</v>
      </c>
      <c r="M140" s="9" t="s">
        <v>24</v>
      </c>
      <c r="N140" s="9" t="s">
        <v>25</v>
      </c>
      <c r="O140" s="32" t="s">
        <v>12</v>
      </c>
    </row>
    <row r="141" spans="1:15" ht="15.6">
      <c r="A141" s="47" t="s">
        <v>27</v>
      </c>
      <c r="B141" s="5" t="s">
        <v>67</v>
      </c>
      <c r="C141" s="5"/>
      <c r="D141" s="34">
        <v>23</v>
      </c>
      <c r="E141" s="34">
        <v>4</v>
      </c>
      <c r="F141" s="34">
        <v>28</v>
      </c>
      <c r="G141" s="34">
        <v>24</v>
      </c>
      <c r="H141" s="34">
        <v>7</v>
      </c>
      <c r="I141" s="5"/>
      <c r="J141" s="5"/>
      <c r="K141" s="5"/>
      <c r="L141" s="5"/>
      <c r="M141" s="5"/>
      <c r="N141" s="34">
        <v>86</v>
      </c>
      <c r="O141" s="48">
        <v>0</v>
      </c>
    </row>
    <row r="142" spans="1:15" ht="15.6">
      <c r="A142" s="47" t="s">
        <v>29</v>
      </c>
      <c r="B142" s="5" t="s">
        <v>67</v>
      </c>
      <c r="C142" s="34">
        <v>4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34">
        <v>4</v>
      </c>
      <c r="O142" s="48">
        <v>1</v>
      </c>
    </row>
    <row r="143" spans="1:15" ht="15.6">
      <c r="A143" s="47" t="s">
        <v>35</v>
      </c>
      <c r="B143" s="5"/>
      <c r="C143" s="34">
        <v>37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34">
        <v>37</v>
      </c>
      <c r="O143" s="48">
        <v>1</v>
      </c>
    </row>
    <row r="144" spans="1:15" ht="15.6">
      <c r="A144" s="47" t="s">
        <v>38</v>
      </c>
      <c r="B144" s="5"/>
      <c r="C144" s="34">
        <v>10</v>
      </c>
      <c r="D144" s="34">
        <v>13</v>
      </c>
      <c r="E144" s="5"/>
      <c r="F144" s="5"/>
      <c r="G144" s="5"/>
      <c r="H144" s="5"/>
      <c r="I144" s="5"/>
      <c r="J144" s="5"/>
      <c r="K144" s="5"/>
      <c r="L144" s="5"/>
      <c r="M144" s="5"/>
      <c r="N144" s="34">
        <v>23</v>
      </c>
      <c r="O144" s="48">
        <v>0.43</v>
      </c>
    </row>
    <row r="145" spans="1:15" ht="15.6">
      <c r="A145" s="17" t="s">
        <v>31</v>
      </c>
      <c r="B145" s="5"/>
      <c r="C145" s="34">
        <v>3</v>
      </c>
      <c r="D145" s="34">
        <v>73</v>
      </c>
      <c r="E145" s="5"/>
      <c r="F145" s="5"/>
      <c r="G145" s="5"/>
      <c r="H145" s="5"/>
      <c r="I145" s="5"/>
      <c r="J145" s="5"/>
      <c r="K145" s="5"/>
      <c r="L145" s="5"/>
      <c r="M145" s="5"/>
      <c r="N145" s="34">
        <v>76</v>
      </c>
      <c r="O145" s="39">
        <v>1</v>
      </c>
    </row>
    <row r="146" spans="1:15" ht="15.6">
      <c r="A146" s="17" t="s">
        <v>33</v>
      </c>
      <c r="B146" s="5"/>
      <c r="C146" s="34">
        <v>1762</v>
      </c>
      <c r="D146" s="34">
        <v>880</v>
      </c>
      <c r="E146" s="34">
        <v>324</v>
      </c>
      <c r="F146" s="34">
        <v>517</v>
      </c>
      <c r="G146" s="34">
        <v>425</v>
      </c>
      <c r="H146" s="34">
        <v>414</v>
      </c>
      <c r="I146" s="34">
        <v>979</v>
      </c>
      <c r="J146" s="34">
        <v>678</v>
      </c>
      <c r="K146" s="34">
        <v>785</v>
      </c>
      <c r="L146" s="34">
        <v>483</v>
      </c>
      <c r="M146" s="5"/>
      <c r="N146" s="34">
        <v>7247</v>
      </c>
      <c r="O146" s="39">
        <v>0.36</v>
      </c>
    </row>
    <row r="147" spans="1:15" ht="15.6">
      <c r="A147" s="17" t="s">
        <v>40</v>
      </c>
      <c r="B147" s="5"/>
      <c r="C147" s="34">
        <v>1440</v>
      </c>
      <c r="D147" s="34">
        <v>891</v>
      </c>
      <c r="E147" s="34">
        <v>237</v>
      </c>
      <c r="F147" s="34">
        <v>447</v>
      </c>
      <c r="G147" s="34">
        <v>399</v>
      </c>
      <c r="H147" s="34">
        <v>460</v>
      </c>
      <c r="I147" s="34">
        <v>820</v>
      </c>
      <c r="J147" s="34">
        <v>525</v>
      </c>
      <c r="K147" s="34">
        <v>513</v>
      </c>
      <c r="L147" s="34">
        <v>356</v>
      </c>
      <c r="M147" s="5"/>
      <c r="N147" s="34">
        <v>6088</v>
      </c>
      <c r="O147" s="39">
        <v>0.38</v>
      </c>
    </row>
    <row r="148" spans="1:15" ht="15.6">
      <c r="A148" s="17" t="s">
        <v>42</v>
      </c>
      <c r="B148" s="5"/>
      <c r="C148" s="34">
        <v>85</v>
      </c>
      <c r="D148" s="34">
        <v>110</v>
      </c>
      <c r="E148" s="34">
        <v>59</v>
      </c>
      <c r="F148" s="34">
        <v>11</v>
      </c>
      <c r="G148" s="34">
        <v>10</v>
      </c>
      <c r="H148" s="34">
        <v>3</v>
      </c>
      <c r="I148" s="5"/>
      <c r="J148" s="5"/>
      <c r="K148" s="5"/>
      <c r="L148" s="5"/>
      <c r="M148" s="5"/>
      <c r="N148" s="34">
        <v>278</v>
      </c>
      <c r="O148" s="39">
        <v>0.7</v>
      </c>
    </row>
    <row r="149" spans="1:15" ht="15.6">
      <c r="A149" s="42" t="s">
        <v>44</v>
      </c>
      <c r="B149" s="5" t="s">
        <v>67</v>
      </c>
      <c r="C149" s="34">
        <v>474</v>
      </c>
      <c r="D149" s="34">
        <v>812</v>
      </c>
      <c r="E149" s="34">
        <v>22</v>
      </c>
      <c r="F149" s="34">
        <v>67</v>
      </c>
      <c r="G149" s="34">
        <v>149</v>
      </c>
      <c r="H149" s="34">
        <v>99</v>
      </c>
      <c r="I149" s="34">
        <v>28</v>
      </c>
      <c r="J149" s="5"/>
      <c r="K149" s="5"/>
      <c r="L149" s="5"/>
      <c r="M149" s="5"/>
      <c r="N149" s="34">
        <v>1651</v>
      </c>
      <c r="O149" s="39">
        <v>0.78</v>
      </c>
    </row>
    <row r="150" spans="1:15" ht="15.6">
      <c r="A150" s="42"/>
      <c r="B150" s="5" t="s">
        <v>68</v>
      </c>
      <c r="C150" s="34">
        <v>78</v>
      </c>
      <c r="D150" s="34">
        <v>270</v>
      </c>
      <c r="E150" s="34">
        <v>6</v>
      </c>
      <c r="F150" s="34">
        <v>1</v>
      </c>
      <c r="G150" s="34">
        <v>3</v>
      </c>
      <c r="H150" s="34">
        <v>6</v>
      </c>
      <c r="I150" s="5"/>
      <c r="J150" s="5"/>
      <c r="K150" s="5"/>
      <c r="L150" s="5"/>
      <c r="M150" s="5"/>
      <c r="N150" s="34">
        <v>364</v>
      </c>
      <c r="O150" s="39">
        <v>0.96</v>
      </c>
    </row>
    <row r="151" spans="1:15" ht="15.6">
      <c r="A151" s="42"/>
      <c r="B151" s="5" t="s">
        <v>69</v>
      </c>
      <c r="C151" s="34">
        <v>1206</v>
      </c>
      <c r="D151" s="34">
        <v>513</v>
      </c>
      <c r="E151" s="34">
        <v>443</v>
      </c>
      <c r="F151" s="34">
        <v>53</v>
      </c>
      <c r="G151" s="34">
        <v>14</v>
      </c>
      <c r="H151" s="34">
        <v>14</v>
      </c>
      <c r="I151" s="34">
        <v>2</v>
      </c>
      <c r="J151" s="5"/>
      <c r="K151" s="5"/>
      <c r="L151" s="5"/>
      <c r="M151" s="5"/>
      <c r="N151" s="34">
        <v>2245</v>
      </c>
      <c r="O151" s="39">
        <v>0.77</v>
      </c>
    </row>
    <row r="152" spans="1:15" ht="15.6">
      <c r="A152" s="42"/>
      <c r="B152" s="5" t="s">
        <v>70</v>
      </c>
      <c r="C152" s="34">
        <v>416</v>
      </c>
      <c r="D152" s="34">
        <v>478</v>
      </c>
      <c r="E152" s="34">
        <v>143</v>
      </c>
      <c r="F152" s="34">
        <v>140</v>
      </c>
      <c r="G152" s="34">
        <v>3</v>
      </c>
      <c r="H152" s="5"/>
      <c r="I152" s="5"/>
      <c r="J152" s="5"/>
      <c r="K152" s="5"/>
      <c r="L152" s="5"/>
      <c r="M152" s="5"/>
      <c r="N152" s="34">
        <v>1180</v>
      </c>
      <c r="O152" s="39">
        <v>0.76</v>
      </c>
    </row>
    <row r="153" spans="1:15" ht="15.6">
      <c r="A153" s="42"/>
      <c r="B153" s="5" t="s">
        <v>71</v>
      </c>
      <c r="C153" s="34">
        <v>943</v>
      </c>
      <c r="D153" s="34">
        <v>1505</v>
      </c>
      <c r="E153" s="34">
        <v>478</v>
      </c>
      <c r="F153" s="34">
        <v>178</v>
      </c>
      <c r="G153" s="34">
        <v>71</v>
      </c>
      <c r="H153" s="34">
        <v>6</v>
      </c>
      <c r="I153" s="34">
        <v>2</v>
      </c>
      <c r="J153" s="5"/>
      <c r="K153" s="5"/>
      <c r="L153" s="5"/>
      <c r="M153" s="5"/>
      <c r="N153" s="34">
        <v>3183</v>
      </c>
      <c r="O153" s="39">
        <v>0.77</v>
      </c>
    </row>
    <row r="154" spans="1:15" ht="15.6">
      <c r="A154" s="42"/>
      <c r="B154" s="5" t="s">
        <v>72</v>
      </c>
      <c r="C154" s="34">
        <v>2623</v>
      </c>
      <c r="D154" s="34">
        <v>7504</v>
      </c>
      <c r="E154" s="34">
        <v>198</v>
      </c>
      <c r="F154" s="34">
        <v>1220</v>
      </c>
      <c r="G154" s="34">
        <v>2257</v>
      </c>
      <c r="H154" s="34">
        <v>3881</v>
      </c>
      <c r="I154" s="34">
        <v>242</v>
      </c>
      <c r="J154" s="5"/>
      <c r="K154" s="5"/>
      <c r="L154" s="5"/>
      <c r="M154" s="5"/>
      <c r="N154" s="34">
        <v>17925</v>
      </c>
      <c r="O154" s="39">
        <v>0.56000000000000005</v>
      </c>
    </row>
    <row r="155" spans="1:15" ht="15.6">
      <c r="A155" s="42"/>
      <c r="B155" s="5" t="s">
        <v>73</v>
      </c>
      <c r="C155" s="34">
        <v>23</v>
      </c>
      <c r="D155" s="34">
        <v>35</v>
      </c>
      <c r="E155" s="34">
        <v>4</v>
      </c>
      <c r="F155" s="34">
        <v>29</v>
      </c>
      <c r="G155" s="34">
        <v>93</v>
      </c>
      <c r="H155" s="34">
        <v>65</v>
      </c>
      <c r="I155" s="34">
        <v>12</v>
      </c>
      <c r="J155" s="34">
        <v>20</v>
      </c>
      <c r="K155" s="34">
        <v>15</v>
      </c>
      <c r="L155" s="34">
        <v>34</v>
      </c>
      <c r="M155" s="34">
        <v>1</v>
      </c>
      <c r="N155" s="34">
        <v>331</v>
      </c>
      <c r="O155" s="39">
        <v>0.18</v>
      </c>
    </row>
    <row r="156" spans="1:15" ht="15.6">
      <c r="A156" s="17"/>
      <c r="B156" s="5" t="s">
        <v>76</v>
      </c>
      <c r="C156" s="34">
        <v>29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34">
        <v>29</v>
      </c>
      <c r="O156" s="39">
        <v>1</v>
      </c>
    </row>
    <row r="157" spans="1:15" ht="15.6">
      <c r="A157" s="44" t="s">
        <v>25</v>
      </c>
      <c r="B157" s="44"/>
      <c r="C157" s="24">
        <v>9133</v>
      </c>
      <c r="D157" s="24">
        <v>13107</v>
      </c>
      <c r="E157" s="24">
        <v>1918</v>
      </c>
      <c r="F157" s="24">
        <v>2691</v>
      </c>
      <c r="G157" s="24">
        <v>3448</v>
      </c>
      <c r="H157" s="24">
        <v>4955</v>
      </c>
      <c r="I157" s="24">
        <v>2085</v>
      </c>
      <c r="J157" s="24">
        <v>1223</v>
      </c>
      <c r="K157" s="24">
        <v>1313</v>
      </c>
      <c r="L157" s="24">
        <v>873</v>
      </c>
      <c r="M157" s="24">
        <v>1</v>
      </c>
      <c r="N157" s="24">
        <v>40747</v>
      </c>
      <c r="O157" s="39">
        <v>0.55000000000000004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7"/>
  <sheetViews>
    <sheetView workbookViewId="0">
      <pane ySplit="6" topLeftCell="A16" activePane="bottomLeft" state="frozen"/>
      <selection pane="bottomLeft" activeCell="B29" sqref="B29:B30"/>
    </sheetView>
  </sheetViews>
  <sheetFormatPr defaultColWidth="12.6640625" defaultRowHeight="15.75" customHeight="1"/>
  <cols>
    <col min="1" max="1" width="61.6640625" customWidth="1"/>
    <col min="2" max="2" width="29.33203125" style="71" bestFit="1" customWidth="1"/>
    <col min="3" max="3" width="20.33203125" bestFit="1" customWidth="1"/>
    <col min="4" max="4" width="61.44140625" bestFit="1" customWidth="1"/>
  </cols>
  <sheetData>
    <row r="1" spans="1:5" ht="13.2">
      <c r="A1" s="1" t="s">
        <v>77</v>
      </c>
    </row>
    <row r="2" spans="1:5" ht="13.2">
      <c r="A2" s="1" t="s">
        <v>78</v>
      </c>
    </row>
    <row r="5" spans="1:5" ht="15.75" customHeight="1" thickBot="1"/>
    <row r="6" spans="1:5" ht="15.75" customHeight="1" thickBot="1">
      <c r="A6" s="75" t="s">
        <v>79</v>
      </c>
      <c r="B6" s="74" t="s">
        <v>80</v>
      </c>
      <c r="C6" s="76" t="s">
        <v>7</v>
      </c>
      <c r="D6" s="76" t="s">
        <v>81</v>
      </c>
      <c r="E6" s="81" t="s">
        <v>82</v>
      </c>
    </row>
    <row r="7" spans="1:5" ht="15.75" customHeight="1" thickBot="1">
      <c r="A7" s="77" t="s">
        <v>83</v>
      </c>
      <c r="B7" s="77"/>
      <c r="C7" s="77" t="s">
        <v>84</v>
      </c>
      <c r="D7" s="77" t="str">
        <f t="shared" ref="D7:D47" si="0">_xlfn.TEXTJOIN("",TRUE,A7,B7)</f>
        <v>AH-AeroHeld-Aging-Prod</v>
      </c>
      <c r="E7" s="82" t="s">
        <v>8</v>
      </c>
    </row>
    <row r="8" spans="1:5" ht="15.75" customHeight="1" thickBot="1">
      <c r="A8" s="78" t="s">
        <v>85</v>
      </c>
      <c r="B8" s="78"/>
      <c r="C8" s="78" t="s">
        <v>84</v>
      </c>
      <c r="D8" s="78" t="str">
        <f t="shared" si="0"/>
        <v>AH-SnapHeld-Aging-Prod</v>
      </c>
      <c r="E8" s="82" t="s">
        <v>8</v>
      </c>
    </row>
    <row r="9" spans="1:5" ht="15.75" customHeight="1" thickBot="1">
      <c r="A9" s="80" t="s">
        <v>86</v>
      </c>
      <c r="B9" s="78" t="s">
        <v>87</v>
      </c>
      <c r="C9" s="78" t="s">
        <v>88</v>
      </c>
      <c r="D9" s="78" t="str">
        <f t="shared" si="0"/>
        <v>AH-AeroHeld-ARM-ProdAH-SnapHeld-FTP-Prod</v>
      </c>
      <c r="E9" s="82" t="s">
        <v>8</v>
      </c>
    </row>
    <row r="10" spans="1:5" ht="15.75" customHeight="1" thickBot="1">
      <c r="A10" s="80" t="s">
        <v>89</v>
      </c>
      <c r="B10" s="78" t="s">
        <v>90</v>
      </c>
      <c r="C10" s="78" t="s">
        <v>88</v>
      </c>
      <c r="D10" s="78" t="str">
        <f t="shared" si="0"/>
        <v>AH-SnapHeld-ARM-ProdAH-AeroHeld-FTP-Prod</v>
      </c>
      <c r="E10" s="82" t="s">
        <v>8</v>
      </c>
    </row>
    <row r="11" spans="1:5" ht="15.75" customHeight="1" thickBot="1">
      <c r="A11" s="80" t="s">
        <v>86</v>
      </c>
      <c r="B11" s="78" t="s">
        <v>91</v>
      </c>
      <c r="C11" s="78" t="s">
        <v>92</v>
      </c>
      <c r="D11" s="78" t="str">
        <f t="shared" si="0"/>
        <v>AH-AeroHeld-ARM-ProdAH-SnapHeld-Benver-Prod</v>
      </c>
      <c r="E11" s="82" t="s">
        <v>8</v>
      </c>
    </row>
    <row r="12" spans="1:5" ht="15.75" customHeight="1" thickBot="1">
      <c r="A12" s="80" t="s">
        <v>89</v>
      </c>
      <c r="B12" s="78" t="s">
        <v>93</v>
      </c>
      <c r="C12" s="78" t="s">
        <v>92</v>
      </c>
      <c r="D12" s="78" t="str">
        <f t="shared" si="0"/>
        <v>AH-SnapHeld-ARM-ProdAH-AeroHeld-Benver-Prod</v>
      </c>
      <c r="E12" s="82" t="s">
        <v>8</v>
      </c>
    </row>
    <row r="13" spans="1:5" ht="15.75" customHeight="1" thickBot="1">
      <c r="A13" s="80" t="s">
        <v>94</v>
      </c>
      <c r="B13" s="78" t="s">
        <v>95</v>
      </c>
      <c r="C13" s="78" t="s">
        <v>58</v>
      </c>
      <c r="D13" s="78" t="str">
        <f t="shared" si="0"/>
        <v>AH-SnapHeld-Special Project - BillableHBOSS BT Project-Blank Held</v>
      </c>
      <c r="E13" s="82" t="s">
        <v>8</v>
      </c>
    </row>
    <row r="14" spans="1:5" ht="15.75" customHeight="1" thickBot="1">
      <c r="A14" s="78" t="s">
        <v>96</v>
      </c>
      <c r="B14" s="78" t="s">
        <v>97</v>
      </c>
      <c r="C14" s="78" t="s">
        <v>98</v>
      </c>
      <c r="D14" s="78" t="str">
        <f t="shared" si="0"/>
        <v>AH-AeroHeld-Fax Map-ProdCDT,AddDoctor,GS Escal</v>
      </c>
      <c r="E14" s="83" t="s">
        <v>99</v>
      </c>
    </row>
    <row r="15" spans="1:5" ht="15.75" customHeight="1" thickBot="1">
      <c r="A15" s="78" t="s">
        <v>100</v>
      </c>
      <c r="B15" s="78" t="s">
        <v>101</v>
      </c>
      <c r="C15" s="78" t="s">
        <v>30</v>
      </c>
      <c r="D15" s="78" t="str">
        <f t="shared" si="0"/>
        <v>AH-SnapHeld-Special Project - NonBillableAH-SnapHeld-CS-Prod</v>
      </c>
      <c r="E15" s="82" t="s">
        <v>8</v>
      </c>
    </row>
    <row r="16" spans="1:5" ht="15.75" customHeight="1" thickBot="1">
      <c r="A16" s="78" t="s">
        <v>102</v>
      </c>
      <c r="B16" s="78" t="s">
        <v>103</v>
      </c>
      <c r="C16" s="78" t="s">
        <v>30</v>
      </c>
      <c r="D16" s="78" t="str">
        <f t="shared" si="0"/>
        <v>AH-AeroHeld-Special Project - BillableAH-AeroHeld-CS-Prod</v>
      </c>
      <c r="E16" s="82" t="s">
        <v>8</v>
      </c>
    </row>
    <row r="17" spans="1:5" ht="15.75" customHeight="1" thickBot="1">
      <c r="A17" s="78" t="s">
        <v>104</v>
      </c>
      <c r="B17" s="78"/>
      <c r="C17" s="78" t="s">
        <v>26</v>
      </c>
      <c r="D17" s="78" t="str">
        <f t="shared" si="0"/>
        <v>AH-SnapHeld-CommSurgDCAH-Prod</v>
      </c>
      <c r="E17" s="82" t="s">
        <v>8</v>
      </c>
    </row>
    <row r="18" spans="1:5" ht="15.75" customHeight="1" thickBot="1">
      <c r="A18" s="78" t="s">
        <v>105</v>
      </c>
      <c r="B18" s="78"/>
      <c r="C18" s="78" t="s">
        <v>26</v>
      </c>
      <c r="D18" s="78" t="str">
        <f t="shared" si="0"/>
        <v>AH-SnapHeld-DCAH-Prod</v>
      </c>
      <c r="E18" s="82" t="s">
        <v>8</v>
      </c>
    </row>
    <row r="19" spans="1:5" ht="15.75" customHeight="1" thickBot="1">
      <c r="A19" s="80" t="s">
        <v>106</v>
      </c>
      <c r="B19" s="78"/>
      <c r="C19" s="78" t="s">
        <v>26</v>
      </c>
      <c r="D19" s="78" t="str">
        <f t="shared" si="0"/>
        <v>AH-AEROHeld-DCAH-Prod</v>
      </c>
      <c r="E19" s="82" t="s">
        <v>8</v>
      </c>
    </row>
    <row r="20" spans="1:5" ht="15.75" customHeight="1" thickBot="1">
      <c r="A20" s="80" t="s">
        <v>107</v>
      </c>
      <c r="B20" s="78"/>
      <c r="C20" s="78" t="s">
        <v>39</v>
      </c>
      <c r="D20" s="78" t="str">
        <f t="shared" si="0"/>
        <v>AH-SnapHeld-DCScrubs-Prod</v>
      </c>
      <c r="E20" s="82" t="s">
        <v>8</v>
      </c>
    </row>
    <row r="21" spans="1:5" ht="15.75" customHeight="1" thickBot="1">
      <c r="A21" s="80" t="s">
        <v>108</v>
      </c>
      <c r="B21" s="78"/>
      <c r="C21" s="78" t="s">
        <v>39</v>
      </c>
      <c r="D21" s="78" t="str">
        <f t="shared" si="0"/>
        <v>AH-AEROHeld-DCScrubs-Prod</v>
      </c>
      <c r="E21" s="82" t="s">
        <v>8</v>
      </c>
    </row>
    <row r="22" spans="1:5" ht="15.75" customHeight="1" thickBot="1">
      <c r="A22" s="78" t="s">
        <v>109</v>
      </c>
      <c r="B22" s="78" t="s">
        <v>110</v>
      </c>
      <c r="C22" s="78" t="s">
        <v>76</v>
      </c>
      <c r="D22" s="78" t="str">
        <f t="shared" si="0"/>
        <v>HBOSS Portal Fax MappingAH-SnapHeld-DM-Prod</v>
      </c>
      <c r="E22" s="83" t="s">
        <v>99</v>
      </c>
    </row>
    <row r="23" spans="1:5" ht="15.75" customHeight="1" thickBot="1">
      <c r="A23" s="78" t="s">
        <v>96</v>
      </c>
      <c r="B23" s="78" t="s">
        <v>111</v>
      </c>
      <c r="C23" s="78" t="s">
        <v>76</v>
      </c>
      <c r="D23" s="78" t="str">
        <f t="shared" si="0"/>
        <v>AH-AeroHeld-Fax Map-ProdAH-AeroHeld-DM-Prod</v>
      </c>
      <c r="E23" s="83" t="s">
        <v>99</v>
      </c>
    </row>
    <row r="24" spans="1:5" ht="15.75" customHeight="1" thickBot="1">
      <c r="A24" s="78" t="s">
        <v>112</v>
      </c>
      <c r="B24" s="78"/>
      <c r="C24" s="78" t="s">
        <v>35</v>
      </c>
      <c r="D24" s="78" t="str">
        <f t="shared" si="0"/>
        <v>HBOSS Portal Doctor Research</v>
      </c>
      <c r="E24" s="83" t="s">
        <v>99</v>
      </c>
    </row>
    <row r="25" spans="1:5" ht="15.75" customHeight="1" thickBot="1">
      <c r="A25" s="78" t="s">
        <v>113</v>
      </c>
      <c r="B25" s="78"/>
      <c r="C25" s="78" t="s">
        <v>35</v>
      </c>
      <c r="D25" s="78" t="str">
        <f t="shared" si="0"/>
        <v>AH-AeroHeld-DocRes-Prod</v>
      </c>
      <c r="E25" s="82" t="s">
        <v>8</v>
      </c>
    </row>
    <row r="26" spans="1:5" ht="15.75" customHeight="1" thickBot="1">
      <c r="A26" s="78" t="s">
        <v>114</v>
      </c>
      <c r="B26" s="78"/>
      <c r="C26" s="78" t="s">
        <v>32</v>
      </c>
      <c r="D26" s="78" t="str">
        <f t="shared" si="0"/>
        <v>AH-SnapHeld-Edocument-Prod</v>
      </c>
      <c r="E26" s="82" t="s">
        <v>8</v>
      </c>
    </row>
    <row r="27" spans="1:5" ht="15.75" customHeight="1" thickBot="1">
      <c r="A27" s="78" t="s">
        <v>115</v>
      </c>
      <c r="B27" s="78"/>
      <c r="C27" s="78" t="s">
        <v>32</v>
      </c>
      <c r="D27" s="78" t="str">
        <f t="shared" si="0"/>
        <v>AH-AeroHeld-Edocument-Prod</v>
      </c>
      <c r="E27" s="82" t="s">
        <v>8</v>
      </c>
    </row>
    <row r="28" spans="1:5" ht="15.75" customHeight="1" thickBot="1">
      <c r="A28" s="78" t="s">
        <v>109</v>
      </c>
      <c r="B28" s="78" t="s">
        <v>116</v>
      </c>
      <c r="C28" s="78" t="s">
        <v>117</v>
      </c>
      <c r="D28" s="78" t="str">
        <f t="shared" si="0"/>
        <v>HBOSS Portal Fax MappingAH-SNAPHELD-FM-PROD</v>
      </c>
      <c r="E28" s="83" t="s">
        <v>99</v>
      </c>
    </row>
    <row r="29" spans="1:5" ht="15.75" customHeight="1" thickBot="1">
      <c r="A29" s="78" t="s">
        <v>109</v>
      </c>
      <c r="B29" s="78" t="s">
        <v>300</v>
      </c>
      <c r="C29" s="78" t="s">
        <v>117</v>
      </c>
      <c r="D29" s="78" t="str">
        <f t="shared" si="0"/>
        <v>HBOSS Portal Fax MappingDiab FM</v>
      </c>
      <c r="E29" s="83" t="s">
        <v>99</v>
      </c>
    </row>
    <row r="30" spans="1:5" ht="15.75" customHeight="1" thickBot="1">
      <c r="A30" s="78" t="s">
        <v>109</v>
      </c>
      <c r="B30" s="78" t="s">
        <v>301</v>
      </c>
      <c r="C30" s="78" t="s">
        <v>117</v>
      </c>
      <c r="D30" s="78" t="str">
        <f t="shared" si="0"/>
        <v>HBOSS Portal Fax MappingAH DiabeticHeld-FaxMap-prod</v>
      </c>
      <c r="E30" s="83" t="s">
        <v>99</v>
      </c>
    </row>
    <row r="31" spans="1:5" ht="15.75" customHeight="1" thickBot="1">
      <c r="A31" s="78" t="s">
        <v>96</v>
      </c>
      <c r="B31" s="78" t="s">
        <v>118</v>
      </c>
      <c r="C31" s="78" t="s">
        <v>117</v>
      </c>
      <c r="D31" s="78" t="str">
        <f t="shared" si="0"/>
        <v>AH-AeroHeld-Fax Map-ProdAH-AeroHeld-FM-Prod</v>
      </c>
      <c r="E31" s="83" t="s">
        <v>99</v>
      </c>
    </row>
    <row r="32" spans="1:5" ht="15.75" customHeight="1" thickBot="1">
      <c r="A32" s="78" t="s">
        <v>119</v>
      </c>
      <c r="B32" s="78" t="s">
        <v>120</v>
      </c>
      <c r="C32" s="78" t="s">
        <v>38</v>
      </c>
      <c r="D32" s="78" t="str">
        <f t="shared" si="0"/>
        <v>HBOSS Portal Fax ResearchAH-SnapHeld-FaxRes-Prod</v>
      </c>
      <c r="E32" s="83" t="s">
        <v>99</v>
      </c>
    </row>
    <row r="33" spans="1:5" ht="15.75" customHeight="1" thickBot="1">
      <c r="A33" s="78" t="s">
        <v>109</v>
      </c>
      <c r="B33" s="78" t="s">
        <v>121</v>
      </c>
      <c r="C33" s="78" t="s">
        <v>122</v>
      </c>
      <c r="D33" s="78" t="str">
        <f t="shared" si="0"/>
        <v>HBOSS Portal Fax MappingAH-SnapHeld-FaxRev-Prod</v>
      </c>
      <c r="E33" s="83" t="s">
        <v>99</v>
      </c>
    </row>
    <row r="34" spans="1:5" ht="15.75" customHeight="1" thickBot="1">
      <c r="A34" s="80" t="s">
        <v>94</v>
      </c>
      <c r="B34" s="78" t="s">
        <v>123</v>
      </c>
      <c r="C34" s="78" t="s">
        <v>124</v>
      </c>
      <c r="D34" s="78" t="str">
        <f t="shared" si="0"/>
        <v>AH-SnapHeld-Special Project - BillableHBOSS BT Project-No Mask Revie</v>
      </c>
      <c r="E34" s="82" t="s">
        <v>8</v>
      </c>
    </row>
    <row r="35" spans="1:5" ht="15.75" customHeight="1" thickBot="1">
      <c r="A35" s="80" t="s">
        <v>125</v>
      </c>
      <c r="B35" s="78"/>
      <c r="C35" s="78" t="s">
        <v>28</v>
      </c>
      <c r="D35" s="78" t="str">
        <f t="shared" si="0"/>
        <v>AH-SnapHeld-PTCall-Prod</v>
      </c>
      <c r="E35" s="82" t="s">
        <v>8</v>
      </c>
    </row>
    <row r="36" spans="1:5" ht="15.75" customHeight="1" thickBot="1">
      <c r="A36" s="80" t="s">
        <v>126</v>
      </c>
      <c r="B36" s="78"/>
      <c r="C36" s="78" t="s">
        <v>28</v>
      </c>
      <c r="D36" s="78" t="str">
        <f t="shared" si="0"/>
        <v>AH-AeroHeld-PTCall-Prod</v>
      </c>
      <c r="E36" s="82" t="s">
        <v>8</v>
      </c>
    </row>
    <row r="37" spans="1:5" ht="15.75" customHeight="1" thickBot="1">
      <c r="A37" s="78" t="s">
        <v>127</v>
      </c>
      <c r="B37" s="78"/>
      <c r="C37" s="78" t="s">
        <v>42</v>
      </c>
      <c r="D37" s="78" t="str">
        <f t="shared" si="0"/>
        <v>AH-SnapHeld-CommSurgRewrk-Prod</v>
      </c>
      <c r="E37" s="82" t="s">
        <v>8</v>
      </c>
    </row>
    <row r="38" spans="1:5" ht="15.75" customHeight="1" thickBot="1">
      <c r="A38" s="78" t="s">
        <v>128</v>
      </c>
      <c r="B38" s="78"/>
      <c r="C38" s="78" t="s">
        <v>42</v>
      </c>
      <c r="D38" s="78" t="str">
        <f t="shared" si="0"/>
        <v>AH-SnapHeld-Rework-Prod</v>
      </c>
      <c r="E38" s="82" t="s">
        <v>8</v>
      </c>
    </row>
    <row r="39" spans="1:5" ht="15.75" customHeight="1" thickBot="1">
      <c r="A39" s="86" t="s">
        <v>129</v>
      </c>
      <c r="B39" s="86"/>
      <c r="C39" s="86" t="s">
        <v>42</v>
      </c>
      <c r="D39" s="86" t="str">
        <f t="shared" si="0"/>
        <v>AH-AeroHeld-Rework-Prod</v>
      </c>
      <c r="E39" s="82" t="s">
        <v>8</v>
      </c>
    </row>
    <row r="40" spans="1:5" ht="15.75" customHeight="1" thickBot="1">
      <c r="A40" s="78" t="s">
        <v>94</v>
      </c>
      <c r="B40" s="78" t="s">
        <v>130</v>
      </c>
      <c r="C40" s="78" t="s">
        <v>130</v>
      </c>
      <c r="D40" s="78" t="str">
        <f t="shared" si="0"/>
        <v>AH-SnapHeld-Special Project - BillableTricare East RX Review</v>
      </c>
      <c r="E40" s="82" t="s">
        <v>8</v>
      </c>
    </row>
    <row r="41" spans="1:5" ht="15.75" customHeight="1" thickBot="1">
      <c r="A41" s="78" t="s">
        <v>94</v>
      </c>
      <c r="B41" s="78" t="s">
        <v>131</v>
      </c>
      <c r="C41" s="84" t="s">
        <v>49</v>
      </c>
      <c r="D41" s="78" t="str">
        <f t="shared" si="0"/>
        <v>AH-SnapHeld-Special Project - BillableHBOSS BT Project - UHC</v>
      </c>
      <c r="E41" s="82" t="s">
        <v>8</v>
      </c>
    </row>
    <row r="42" spans="1:5" ht="15.75" customHeight="1" thickBot="1">
      <c r="A42" s="78" t="s">
        <v>94</v>
      </c>
      <c r="B42" s="78" t="s">
        <v>132</v>
      </c>
      <c r="C42" s="78" t="s">
        <v>133</v>
      </c>
      <c r="D42" s="78" t="str">
        <f t="shared" si="0"/>
        <v>AH-SnapHeld-Special Project - BillableVA MEDICAID HELD</v>
      </c>
      <c r="E42" s="82" t="s">
        <v>8</v>
      </c>
    </row>
    <row r="43" spans="1:5" ht="15.75" customHeight="1" thickBot="1">
      <c r="A43" s="87" t="s">
        <v>134</v>
      </c>
      <c r="B43" s="87"/>
      <c r="C43" s="87" t="s">
        <v>43</v>
      </c>
      <c r="D43" s="87" t="str">
        <f t="shared" si="0"/>
        <v>AH-SnapHeld-VSA-Prod</v>
      </c>
      <c r="E43" s="82" t="s">
        <v>8</v>
      </c>
    </row>
    <row r="44" spans="1:5" ht="15.75" customHeight="1" thickBot="1">
      <c r="A44" s="87" t="s">
        <v>135</v>
      </c>
      <c r="B44" s="87"/>
      <c r="C44" s="87" t="s">
        <v>43</v>
      </c>
      <c r="D44" s="87" t="str">
        <f t="shared" si="0"/>
        <v>AH-AEROHeld-VSA-Prod</v>
      </c>
      <c r="E44" s="82" t="s">
        <v>8</v>
      </c>
    </row>
    <row r="45" spans="1:5" ht="15.75" customHeight="1" thickBot="1">
      <c r="A45" s="87" t="s">
        <v>136</v>
      </c>
      <c r="B45" s="87"/>
      <c r="C45" s="87"/>
      <c r="D45" s="87" t="str">
        <f t="shared" si="0"/>
        <v>AH-AeroHeld-Special Project - NonBillable</v>
      </c>
      <c r="E45" s="82" t="s">
        <v>8</v>
      </c>
    </row>
    <row r="46" spans="1:5" ht="15.75" customHeight="1" thickBot="1">
      <c r="A46" s="87" t="s">
        <v>137</v>
      </c>
      <c r="B46" s="87"/>
      <c r="C46" s="87"/>
      <c r="D46" s="87" t="str">
        <f t="shared" si="0"/>
        <v>AH-AeroHeld-Nonbill</v>
      </c>
      <c r="E46" s="82"/>
    </row>
    <row r="47" spans="1:5" ht="15.75" customHeight="1" thickBot="1">
      <c r="A47" s="87" t="s">
        <v>94</v>
      </c>
      <c r="B47" s="87" t="s">
        <v>293</v>
      </c>
      <c r="C47" s="87"/>
      <c r="D47" s="87" t="str">
        <f t="shared" si="0"/>
        <v>AH-SnapHeld-Special Project - BillableAH SNAPHELD - SP Team</v>
      </c>
      <c r="E47" s="82" t="s">
        <v>8</v>
      </c>
    </row>
  </sheetData>
  <sortState xmlns:xlrd2="http://schemas.microsoft.com/office/spreadsheetml/2017/richdata2" ref="A7:E46">
    <sortCondition ref="C7:C46"/>
  </sortState>
  <conditionalFormatting sqref="A1:A28 A31:A1048576">
    <cfRule type="duplicateValues" dxfId="20" priority="4"/>
  </conditionalFormatting>
  <conditionalFormatting sqref="A29:A30">
    <cfRule type="duplicateValues" dxfId="19" priority="1"/>
  </conditionalFormatting>
  <conditionalFormatting sqref="D7:D28 D31:D47">
    <cfRule type="duplicateValues" dxfId="18" priority="8"/>
  </conditionalFormatting>
  <conditionalFormatting sqref="D29:D30">
    <cfRule type="duplicateValues" dxfId="1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910E-E576-43A5-B9F0-E763225FA819}">
  <sheetPr>
    <tabColor rgb="FF92D050"/>
  </sheetPr>
  <dimension ref="A1:AN61"/>
  <sheetViews>
    <sheetView workbookViewId="0">
      <selection activeCell="A2" sqref="A2"/>
    </sheetView>
  </sheetViews>
  <sheetFormatPr defaultRowHeight="13.2"/>
  <cols>
    <col min="1" max="1" width="26" bestFit="1" customWidth="1"/>
    <col min="2" max="2" width="32.44140625" bestFit="1" customWidth="1"/>
    <col min="3" max="3" width="30.77734375" bestFit="1" customWidth="1"/>
    <col min="4" max="4" width="7.44140625" bestFit="1" customWidth="1"/>
    <col min="5" max="5" width="12" bestFit="1" customWidth="1"/>
    <col min="6" max="6" width="7" bestFit="1" customWidth="1"/>
    <col min="7" max="7" width="12" bestFit="1" customWidth="1"/>
    <col min="8" max="8" width="7.77734375" bestFit="1" customWidth="1"/>
    <col min="9" max="10" width="12" bestFit="1" customWidth="1"/>
    <col min="11" max="11" width="8.77734375" bestFit="1" customWidth="1"/>
    <col min="12" max="12" width="12" bestFit="1" customWidth="1"/>
    <col min="13" max="13" width="11.88671875" bestFit="1" customWidth="1"/>
    <col min="14" max="14" width="12" bestFit="1" customWidth="1"/>
    <col min="15" max="15" width="6.77734375" bestFit="1" customWidth="1"/>
    <col min="16" max="16" width="6.88671875" bestFit="1" customWidth="1"/>
    <col min="17" max="17" width="6.6640625" bestFit="1" customWidth="1"/>
    <col min="18" max="18" width="7.44140625" bestFit="1" customWidth="1"/>
    <col min="19" max="19" width="15.77734375" bestFit="1" customWidth="1"/>
    <col min="20" max="20" width="8.33203125" bestFit="1" customWidth="1"/>
    <col min="21" max="21" width="11.44140625" bestFit="1" customWidth="1"/>
    <col min="22" max="22" width="13.109375" bestFit="1" customWidth="1"/>
    <col min="23" max="23" width="11.5546875" bestFit="1" customWidth="1"/>
    <col min="24" max="24" width="13.21875" bestFit="1" customWidth="1"/>
    <col min="25" max="25" width="9.5546875" bestFit="1" customWidth="1"/>
    <col min="26" max="26" width="11.88671875" bestFit="1" customWidth="1"/>
    <col min="27" max="27" width="8.21875" bestFit="1" customWidth="1"/>
    <col min="28" max="28" width="7.21875" bestFit="1" customWidth="1"/>
    <col min="29" max="29" width="11" bestFit="1" customWidth="1"/>
    <col min="30" max="30" width="11.6640625" bestFit="1" customWidth="1"/>
    <col min="31" max="31" width="12.109375" bestFit="1" customWidth="1"/>
    <col min="32" max="32" width="12.5546875" bestFit="1" customWidth="1"/>
    <col min="33" max="33" width="15.88671875" bestFit="1" customWidth="1"/>
    <col min="34" max="34" width="12.6640625" bestFit="1" customWidth="1"/>
    <col min="35" max="35" width="13.21875" bestFit="1" customWidth="1"/>
    <col min="36" max="36" width="6.5546875" bestFit="1" customWidth="1"/>
    <col min="37" max="37" width="28.21875" bestFit="1" customWidth="1"/>
    <col min="38" max="38" width="36.109375" bestFit="1" customWidth="1"/>
    <col min="39" max="39" width="57.88671875" bestFit="1" customWidth="1"/>
    <col min="40" max="40" width="14.5546875" bestFit="1" customWidth="1"/>
  </cols>
  <sheetData>
    <row r="1" spans="1:40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s="117" t="s">
        <v>173</v>
      </c>
      <c r="AK1" s="117" t="s">
        <v>174</v>
      </c>
      <c r="AL1" s="117" t="s">
        <v>175</v>
      </c>
      <c r="AM1" s="117" t="s">
        <v>81</v>
      </c>
      <c r="AN1" s="117" t="s">
        <v>176</v>
      </c>
    </row>
    <row r="2" spans="1:40">
      <c r="A2" t="s">
        <v>301</v>
      </c>
      <c r="B2" t="s">
        <v>798</v>
      </c>
      <c r="C2" t="s">
        <v>799</v>
      </c>
      <c r="D2">
        <v>9</v>
      </c>
      <c r="E2">
        <v>2.7761497887041999</v>
      </c>
      <c r="F2">
        <v>3.3599999999999998E-2</v>
      </c>
      <c r="G2">
        <v>1.2777777777778001E-2</v>
      </c>
      <c r="H2">
        <v>9</v>
      </c>
      <c r="I2">
        <v>1</v>
      </c>
      <c r="J2">
        <v>2.7761497887041999</v>
      </c>
      <c r="K2">
        <v>89</v>
      </c>
      <c r="L2">
        <v>27.453036799408</v>
      </c>
      <c r="M2">
        <v>3.2418999999999998</v>
      </c>
      <c r="N2">
        <v>1.0364292544495999E-2</v>
      </c>
      <c r="O2" t="s">
        <v>919</v>
      </c>
      <c r="P2" t="s">
        <v>578</v>
      </c>
      <c r="Q2" t="s">
        <v>721</v>
      </c>
      <c r="R2" t="s">
        <v>504</v>
      </c>
      <c r="S2" t="s">
        <v>308</v>
      </c>
      <c r="T2" t="s">
        <v>308</v>
      </c>
      <c r="U2" t="s">
        <v>308</v>
      </c>
      <c r="V2" t="s">
        <v>308</v>
      </c>
      <c r="W2">
        <v>0</v>
      </c>
      <c r="X2">
        <v>0</v>
      </c>
      <c r="Y2">
        <v>0</v>
      </c>
      <c r="Z2">
        <v>0</v>
      </c>
      <c r="AA2">
        <v>0</v>
      </c>
      <c r="AB2" t="s">
        <v>308</v>
      </c>
      <c r="AC2" t="s">
        <v>308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17" t="str">
        <f t="shared" ref="AJ2:AJ33" si="0">LEFT(B2,3)</f>
        <v>BCD</v>
      </c>
      <c r="AK2" s="117" t="str">
        <f t="shared" ref="AK2:AK33" si="1">TRIM(RIGHT(B2, LEN(B2)-3))</f>
        <v xml:space="preserve">	Jeshurun Corpus</v>
      </c>
      <c r="AL2" s="117" t="str">
        <f>_xlfn.XLOOKUP(Team_Report[[#This Row],[Team]],reference!B:B,reference!A:A)</f>
        <v>HBOSS Portal Fax Mapping</v>
      </c>
      <c r="AM2" s="117" t="str">
        <f t="shared" ref="AM2:AM33" si="2">_xlfn.CONCAT(AL2,A2)</f>
        <v>HBOSS Portal Fax MappingAH DiabeticHeld-FaxMap-prod</v>
      </c>
      <c r="AN2" s="117" t="str">
        <f>IFERROR(_xlfn.XLOOKUP(Team_Report[[#This Row],[Camp+Team]],reference!D:D,reference!C:C),"")</f>
        <v>Fax Mapping</v>
      </c>
    </row>
    <row r="3" spans="1:40">
      <c r="A3" t="s">
        <v>301</v>
      </c>
      <c r="B3" t="s">
        <v>801</v>
      </c>
      <c r="C3" t="s">
        <v>802</v>
      </c>
      <c r="D3">
        <v>6</v>
      </c>
      <c r="E3">
        <v>1.5085990143820001</v>
      </c>
      <c r="F3">
        <v>3.3599999999999998E-2</v>
      </c>
      <c r="G3">
        <v>7.4999999999999997E-2</v>
      </c>
      <c r="H3">
        <v>6</v>
      </c>
      <c r="I3">
        <v>1</v>
      </c>
      <c r="J3">
        <v>1.5085990143820001</v>
      </c>
      <c r="K3">
        <v>57</v>
      </c>
      <c r="L3">
        <v>14.331690636629</v>
      </c>
      <c r="M3">
        <v>3.9771999999999998</v>
      </c>
      <c r="N3">
        <v>8.4481544805390992E-3</v>
      </c>
      <c r="O3" t="s">
        <v>920</v>
      </c>
      <c r="P3" t="s">
        <v>804</v>
      </c>
      <c r="Q3" t="s">
        <v>805</v>
      </c>
      <c r="R3" t="s">
        <v>445</v>
      </c>
      <c r="S3" t="s">
        <v>308</v>
      </c>
      <c r="T3" t="s">
        <v>308</v>
      </c>
      <c r="U3" t="s">
        <v>308</v>
      </c>
      <c r="V3" t="s">
        <v>308</v>
      </c>
      <c r="W3">
        <v>0</v>
      </c>
      <c r="X3">
        <v>0</v>
      </c>
      <c r="Y3">
        <v>0</v>
      </c>
      <c r="Z3">
        <v>0</v>
      </c>
      <c r="AA3">
        <v>0</v>
      </c>
      <c r="AB3" t="s">
        <v>308</v>
      </c>
      <c r="AC3" t="s">
        <v>308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17" t="str">
        <f t="shared" si="0"/>
        <v>BCD</v>
      </c>
      <c r="AK3" s="117" t="str">
        <f t="shared" si="1"/>
        <v>Gabrielle Angela Alcala</v>
      </c>
      <c r="AL3" s="117" t="str">
        <f>_xlfn.XLOOKUP(Team_Report[[#This Row],[Team]],reference!B:B,reference!A:A)</f>
        <v>HBOSS Portal Fax Mapping</v>
      </c>
      <c r="AM3" s="117" t="str">
        <f t="shared" si="2"/>
        <v>HBOSS Portal Fax MappingAH DiabeticHeld-FaxMap-prod</v>
      </c>
      <c r="AN3" s="117" t="str">
        <f>IFERROR(_xlfn.XLOOKUP(Team_Report[[#This Row],[Camp+Team]],reference!D:D,reference!C:C),"")</f>
        <v>Fax Mapping</v>
      </c>
    </row>
    <row r="4" spans="1:40">
      <c r="A4" t="s">
        <v>301</v>
      </c>
      <c r="B4" t="s">
        <v>806</v>
      </c>
      <c r="C4" t="s">
        <v>807</v>
      </c>
      <c r="D4">
        <v>2</v>
      </c>
      <c r="E4">
        <v>0.65359477124182996</v>
      </c>
      <c r="F4">
        <v>3.0999999999999999E-3</v>
      </c>
      <c r="G4">
        <v>1.0833333333333001E-2</v>
      </c>
      <c r="H4">
        <v>2</v>
      </c>
      <c r="I4">
        <v>1</v>
      </c>
      <c r="J4">
        <v>0.65359477124182996</v>
      </c>
      <c r="K4">
        <v>19</v>
      </c>
      <c r="L4">
        <v>6.2091503267974</v>
      </c>
      <c r="M4">
        <v>3.06</v>
      </c>
      <c r="N4">
        <v>1.0130718954248E-3</v>
      </c>
      <c r="O4" t="s">
        <v>808</v>
      </c>
      <c r="P4" t="s">
        <v>809</v>
      </c>
      <c r="Q4" t="s">
        <v>504</v>
      </c>
      <c r="R4" t="s">
        <v>322</v>
      </c>
      <c r="S4" t="s">
        <v>308</v>
      </c>
      <c r="T4" t="s">
        <v>613</v>
      </c>
      <c r="U4" t="s">
        <v>308</v>
      </c>
      <c r="V4" t="s">
        <v>308</v>
      </c>
      <c r="W4">
        <v>0</v>
      </c>
      <c r="X4">
        <v>0</v>
      </c>
      <c r="Y4">
        <v>0</v>
      </c>
      <c r="Z4">
        <v>0</v>
      </c>
      <c r="AA4">
        <v>0</v>
      </c>
      <c r="AB4" t="s">
        <v>308</v>
      </c>
      <c r="AC4" t="s">
        <v>308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17" t="str">
        <f t="shared" si="0"/>
        <v>BCD</v>
      </c>
      <c r="AK4" s="117" t="str">
        <f t="shared" si="1"/>
        <v>Julius Canasares</v>
      </c>
      <c r="AL4" s="117" t="str">
        <f>_xlfn.XLOOKUP(Team_Report[[#This Row],[Team]],reference!B:B,reference!A:A)</f>
        <v>HBOSS Portal Fax Mapping</v>
      </c>
      <c r="AM4" s="117" t="str">
        <f t="shared" si="2"/>
        <v>HBOSS Portal Fax MappingAH DiabeticHeld-FaxMap-prod</v>
      </c>
      <c r="AN4" s="117" t="str">
        <f>IFERROR(_xlfn.XLOOKUP(Team_Report[[#This Row],[Camp+Team]],reference!D:D,reference!C:C),"")</f>
        <v>Fax Mapping</v>
      </c>
    </row>
    <row r="5" spans="1:40">
      <c r="A5" t="s">
        <v>301</v>
      </c>
      <c r="B5" t="s">
        <v>814</v>
      </c>
      <c r="C5" t="s">
        <v>815</v>
      </c>
      <c r="D5">
        <v>7</v>
      </c>
      <c r="E5">
        <v>2.1116138763198</v>
      </c>
      <c r="F5">
        <v>2.47E-2</v>
      </c>
      <c r="G5">
        <v>1.1666666666667E-2</v>
      </c>
      <c r="H5">
        <v>7</v>
      </c>
      <c r="I5">
        <v>1</v>
      </c>
      <c r="J5">
        <v>2.1116138763198</v>
      </c>
      <c r="K5">
        <v>36</v>
      </c>
      <c r="L5">
        <v>10.859728506787</v>
      </c>
      <c r="M5">
        <v>3.3149999999999999</v>
      </c>
      <c r="N5">
        <v>7.450980392156901E-3</v>
      </c>
      <c r="O5" t="s">
        <v>921</v>
      </c>
      <c r="P5" t="s">
        <v>578</v>
      </c>
      <c r="Q5" t="s">
        <v>404</v>
      </c>
      <c r="R5" t="s">
        <v>315</v>
      </c>
      <c r="S5" t="s">
        <v>308</v>
      </c>
      <c r="T5" t="s">
        <v>817</v>
      </c>
      <c r="U5" t="s">
        <v>308</v>
      </c>
      <c r="V5" t="s">
        <v>308</v>
      </c>
      <c r="W5">
        <v>0</v>
      </c>
      <c r="X5">
        <v>0</v>
      </c>
      <c r="Y5">
        <v>0</v>
      </c>
      <c r="Z5">
        <v>0</v>
      </c>
      <c r="AA5">
        <v>0</v>
      </c>
      <c r="AB5" t="s">
        <v>308</v>
      </c>
      <c r="AC5" t="s">
        <v>308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17" t="str">
        <f t="shared" si="0"/>
        <v>BCD</v>
      </c>
      <c r="AK5" s="117" t="str">
        <f t="shared" si="1"/>
        <v>Maria Amalia Endrinal</v>
      </c>
      <c r="AL5" s="117" t="str">
        <f>_xlfn.XLOOKUP(Team_Report[[#This Row],[Team]],reference!B:B,reference!A:A)</f>
        <v>HBOSS Portal Fax Mapping</v>
      </c>
      <c r="AM5" s="117" t="str">
        <f t="shared" si="2"/>
        <v>HBOSS Portal Fax MappingAH DiabeticHeld-FaxMap-prod</v>
      </c>
      <c r="AN5" s="117" t="str">
        <f>IFERROR(_xlfn.XLOOKUP(Team_Report[[#This Row],[Camp+Team]],reference!D:D,reference!C:C),"")</f>
        <v>Fax Mapping</v>
      </c>
    </row>
    <row r="6" spans="1:40">
      <c r="A6" t="s">
        <v>301</v>
      </c>
      <c r="B6" t="s">
        <v>822</v>
      </c>
      <c r="C6" t="s">
        <v>823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1.7894000000000001</v>
      </c>
      <c r="N6">
        <v>0</v>
      </c>
      <c r="O6" t="s">
        <v>308</v>
      </c>
      <c r="P6" t="s">
        <v>308</v>
      </c>
      <c r="Q6" t="s">
        <v>308</v>
      </c>
      <c r="R6" t="s">
        <v>308</v>
      </c>
      <c r="S6" t="s">
        <v>308</v>
      </c>
      <c r="T6" t="s">
        <v>308</v>
      </c>
      <c r="U6" t="s">
        <v>308</v>
      </c>
      <c r="V6" t="s">
        <v>308</v>
      </c>
      <c r="W6">
        <v>0</v>
      </c>
      <c r="X6">
        <v>0</v>
      </c>
      <c r="Y6">
        <v>0</v>
      </c>
      <c r="Z6">
        <v>0</v>
      </c>
      <c r="AA6">
        <v>0</v>
      </c>
      <c r="AB6" t="s">
        <v>308</v>
      </c>
      <c r="AC6" t="s">
        <v>308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17" t="str">
        <f t="shared" si="0"/>
        <v>BTG</v>
      </c>
      <c r="AK6" s="117" t="str">
        <f t="shared" si="1"/>
        <v xml:space="preserve">	Jairo Enriquez</v>
      </c>
      <c r="AL6" s="117" t="str">
        <f>_xlfn.XLOOKUP(Team_Report[[#This Row],[Team]],reference!B:B,reference!A:A)</f>
        <v>HBOSS Portal Fax Mapping</v>
      </c>
      <c r="AM6" s="117" t="str">
        <f t="shared" si="2"/>
        <v>HBOSS Portal Fax MappingAH DiabeticHeld-FaxMap-prod</v>
      </c>
      <c r="AN6" s="117" t="str">
        <f>IFERROR(_xlfn.XLOOKUP(Team_Report[[#This Row],[Camp+Team]],reference!D:D,reference!C:C),"")</f>
        <v>Fax Mapping</v>
      </c>
    </row>
    <row r="7" spans="1:40">
      <c r="A7" t="s">
        <v>301</v>
      </c>
      <c r="B7" t="s">
        <v>828</v>
      </c>
      <c r="C7" t="s">
        <v>829</v>
      </c>
      <c r="D7">
        <v>4</v>
      </c>
      <c r="E7">
        <v>2.3860653781913999</v>
      </c>
      <c r="F7">
        <v>2.3099999999999999E-2</v>
      </c>
      <c r="G7">
        <v>7.2222222222222002E-3</v>
      </c>
      <c r="H7">
        <v>4</v>
      </c>
      <c r="I7">
        <v>1</v>
      </c>
      <c r="J7">
        <v>2.3860653781913999</v>
      </c>
      <c r="K7">
        <v>4</v>
      </c>
      <c r="L7">
        <v>2.3860653781913999</v>
      </c>
      <c r="M7">
        <v>1.6763999999999999</v>
      </c>
      <c r="N7">
        <v>1.3779527559055E-2</v>
      </c>
      <c r="O7" t="s">
        <v>830</v>
      </c>
      <c r="P7" t="s">
        <v>831</v>
      </c>
      <c r="Q7" t="s">
        <v>805</v>
      </c>
      <c r="R7" t="s">
        <v>315</v>
      </c>
      <c r="S7" t="s">
        <v>308</v>
      </c>
      <c r="T7" t="s">
        <v>308</v>
      </c>
      <c r="U7" t="s">
        <v>308</v>
      </c>
      <c r="V7" t="s">
        <v>308</v>
      </c>
      <c r="W7">
        <v>0</v>
      </c>
      <c r="X7">
        <v>0</v>
      </c>
      <c r="Y7">
        <v>0</v>
      </c>
      <c r="Z7">
        <v>0</v>
      </c>
      <c r="AA7">
        <v>0</v>
      </c>
      <c r="AB7" t="s">
        <v>308</v>
      </c>
      <c r="AC7" t="s">
        <v>308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17" t="str">
        <f t="shared" si="0"/>
        <v>BTG</v>
      </c>
      <c r="AK7" s="117" t="str">
        <f t="shared" si="1"/>
        <v>Aldrin Toledo</v>
      </c>
      <c r="AL7" s="117" t="str">
        <f>_xlfn.XLOOKUP(Team_Report[[#This Row],[Team]],reference!B:B,reference!A:A)</f>
        <v>HBOSS Portal Fax Mapping</v>
      </c>
      <c r="AM7" s="117" t="str">
        <f t="shared" si="2"/>
        <v>HBOSS Portal Fax MappingAH DiabeticHeld-FaxMap-prod</v>
      </c>
      <c r="AN7" s="117" t="str">
        <f>IFERROR(_xlfn.XLOOKUP(Team_Report[[#This Row],[Camp+Team]],reference!D:D,reference!C:C),"")</f>
        <v>Fax Mapping</v>
      </c>
    </row>
    <row r="8" spans="1:40">
      <c r="A8" t="s">
        <v>301</v>
      </c>
      <c r="B8" t="s">
        <v>832</v>
      </c>
      <c r="C8" t="s">
        <v>833</v>
      </c>
      <c r="D8">
        <v>1</v>
      </c>
      <c r="E8">
        <v>0.58630393996247998</v>
      </c>
      <c r="F8">
        <v>1.5800000000000002E-2</v>
      </c>
      <c r="G8">
        <v>1.3888888888889E-3</v>
      </c>
      <c r="H8">
        <v>1</v>
      </c>
      <c r="I8">
        <v>1</v>
      </c>
      <c r="J8">
        <v>0.58630393996247998</v>
      </c>
      <c r="K8">
        <v>5</v>
      </c>
      <c r="L8">
        <v>2.9315196998123998</v>
      </c>
      <c r="M8">
        <v>1.7056</v>
      </c>
      <c r="N8">
        <v>9.2636022514070993E-3</v>
      </c>
      <c r="O8" t="s">
        <v>834</v>
      </c>
      <c r="P8" t="s">
        <v>507</v>
      </c>
      <c r="Q8" t="s">
        <v>687</v>
      </c>
      <c r="R8" t="s">
        <v>504</v>
      </c>
      <c r="S8" t="s">
        <v>308</v>
      </c>
      <c r="T8" t="s">
        <v>308</v>
      </c>
      <c r="U8" t="s">
        <v>308</v>
      </c>
      <c r="V8" t="s">
        <v>308</v>
      </c>
      <c r="W8">
        <v>0</v>
      </c>
      <c r="X8">
        <v>0</v>
      </c>
      <c r="Y8">
        <v>0</v>
      </c>
      <c r="Z8">
        <v>0</v>
      </c>
      <c r="AA8">
        <v>0</v>
      </c>
      <c r="AB8" t="s">
        <v>308</v>
      </c>
      <c r="AC8" t="s">
        <v>308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17" t="str">
        <f t="shared" si="0"/>
        <v>BTG</v>
      </c>
      <c r="AK8" s="117" t="str">
        <f t="shared" si="1"/>
        <v>Bemilyn Vinas</v>
      </c>
      <c r="AL8" s="117" t="str">
        <f>_xlfn.XLOOKUP(Team_Report[[#This Row],[Team]],reference!B:B,reference!A:A)</f>
        <v>HBOSS Portal Fax Mapping</v>
      </c>
      <c r="AM8" s="117" t="str">
        <f t="shared" si="2"/>
        <v>HBOSS Portal Fax MappingAH DiabeticHeld-FaxMap-prod</v>
      </c>
      <c r="AN8" s="117" t="str">
        <f>IFERROR(_xlfn.XLOOKUP(Team_Report[[#This Row],[Camp+Team]],reference!D:D,reference!C:C),"")</f>
        <v>Fax Mapping</v>
      </c>
    </row>
    <row r="9" spans="1:40">
      <c r="A9" t="s">
        <v>301</v>
      </c>
      <c r="B9" t="s">
        <v>835</v>
      </c>
      <c r="C9" t="s">
        <v>836</v>
      </c>
      <c r="D9">
        <v>1</v>
      </c>
      <c r="E9">
        <v>0.58699225170227998</v>
      </c>
      <c r="F9">
        <v>3.0300000000000001E-2</v>
      </c>
      <c r="G9">
        <v>2.2222222222222001E-3</v>
      </c>
      <c r="H9">
        <v>1</v>
      </c>
      <c r="I9">
        <v>1</v>
      </c>
      <c r="J9">
        <v>0.58699225170227998</v>
      </c>
      <c r="K9">
        <v>10</v>
      </c>
      <c r="L9">
        <v>5.8699225170228004</v>
      </c>
      <c r="M9">
        <v>1.7036</v>
      </c>
      <c r="N9">
        <v>1.7785865226579E-2</v>
      </c>
      <c r="O9" t="s">
        <v>837</v>
      </c>
      <c r="P9" t="s">
        <v>838</v>
      </c>
      <c r="Q9" t="s">
        <v>839</v>
      </c>
      <c r="R9" t="s">
        <v>306</v>
      </c>
      <c r="S9" t="s">
        <v>308</v>
      </c>
      <c r="T9" t="s">
        <v>308</v>
      </c>
      <c r="U9" t="s">
        <v>308</v>
      </c>
      <c r="V9" t="s">
        <v>308</v>
      </c>
      <c r="W9">
        <v>0</v>
      </c>
      <c r="X9">
        <v>0</v>
      </c>
      <c r="Y9">
        <v>0</v>
      </c>
      <c r="Z9">
        <v>0</v>
      </c>
      <c r="AA9">
        <v>0</v>
      </c>
      <c r="AB9" t="s">
        <v>308</v>
      </c>
      <c r="AC9" t="s">
        <v>308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17" t="str">
        <f t="shared" si="0"/>
        <v>BTG</v>
      </c>
      <c r="AK9" s="117" t="str">
        <f t="shared" si="1"/>
        <v>Darwin Llanto</v>
      </c>
      <c r="AL9" s="117" t="str">
        <f>_xlfn.XLOOKUP(Team_Report[[#This Row],[Team]],reference!B:B,reference!A:A)</f>
        <v>HBOSS Portal Fax Mapping</v>
      </c>
      <c r="AM9" s="117" t="str">
        <f t="shared" si="2"/>
        <v>HBOSS Portal Fax MappingAH DiabeticHeld-FaxMap-prod</v>
      </c>
      <c r="AN9" s="117" t="str">
        <f>IFERROR(_xlfn.XLOOKUP(Team_Report[[#This Row],[Camp+Team]],reference!D:D,reference!C:C),"")</f>
        <v>Fax Mapping</v>
      </c>
    </row>
    <row r="10" spans="1:40">
      <c r="A10" t="s">
        <v>301</v>
      </c>
      <c r="B10" t="s">
        <v>840</v>
      </c>
      <c r="C10" t="s">
        <v>841</v>
      </c>
      <c r="D10">
        <v>2</v>
      </c>
      <c r="E10">
        <v>2.7262813522356</v>
      </c>
      <c r="F10">
        <v>2.3599999999999999E-2</v>
      </c>
      <c r="G10">
        <v>2.7777777777778E-3</v>
      </c>
      <c r="H10">
        <v>2</v>
      </c>
      <c r="I10">
        <v>1</v>
      </c>
      <c r="J10">
        <v>2.7262813522356</v>
      </c>
      <c r="K10">
        <v>10</v>
      </c>
      <c r="L10">
        <v>13.631406761178001</v>
      </c>
      <c r="M10">
        <v>0.73360000000000003</v>
      </c>
      <c r="N10">
        <v>3.2170119956379001E-2</v>
      </c>
      <c r="O10" t="s">
        <v>842</v>
      </c>
      <c r="P10" t="s">
        <v>672</v>
      </c>
      <c r="Q10" t="s">
        <v>415</v>
      </c>
      <c r="R10" t="s">
        <v>504</v>
      </c>
      <c r="S10" t="s">
        <v>308</v>
      </c>
      <c r="T10" t="s">
        <v>308</v>
      </c>
      <c r="U10" t="s">
        <v>308</v>
      </c>
      <c r="V10" t="s">
        <v>308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308</v>
      </c>
      <c r="AC10" t="s">
        <v>308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17" t="str">
        <f t="shared" si="0"/>
        <v>BTG</v>
      </c>
      <c r="AK10" s="117" t="str">
        <f t="shared" si="1"/>
        <v>Daryl Baque</v>
      </c>
      <c r="AL10" s="117" t="str">
        <f>_xlfn.XLOOKUP(Team_Report[[#This Row],[Team]],reference!B:B,reference!A:A)</f>
        <v>HBOSS Portal Fax Mapping</v>
      </c>
      <c r="AM10" s="117" t="str">
        <f t="shared" si="2"/>
        <v>HBOSS Portal Fax MappingAH DiabeticHeld-FaxMap-prod</v>
      </c>
      <c r="AN10" s="117" t="str">
        <f>IFERROR(_xlfn.XLOOKUP(Team_Report[[#This Row],[Camp+Team]],reference!D:D,reference!C:C),"")</f>
        <v>Fax Mapping</v>
      </c>
    </row>
    <row r="11" spans="1:40">
      <c r="A11" t="s">
        <v>301</v>
      </c>
      <c r="B11" t="s">
        <v>843</v>
      </c>
      <c r="C11" t="s">
        <v>844</v>
      </c>
      <c r="D11">
        <v>5</v>
      </c>
      <c r="E11">
        <v>3.0010203469180001</v>
      </c>
      <c r="F11">
        <v>3.6900000000000002E-2</v>
      </c>
      <c r="G11">
        <v>3.0555555555556E-3</v>
      </c>
      <c r="H11">
        <v>5</v>
      </c>
      <c r="I11">
        <v>1</v>
      </c>
      <c r="J11">
        <v>3.0010203469180001</v>
      </c>
      <c r="K11">
        <v>5</v>
      </c>
      <c r="L11">
        <v>3.0010203469180001</v>
      </c>
      <c r="M11">
        <v>1.6660999999999999</v>
      </c>
      <c r="N11">
        <v>2.2147530160254E-2</v>
      </c>
      <c r="O11" t="s">
        <v>845</v>
      </c>
      <c r="P11" t="s">
        <v>390</v>
      </c>
      <c r="Q11" t="s">
        <v>742</v>
      </c>
      <c r="R11" t="s">
        <v>304</v>
      </c>
      <c r="S11" t="s">
        <v>308</v>
      </c>
      <c r="T11" t="s">
        <v>308</v>
      </c>
      <c r="U11" t="s">
        <v>308</v>
      </c>
      <c r="V11" t="s">
        <v>308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308</v>
      </c>
      <c r="AC11" t="s">
        <v>308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17" t="str">
        <f t="shared" si="0"/>
        <v>BTG</v>
      </c>
      <c r="AK11" s="117" t="str">
        <f t="shared" si="1"/>
        <v>Edgardo Pasahol</v>
      </c>
      <c r="AL11" s="117" t="str">
        <f>_xlfn.XLOOKUP(Team_Report[[#This Row],[Team]],reference!B:B,reference!A:A)</f>
        <v>HBOSS Portal Fax Mapping</v>
      </c>
      <c r="AM11" s="117" t="str">
        <f t="shared" si="2"/>
        <v>HBOSS Portal Fax MappingAH DiabeticHeld-FaxMap-prod</v>
      </c>
      <c r="AN11" s="117" t="str">
        <f>IFERROR(_xlfn.XLOOKUP(Team_Report[[#This Row],[Camp+Team]],reference!D:D,reference!C:C),"")</f>
        <v>Fax Mapping</v>
      </c>
    </row>
    <row r="12" spans="1:40">
      <c r="A12" t="s">
        <v>301</v>
      </c>
      <c r="B12" t="s">
        <v>846</v>
      </c>
      <c r="C12" t="s">
        <v>847</v>
      </c>
      <c r="D12">
        <v>7</v>
      </c>
      <c r="E12">
        <v>5.9813722977013999</v>
      </c>
      <c r="F12">
        <v>8.3299999999999999E-2</v>
      </c>
      <c r="G12">
        <v>5.8333333333332998E-3</v>
      </c>
      <c r="H12">
        <v>7</v>
      </c>
      <c r="I12">
        <v>1</v>
      </c>
      <c r="J12">
        <v>5.9813722977013999</v>
      </c>
      <c r="K12">
        <v>7</v>
      </c>
      <c r="L12">
        <v>5.9813722977013999</v>
      </c>
      <c r="M12">
        <v>1.1702999999999999</v>
      </c>
      <c r="N12">
        <v>7.1178330342647006E-2</v>
      </c>
      <c r="O12" t="s">
        <v>848</v>
      </c>
      <c r="P12" t="s">
        <v>445</v>
      </c>
      <c r="Q12" t="s">
        <v>415</v>
      </c>
      <c r="R12" t="s">
        <v>312</v>
      </c>
      <c r="S12" t="s">
        <v>308</v>
      </c>
      <c r="T12" t="s">
        <v>557</v>
      </c>
      <c r="U12" t="s">
        <v>308</v>
      </c>
      <c r="V12" t="s">
        <v>308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308</v>
      </c>
      <c r="AC12" t="s">
        <v>308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17" t="str">
        <f t="shared" si="0"/>
        <v>BTG</v>
      </c>
      <c r="AK12" s="117" t="str">
        <f t="shared" si="1"/>
        <v>Faith Larissa Montablan</v>
      </c>
      <c r="AL12" s="117" t="str">
        <f>_xlfn.XLOOKUP(Team_Report[[#This Row],[Team]],reference!B:B,reference!A:A)</f>
        <v>HBOSS Portal Fax Mapping</v>
      </c>
      <c r="AM12" s="117" t="str">
        <f t="shared" si="2"/>
        <v>HBOSS Portal Fax MappingAH DiabeticHeld-FaxMap-prod</v>
      </c>
      <c r="AN12" s="117" t="str">
        <f>IFERROR(_xlfn.XLOOKUP(Team_Report[[#This Row],[Camp+Team]],reference!D:D,reference!C:C),"")</f>
        <v>Fax Mapping</v>
      </c>
    </row>
    <row r="13" spans="1:40">
      <c r="A13" t="s">
        <v>301</v>
      </c>
      <c r="B13" t="s">
        <v>849</v>
      </c>
      <c r="C13" t="s">
        <v>850</v>
      </c>
      <c r="D13">
        <v>3</v>
      </c>
      <c r="E13">
        <v>1.7241379310345</v>
      </c>
      <c r="F13">
        <v>6.6400000000000001E-2</v>
      </c>
      <c r="G13">
        <v>1.3888888888889E-3</v>
      </c>
      <c r="H13">
        <v>3</v>
      </c>
      <c r="I13">
        <v>1</v>
      </c>
      <c r="J13">
        <v>1.7241379310345</v>
      </c>
      <c r="K13">
        <v>43</v>
      </c>
      <c r="L13">
        <v>24.712643678161001</v>
      </c>
      <c r="M13">
        <v>1.74</v>
      </c>
      <c r="N13">
        <v>3.8160919540230001E-2</v>
      </c>
      <c r="O13" t="s">
        <v>851</v>
      </c>
      <c r="P13" t="s">
        <v>540</v>
      </c>
      <c r="Q13" t="s">
        <v>852</v>
      </c>
      <c r="R13" t="s">
        <v>319</v>
      </c>
      <c r="S13" t="s">
        <v>308</v>
      </c>
      <c r="T13" t="s">
        <v>308</v>
      </c>
      <c r="U13" t="s">
        <v>308</v>
      </c>
      <c r="V13" t="s">
        <v>308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308</v>
      </c>
      <c r="AC13" t="s">
        <v>308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17" t="str">
        <f t="shared" si="0"/>
        <v>BTG</v>
      </c>
      <c r="AK13" s="117" t="str">
        <f t="shared" si="1"/>
        <v>Ian James Ricero</v>
      </c>
      <c r="AL13" s="117" t="str">
        <f>_xlfn.XLOOKUP(Team_Report[[#This Row],[Team]],reference!B:B,reference!A:A)</f>
        <v>HBOSS Portal Fax Mapping</v>
      </c>
      <c r="AM13" s="117" t="str">
        <f t="shared" si="2"/>
        <v>HBOSS Portal Fax MappingAH DiabeticHeld-FaxMap-prod</v>
      </c>
      <c r="AN13" s="117" t="str">
        <f>IFERROR(_xlfn.XLOOKUP(Team_Report[[#This Row],[Camp+Team]],reference!D:D,reference!C:C),"")</f>
        <v>Fax Mapping</v>
      </c>
    </row>
    <row r="14" spans="1:40">
      <c r="A14" t="s">
        <v>301</v>
      </c>
      <c r="B14" t="s">
        <v>853</v>
      </c>
      <c r="C14" t="s">
        <v>854</v>
      </c>
      <c r="D14">
        <v>3</v>
      </c>
      <c r="E14">
        <v>8.3658672615728005</v>
      </c>
      <c r="F14">
        <v>7.6100000000000001E-2</v>
      </c>
      <c r="G14">
        <v>5.0000000000000001E-3</v>
      </c>
      <c r="H14">
        <v>3</v>
      </c>
      <c r="I14">
        <v>1</v>
      </c>
      <c r="J14">
        <v>8.3658672615728005</v>
      </c>
      <c r="K14">
        <v>31</v>
      </c>
      <c r="L14">
        <v>86.447295036252001</v>
      </c>
      <c r="M14">
        <v>0.35859999999999997</v>
      </c>
      <c r="N14">
        <v>0.21221416620190001</v>
      </c>
      <c r="O14" t="s">
        <v>855</v>
      </c>
      <c r="P14" t="s">
        <v>542</v>
      </c>
      <c r="Q14" t="s">
        <v>543</v>
      </c>
      <c r="R14" t="s">
        <v>315</v>
      </c>
      <c r="S14" t="s">
        <v>308</v>
      </c>
      <c r="T14" t="s">
        <v>501</v>
      </c>
      <c r="U14" t="s">
        <v>308</v>
      </c>
      <c r="V14" t="s">
        <v>308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308</v>
      </c>
      <c r="AC14" t="s">
        <v>308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17" t="str">
        <f t="shared" si="0"/>
        <v>BTG</v>
      </c>
      <c r="AK14" s="117" t="str">
        <f t="shared" si="1"/>
        <v>Janica Tonic</v>
      </c>
      <c r="AL14" s="117" t="str">
        <f>_xlfn.XLOOKUP(Team_Report[[#This Row],[Team]],reference!B:B,reference!A:A)</f>
        <v>HBOSS Portal Fax Mapping</v>
      </c>
      <c r="AM14" s="117" t="str">
        <f t="shared" si="2"/>
        <v>HBOSS Portal Fax MappingAH DiabeticHeld-FaxMap-prod</v>
      </c>
      <c r="AN14" s="117" t="str">
        <f>IFERROR(_xlfn.XLOOKUP(Team_Report[[#This Row],[Camp+Team]],reference!D:D,reference!C:C),"")</f>
        <v>Fax Mapping</v>
      </c>
    </row>
    <row r="15" spans="1:40">
      <c r="A15" t="s">
        <v>301</v>
      </c>
      <c r="B15" t="s">
        <v>856</v>
      </c>
      <c r="C15" t="s">
        <v>857</v>
      </c>
      <c r="D15">
        <v>4</v>
      </c>
      <c r="E15">
        <v>2.6359143327841998</v>
      </c>
      <c r="F15">
        <v>2.1899999999999999E-2</v>
      </c>
      <c r="G15">
        <v>7.7777777777778001E-3</v>
      </c>
      <c r="H15">
        <v>4</v>
      </c>
      <c r="I15">
        <v>1</v>
      </c>
      <c r="J15">
        <v>2.6359143327841998</v>
      </c>
      <c r="K15">
        <v>4</v>
      </c>
      <c r="L15">
        <v>2.6359143327841998</v>
      </c>
      <c r="M15">
        <v>1.5175000000000001</v>
      </c>
      <c r="N15">
        <v>1.4431630971993001E-2</v>
      </c>
      <c r="O15" t="s">
        <v>858</v>
      </c>
      <c r="P15" t="s">
        <v>742</v>
      </c>
      <c r="Q15" t="s">
        <v>322</v>
      </c>
      <c r="R15" t="s">
        <v>339</v>
      </c>
      <c r="S15" t="s">
        <v>308</v>
      </c>
      <c r="T15" t="s">
        <v>308</v>
      </c>
      <c r="U15" t="s">
        <v>308</v>
      </c>
      <c r="V15" t="s">
        <v>308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308</v>
      </c>
      <c r="AC15" t="s">
        <v>308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17" t="str">
        <f t="shared" si="0"/>
        <v>BTG</v>
      </c>
      <c r="AK15" s="117" t="str">
        <f t="shared" si="1"/>
        <v>Jayvan Cantollas</v>
      </c>
      <c r="AL15" s="117" t="str">
        <f>_xlfn.XLOOKUP(Team_Report[[#This Row],[Team]],reference!B:B,reference!A:A)</f>
        <v>HBOSS Portal Fax Mapping</v>
      </c>
      <c r="AM15" s="117" t="str">
        <f t="shared" si="2"/>
        <v>HBOSS Portal Fax MappingAH DiabeticHeld-FaxMap-prod</v>
      </c>
      <c r="AN15" s="117" t="str">
        <f>IFERROR(_xlfn.XLOOKUP(Team_Report[[#This Row],[Camp+Team]],reference!D:D,reference!C:C),"")</f>
        <v>Fax Mapping</v>
      </c>
    </row>
    <row r="16" spans="1:40">
      <c r="A16" t="s">
        <v>301</v>
      </c>
      <c r="B16" t="s">
        <v>859</v>
      </c>
      <c r="C16" t="s">
        <v>860</v>
      </c>
      <c r="D16">
        <v>2</v>
      </c>
      <c r="E16">
        <v>1.3460761879122001</v>
      </c>
      <c r="F16">
        <v>1.8599999999999998E-2</v>
      </c>
      <c r="G16">
        <v>1.6666666666667E-3</v>
      </c>
      <c r="H16">
        <v>2</v>
      </c>
      <c r="I16">
        <v>1</v>
      </c>
      <c r="J16">
        <v>1.3460761879122001</v>
      </c>
      <c r="K16">
        <v>8</v>
      </c>
      <c r="L16">
        <v>5.3843047516488998</v>
      </c>
      <c r="M16">
        <v>1.4858</v>
      </c>
      <c r="N16">
        <v>1.2518508547584E-2</v>
      </c>
      <c r="O16" t="s">
        <v>861</v>
      </c>
      <c r="P16" t="s">
        <v>530</v>
      </c>
      <c r="Q16" t="s">
        <v>424</v>
      </c>
      <c r="R16" t="s">
        <v>312</v>
      </c>
      <c r="S16" t="s">
        <v>308</v>
      </c>
      <c r="T16" t="s">
        <v>308</v>
      </c>
      <c r="U16" t="s">
        <v>308</v>
      </c>
      <c r="V16" t="s">
        <v>308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308</v>
      </c>
      <c r="AC16" t="s">
        <v>308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17" t="str">
        <f t="shared" si="0"/>
        <v>BTG</v>
      </c>
      <c r="AK16" s="117" t="str">
        <f t="shared" si="1"/>
        <v>Jhon Carlo Marcelino</v>
      </c>
      <c r="AL16" s="117" t="str">
        <f>_xlfn.XLOOKUP(Team_Report[[#This Row],[Team]],reference!B:B,reference!A:A)</f>
        <v>HBOSS Portal Fax Mapping</v>
      </c>
      <c r="AM16" s="117" t="str">
        <f t="shared" si="2"/>
        <v>HBOSS Portal Fax MappingAH DiabeticHeld-FaxMap-prod</v>
      </c>
      <c r="AN16" s="117" t="str">
        <f>IFERROR(_xlfn.XLOOKUP(Team_Report[[#This Row],[Camp+Team]],reference!D:D,reference!C:C),"")</f>
        <v>Fax Mapping</v>
      </c>
    </row>
    <row r="17" spans="1:40">
      <c r="A17" t="s">
        <v>301</v>
      </c>
      <c r="B17" t="s">
        <v>862</v>
      </c>
      <c r="C17" t="s">
        <v>863</v>
      </c>
      <c r="D17">
        <v>4</v>
      </c>
      <c r="E17">
        <v>2.3304591004428001</v>
      </c>
      <c r="F17">
        <v>4.2799999999999998E-2</v>
      </c>
      <c r="G17">
        <v>9.7222222222221998E-3</v>
      </c>
      <c r="H17">
        <v>4</v>
      </c>
      <c r="I17">
        <v>1</v>
      </c>
      <c r="J17">
        <v>2.3304591004428001</v>
      </c>
      <c r="K17">
        <v>17</v>
      </c>
      <c r="L17">
        <v>9.9044511768817998</v>
      </c>
      <c r="M17">
        <v>1.7163999999999999</v>
      </c>
      <c r="N17">
        <v>2.4935912374737999E-2</v>
      </c>
      <c r="O17" t="s">
        <v>864</v>
      </c>
      <c r="P17" t="s">
        <v>672</v>
      </c>
      <c r="Q17" t="s">
        <v>865</v>
      </c>
      <c r="R17" t="s">
        <v>306</v>
      </c>
      <c r="S17" t="s">
        <v>308</v>
      </c>
      <c r="T17" t="s">
        <v>308</v>
      </c>
      <c r="U17" t="s">
        <v>308</v>
      </c>
      <c r="V17" t="s">
        <v>308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308</v>
      </c>
      <c r="AC17" t="s">
        <v>308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17" t="str">
        <f t="shared" si="0"/>
        <v>BTG</v>
      </c>
      <c r="AK17" s="117" t="str">
        <f t="shared" si="1"/>
        <v>Joelle Ann Poticar</v>
      </c>
      <c r="AL17" s="117" t="str">
        <f>_xlfn.XLOOKUP(Team_Report[[#This Row],[Team]],reference!B:B,reference!A:A)</f>
        <v>HBOSS Portal Fax Mapping</v>
      </c>
      <c r="AM17" s="117" t="str">
        <f t="shared" si="2"/>
        <v>HBOSS Portal Fax MappingAH DiabeticHeld-FaxMap-prod</v>
      </c>
      <c r="AN17" s="117" t="str">
        <f>IFERROR(_xlfn.XLOOKUP(Team_Report[[#This Row],[Camp+Team]],reference!D:D,reference!C:C),"")</f>
        <v>Fax Mapping</v>
      </c>
    </row>
    <row r="18" spans="1:40">
      <c r="A18" t="s">
        <v>301</v>
      </c>
      <c r="B18" t="s">
        <v>866</v>
      </c>
      <c r="C18" t="s">
        <v>867</v>
      </c>
      <c r="D18">
        <v>1</v>
      </c>
      <c r="E18">
        <v>0.58889346917143004</v>
      </c>
      <c r="F18">
        <v>1.14E-2</v>
      </c>
      <c r="G18">
        <v>5.5555555555556E-4</v>
      </c>
      <c r="H18">
        <v>1</v>
      </c>
      <c r="I18">
        <v>1</v>
      </c>
      <c r="J18">
        <v>0.58889346917143004</v>
      </c>
      <c r="K18">
        <v>7</v>
      </c>
      <c r="L18">
        <v>4.1222542842000003</v>
      </c>
      <c r="M18">
        <v>1.6980999999999999</v>
      </c>
      <c r="N18">
        <v>6.7133855485542997E-3</v>
      </c>
      <c r="O18" t="s">
        <v>834</v>
      </c>
      <c r="P18" t="s">
        <v>449</v>
      </c>
      <c r="Q18" t="s">
        <v>321</v>
      </c>
      <c r="R18" t="s">
        <v>304</v>
      </c>
      <c r="S18" t="s">
        <v>308</v>
      </c>
      <c r="T18" t="s">
        <v>308</v>
      </c>
      <c r="U18" t="s">
        <v>308</v>
      </c>
      <c r="V18" t="s">
        <v>308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308</v>
      </c>
      <c r="AC18" t="s">
        <v>308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17" t="str">
        <f t="shared" si="0"/>
        <v>BTG</v>
      </c>
      <c r="AK18" s="117" t="str">
        <f t="shared" si="1"/>
        <v>Joyce Caila Olan</v>
      </c>
      <c r="AL18" s="117" t="str">
        <f>_xlfn.XLOOKUP(Team_Report[[#This Row],[Team]],reference!B:B,reference!A:A)</f>
        <v>HBOSS Portal Fax Mapping</v>
      </c>
      <c r="AM18" s="117" t="str">
        <f t="shared" si="2"/>
        <v>HBOSS Portal Fax MappingAH DiabeticHeld-FaxMap-prod</v>
      </c>
      <c r="AN18" s="117" t="str">
        <f>IFERROR(_xlfn.XLOOKUP(Team_Report[[#This Row],[Camp+Team]],reference!D:D,reference!C:C),"")</f>
        <v>Fax Mapping</v>
      </c>
    </row>
    <row r="19" spans="1:40">
      <c r="A19" t="s">
        <v>301</v>
      </c>
      <c r="B19" t="s">
        <v>868</v>
      </c>
      <c r="C19" t="s">
        <v>869</v>
      </c>
      <c r="D19">
        <v>1</v>
      </c>
      <c r="E19">
        <v>0.67163677883001005</v>
      </c>
      <c r="F19">
        <v>8.8999999999999999E-3</v>
      </c>
      <c r="G19">
        <v>3.0555555555556E-3</v>
      </c>
      <c r="H19">
        <v>1</v>
      </c>
      <c r="I19">
        <v>1</v>
      </c>
      <c r="J19">
        <v>0.67163677883001005</v>
      </c>
      <c r="K19">
        <v>4</v>
      </c>
      <c r="L19">
        <v>2.6865471153199998</v>
      </c>
      <c r="M19">
        <v>1.4888999999999999</v>
      </c>
      <c r="N19">
        <v>5.9775673315871003E-3</v>
      </c>
      <c r="O19" t="s">
        <v>870</v>
      </c>
      <c r="P19" t="s">
        <v>449</v>
      </c>
      <c r="Q19" t="s">
        <v>498</v>
      </c>
      <c r="R19" t="s">
        <v>409</v>
      </c>
      <c r="S19" t="s">
        <v>308</v>
      </c>
      <c r="T19" t="s">
        <v>308</v>
      </c>
      <c r="U19" t="s">
        <v>308</v>
      </c>
      <c r="V19" t="s">
        <v>308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308</v>
      </c>
      <c r="AC19" t="s">
        <v>308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17" t="str">
        <f t="shared" si="0"/>
        <v>BTG</v>
      </c>
      <c r="AK19" s="117" t="str">
        <f t="shared" si="1"/>
        <v>Julee Anne Stephanny Guitierrez</v>
      </c>
      <c r="AL19" s="117" t="str">
        <f>_xlfn.XLOOKUP(Team_Report[[#This Row],[Team]],reference!B:B,reference!A:A)</f>
        <v>HBOSS Portal Fax Mapping</v>
      </c>
      <c r="AM19" s="117" t="str">
        <f t="shared" si="2"/>
        <v>HBOSS Portal Fax MappingAH DiabeticHeld-FaxMap-prod</v>
      </c>
      <c r="AN19" s="117" t="str">
        <f>IFERROR(_xlfn.XLOOKUP(Team_Report[[#This Row],[Camp+Team]],reference!D:D,reference!C:C),"")</f>
        <v>Fax Mapping</v>
      </c>
    </row>
    <row r="20" spans="1:40">
      <c r="A20" t="s">
        <v>301</v>
      </c>
      <c r="B20" t="s">
        <v>871</v>
      </c>
      <c r="C20" t="s">
        <v>872</v>
      </c>
      <c r="D20">
        <v>4</v>
      </c>
      <c r="E20">
        <v>2.6970534690850001</v>
      </c>
      <c r="F20">
        <v>3.3599999999999998E-2</v>
      </c>
      <c r="G20">
        <v>2.7777777777778E-3</v>
      </c>
      <c r="H20">
        <v>4</v>
      </c>
      <c r="I20">
        <v>1</v>
      </c>
      <c r="J20">
        <v>2.6970534690850001</v>
      </c>
      <c r="K20">
        <v>10</v>
      </c>
      <c r="L20">
        <v>6.7426336727125999</v>
      </c>
      <c r="M20">
        <v>1.4831000000000001</v>
      </c>
      <c r="N20">
        <v>2.2655249140313999E-2</v>
      </c>
      <c r="O20" t="s">
        <v>873</v>
      </c>
      <c r="P20" t="s">
        <v>498</v>
      </c>
      <c r="Q20" t="s">
        <v>389</v>
      </c>
      <c r="R20" t="s">
        <v>304</v>
      </c>
      <c r="S20" t="s">
        <v>308</v>
      </c>
      <c r="T20" t="s">
        <v>308</v>
      </c>
      <c r="U20" t="s">
        <v>308</v>
      </c>
      <c r="V20" t="s">
        <v>308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308</v>
      </c>
      <c r="AC20" t="s">
        <v>308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17" t="str">
        <f t="shared" si="0"/>
        <v>BTG</v>
      </c>
      <c r="AK20" s="117" t="str">
        <f t="shared" si="1"/>
        <v>Justin Ulysses Gregorio</v>
      </c>
      <c r="AL20" s="117" t="str">
        <f>_xlfn.XLOOKUP(Team_Report[[#This Row],[Team]],reference!B:B,reference!A:A)</f>
        <v>HBOSS Portal Fax Mapping</v>
      </c>
      <c r="AM20" s="117" t="str">
        <f t="shared" si="2"/>
        <v>HBOSS Portal Fax MappingAH DiabeticHeld-FaxMap-prod</v>
      </c>
      <c r="AN20" s="117" t="str">
        <f>IFERROR(_xlfn.XLOOKUP(Team_Report[[#This Row],[Camp+Team]],reference!D:D,reference!C:C),"")</f>
        <v>Fax Mapping</v>
      </c>
    </row>
    <row r="21" spans="1:40">
      <c r="A21" t="s">
        <v>301</v>
      </c>
      <c r="B21" t="s">
        <v>874</v>
      </c>
      <c r="C21" t="s">
        <v>875</v>
      </c>
      <c r="D21">
        <v>1</v>
      </c>
      <c r="E21">
        <v>0.58506903814650002</v>
      </c>
      <c r="F21">
        <v>2.4400000000000002E-2</v>
      </c>
      <c r="G21">
        <v>2.5000000000000001E-3</v>
      </c>
      <c r="H21">
        <v>1</v>
      </c>
      <c r="I21">
        <v>1</v>
      </c>
      <c r="J21">
        <v>0.58506903814650002</v>
      </c>
      <c r="K21">
        <v>15</v>
      </c>
      <c r="L21">
        <v>8.7760355721975003</v>
      </c>
      <c r="M21">
        <v>1.7092000000000001</v>
      </c>
      <c r="N21">
        <v>1.4275684530775001E-2</v>
      </c>
      <c r="O21" t="s">
        <v>876</v>
      </c>
      <c r="P21" t="s">
        <v>542</v>
      </c>
      <c r="Q21" t="s">
        <v>684</v>
      </c>
      <c r="R21" t="s">
        <v>395</v>
      </c>
      <c r="S21" t="s">
        <v>308</v>
      </c>
      <c r="T21" t="s">
        <v>308</v>
      </c>
      <c r="U21" t="s">
        <v>308</v>
      </c>
      <c r="V21" t="s">
        <v>308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308</v>
      </c>
      <c r="AC21" t="s">
        <v>308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17" t="str">
        <f t="shared" si="0"/>
        <v>BTG</v>
      </c>
      <c r="AK21" s="117" t="str">
        <f t="shared" si="1"/>
        <v>Kristina Lyza Vinzon</v>
      </c>
      <c r="AL21" s="117" t="str">
        <f>_xlfn.XLOOKUP(Team_Report[[#This Row],[Team]],reference!B:B,reference!A:A)</f>
        <v>HBOSS Portal Fax Mapping</v>
      </c>
      <c r="AM21" s="117" t="str">
        <f t="shared" si="2"/>
        <v>HBOSS Portal Fax MappingAH DiabeticHeld-FaxMap-prod</v>
      </c>
      <c r="AN21" s="117" t="str">
        <f>IFERROR(_xlfn.XLOOKUP(Team_Report[[#This Row],[Camp+Team]],reference!D:D,reference!C:C),"")</f>
        <v>Fax Mapping</v>
      </c>
    </row>
    <row r="22" spans="1:40">
      <c r="A22" t="s">
        <v>301</v>
      </c>
      <c r="B22" t="s">
        <v>877</v>
      </c>
      <c r="C22" t="s">
        <v>878</v>
      </c>
      <c r="D22">
        <v>1</v>
      </c>
      <c r="E22">
        <v>0.84132592966514996</v>
      </c>
      <c r="F22">
        <v>0.01</v>
      </c>
      <c r="G22">
        <v>3.0555555555556E-3</v>
      </c>
      <c r="H22">
        <v>1</v>
      </c>
      <c r="I22">
        <v>1</v>
      </c>
      <c r="J22">
        <v>0.84132592966514996</v>
      </c>
      <c r="K22">
        <v>4</v>
      </c>
      <c r="L22">
        <v>3.3653037186605999</v>
      </c>
      <c r="M22">
        <v>1.1886000000000001</v>
      </c>
      <c r="N22">
        <v>8.4132592966514996E-3</v>
      </c>
      <c r="O22" t="s">
        <v>879</v>
      </c>
      <c r="P22" t="s">
        <v>672</v>
      </c>
      <c r="Q22" t="s">
        <v>530</v>
      </c>
      <c r="R22" t="s">
        <v>409</v>
      </c>
      <c r="S22" t="s">
        <v>308</v>
      </c>
      <c r="T22" t="s">
        <v>308</v>
      </c>
      <c r="U22" t="s">
        <v>308</v>
      </c>
      <c r="V22" t="s">
        <v>308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308</v>
      </c>
      <c r="AC22" t="s">
        <v>308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17" t="str">
        <f t="shared" si="0"/>
        <v>BTG</v>
      </c>
      <c r="AK22" s="117" t="str">
        <f t="shared" si="1"/>
        <v>Mariz Pagkaliwagan</v>
      </c>
      <c r="AL22" s="117" t="str">
        <f>_xlfn.XLOOKUP(Team_Report[[#This Row],[Team]],reference!B:B,reference!A:A)</f>
        <v>HBOSS Portal Fax Mapping</v>
      </c>
      <c r="AM22" s="117" t="str">
        <f t="shared" si="2"/>
        <v>HBOSS Portal Fax MappingAH DiabeticHeld-FaxMap-prod</v>
      </c>
      <c r="AN22" s="117" t="str">
        <f>IFERROR(_xlfn.XLOOKUP(Team_Report[[#This Row],[Camp+Team]],reference!D:D,reference!C:C),"")</f>
        <v>Fax Mapping</v>
      </c>
    </row>
    <row r="23" spans="1:40">
      <c r="A23" t="s">
        <v>301</v>
      </c>
      <c r="B23" t="s">
        <v>880</v>
      </c>
      <c r="C23" t="s">
        <v>881</v>
      </c>
      <c r="D23">
        <v>3</v>
      </c>
      <c r="E23">
        <v>2.2974421810384</v>
      </c>
      <c r="F23">
        <v>1.1900000000000001E-2</v>
      </c>
      <c r="G23">
        <v>3.3333333333333002E-3</v>
      </c>
      <c r="H23">
        <v>3</v>
      </c>
      <c r="I23">
        <v>1</v>
      </c>
      <c r="J23">
        <v>2.2974421810384</v>
      </c>
      <c r="K23">
        <v>3</v>
      </c>
      <c r="L23">
        <v>2.2974421810384</v>
      </c>
      <c r="M23">
        <v>1.3058000000000001</v>
      </c>
      <c r="N23">
        <v>9.1131873181191994E-3</v>
      </c>
      <c r="O23" t="s">
        <v>882</v>
      </c>
      <c r="P23" t="s">
        <v>578</v>
      </c>
      <c r="Q23" t="s">
        <v>307</v>
      </c>
      <c r="R23" t="s">
        <v>613</v>
      </c>
      <c r="S23" t="s">
        <v>308</v>
      </c>
      <c r="T23" t="s">
        <v>308</v>
      </c>
      <c r="U23" t="s">
        <v>308</v>
      </c>
      <c r="V23" t="s">
        <v>308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308</v>
      </c>
      <c r="AC23" t="s">
        <v>308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17" t="str">
        <f t="shared" si="0"/>
        <v>BTG</v>
      </c>
      <c r="AK23" s="117" t="str">
        <f t="shared" si="1"/>
        <v>Merwin Bayubo</v>
      </c>
      <c r="AL23" s="117" t="str">
        <f>_xlfn.XLOOKUP(Team_Report[[#This Row],[Team]],reference!B:B,reference!A:A)</f>
        <v>HBOSS Portal Fax Mapping</v>
      </c>
      <c r="AM23" s="117" t="str">
        <f t="shared" si="2"/>
        <v>HBOSS Portal Fax MappingAH DiabeticHeld-FaxMap-prod</v>
      </c>
      <c r="AN23" s="117" t="str">
        <f>IFERROR(_xlfn.XLOOKUP(Team_Report[[#This Row],[Camp+Team]],reference!D:D,reference!C:C),"")</f>
        <v>Fax Mapping</v>
      </c>
    </row>
    <row r="24" spans="1:40">
      <c r="A24" t="s">
        <v>301</v>
      </c>
      <c r="B24" t="s">
        <v>883</v>
      </c>
      <c r="C24" t="s">
        <v>884</v>
      </c>
      <c r="D24">
        <v>1</v>
      </c>
      <c r="E24">
        <v>0.58404392010279005</v>
      </c>
      <c r="F24">
        <v>2.7799999999999998E-2</v>
      </c>
      <c r="G24">
        <v>1.9444444444443999E-3</v>
      </c>
      <c r="H24">
        <v>1</v>
      </c>
      <c r="I24">
        <v>1</v>
      </c>
      <c r="J24">
        <v>0.58404392010279005</v>
      </c>
      <c r="K24">
        <v>13</v>
      </c>
      <c r="L24">
        <v>7.5925709613362988</v>
      </c>
      <c r="M24">
        <v>1.7121999999999999</v>
      </c>
      <c r="N24">
        <v>1.6236420978858E-2</v>
      </c>
      <c r="O24" t="s">
        <v>885</v>
      </c>
      <c r="P24" t="s">
        <v>789</v>
      </c>
      <c r="Q24" t="s">
        <v>886</v>
      </c>
      <c r="R24" t="s">
        <v>339</v>
      </c>
      <c r="S24" t="s">
        <v>308</v>
      </c>
      <c r="T24" t="s">
        <v>308</v>
      </c>
      <c r="U24" t="s">
        <v>308</v>
      </c>
      <c r="V24" t="s">
        <v>308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308</v>
      </c>
      <c r="AC24" t="s">
        <v>308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17" t="str">
        <f t="shared" si="0"/>
        <v>BTG</v>
      </c>
      <c r="AK24" s="117" t="str">
        <f t="shared" si="1"/>
        <v>Mia Liza Cudiamat</v>
      </c>
      <c r="AL24" s="117" t="str">
        <f>_xlfn.XLOOKUP(Team_Report[[#This Row],[Team]],reference!B:B,reference!A:A)</f>
        <v>HBOSS Portal Fax Mapping</v>
      </c>
      <c r="AM24" s="117" t="str">
        <f t="shared" si="2"/>
        <v>HBOSS Portal Fax MappingAH DiabeticHeld-FaxMap-prod</v>
      </c>
      <c r="AN24" s="117" t="str">
        <f>IFERROR(_xlfn.XLOOKUP(Team_Report[[#This Row],[Camp+Team]],reference!D:D,reference!C:C),"")</f>
        <v>Fax Mapping</v>
      </c>
    </row>
    <row r="25" spans="1:40">
      <c r="A25" t="s">
        <v>301</v>
      </c>
      <c r="B25" t="s">
        <v>887</v>
      </c>
      <c r="C25" t="s">
        <v>888</v>
      </c>
      <c r="D25">
        <v>6</v>
      </c>
      <c r="E25">
        <v>4.5112781954886998</v>
      </c>
      <c r="F25">
        <v>2.86E-2</v>
      </c>
      <c r="G25">
        <v>8.8888888888888993E-3</v>
      </c>
      <c r="H25">
        <v>6</v>
      </c>
      <c r="I25">
        <v>1</v>
      </c>
      <c r="J25">
        <v>4.5112781954886998</v>
      </c>
      <c r="K25">
        <v>6</v>
      </c>
      <c r="L25">
        <v>4.5112781954886998</v>
      </c>
      <c r="M25">
        <v>1.33</v>
      </c>
      <c r="N25">
        <v>2.1503759398496001E-2</v>
      </c>
      <c r="O25" t="s">
        <v>889</v>
      </c>
      <c r="P25" t="s">
        <v>765</v>
      </c>
      <c r="Q25" t="s">
        <v>527</v>
      </c>
      <c r="R25" t="s">
        <v>504</v>
      </c>
      <c r="S25" t="s">
        <v>308</v>
      </c>
      <c r="T25" t="s">
        <v>308</v>
      </c>
      <c r="U25" t="s">
        <v>308</v>
      </c>
      <c r="V25" t="s">
        <v>308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308</v>
      </c>
      <c r="AC25" t="s">
        <v>308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17" t="str">
        <f t="shared" si="0"/>
        <v>BTG</v>
      </c>
      <c r="AK25" s="117" t="str">
        <f t="shared" si="1"/>
        <v>Pamela Joy Toralba</v>
      </c>
      <c r="AL25" s="117" t="str">
        <f>_xlfn.XLOOKUP(Team_Report[[#This Row],[Team]],reference!B:B,reference!A:A)</f>
        <v>HBOSS Portal Fax Mapping</v>
      </c>
      <c r="AM25" s="117" t="str">
        <f t="shared" si="2"/>
        <v>HBOSS Portal Fax MappingAH DiabeticHeld-FaxMap-prod</v>
      </c>
      <c r="AN25" s="117" t="str">
        <f>IFERROR(_xlfn.XLOOKUP(Team_Report[[#This Row],[Camp+Team]],reference!D:D,reference!C:C),"")</f>
        <v>Fax Mapping</v>
      </c>
    </row>
    <row r="26" spans="1:40">
      <c r="A26" t="s">
        <v>301</v>
      </c>
      <c r="B26" t="s">
        <v>890</v>
      </c>
      <c r="C26" t="s">
        <v>891</v>
      </c>
      <c r="D26">
        <v>1</v>
      </c>
      <c r="E26">
        <v>0.58288645371881997</v>
      </c>
      <c r="F26">
        <v>2.3900000000000001E-2</v>
      </c>
      <c r="G26">
        <v>1.6666666666667E-3</v>
      </c>
      <c r="H26">
        <v>1</v>
      </c>
      <c r="I26">
        <v>1</v>
      </c>
      <c r="J26">
        <v>0.58288645371881997</v>
      </c>
      <c r="K26">
        <v>12</v>
      </c>
      <c r="L26">
        <v>6.9946374446258002</v>
      </c>
      <c r="M26">
        <v>1.7156</v>
      </c>
      <c r="N26">
        <v>1.3930986243880001E-2</v>
      </c>
      <c r="O26" t="s">
        <v>892</v>
      </c>
      <c r="P26" t="s">
        <v>366</v>
      </c>
      <c r="Q26" t="s">
        <v>548</v>
      </c>
      <c r="R26" t="s">
        <v>315</v>
      </c>
      <c r="S26" t="s">
        <v>308</v>
      </c>
      <c r="T26" t="s">
        <v>308</v>
      </c>
      <c r="U26" t="s">
        <v>308</v>
      </c>
      <c r="V26" t="s">
        <v>308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308</v>
      </c>
      <c r="AC26" t="s">
        <v>308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17" t="str">
        <f t="shared" si="0"/>
        <v>BTG</v>
      </c>
      <c r="AK26" s="117" t="str">
        <f t="shared" si="1"/>
        <v>Patricia Caryl Joco</v>
      </c>
      <c r="AL26" s="117" t="str">
        <f>_xlfn.XLOOKUP(Team_Report[[#This Row],[Team]],reference!B:B,reference!A:A)</f>
        <v>HBOSS Portal Fax Mapping</v>
      </c>
      <c r="AM26" s="117" t="str">
        <f t="shared" si="2"/>
        <v>HBOSS Portal Fax MappingAH DiabeticHeld-FaxMap-prod</v>
      </c>
      <c r="AN26" s="117" t="str">
        <f>IFERROR(_xlfn.XLOOKUP(Team_Report[[#This Row],[Camp+Team]],reference!D:D,reference!C:C),"")</f>
        <v>Fax Mapping</v>
      </c>
    </row>
    <row r="27" spans="1:40">
      <c r="A27" t="s">
        <v>301</v>
      </c>
      <c r="B27" t="s">
        <v>893</v>
      </c>
      <c r="C27" t="s">
        <v>894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1.05</v>
      </c>
      <c r="N27">
        <v>0</v>
      </c>
      <c r="O27" t="s">
        <v>308</v>
      </c>
      <c r="P27" t="s">
        <v>308</v>
      </c>
      <c r="Q27" t="s">
        <v>308</v>
      </c>
      <c r="R27" t="s">
        <v>308</v>
      </c>
      <c r="S27" t="s">
        <v>308</v>
      </c>
      <c r="T27" t="s">
        <v>308</v>
      </c>
      <c r="U27" t="s">
        <v>308</v>
      </c>
      <c r="V27" t="s">
        <v>308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308</v>
      </c>
      <c r="AC27" t="s">
        <v>308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17" t="str">
        <f t="shared" si="0"/>
        <v>BTG</v>
      </c>
      <c r="AK27" s="117" t="str">
        <f t="shared" si="1"/>
        <v>Riniel Javier</v>
      </c>
      <c r="AL27" s="117" t="str">
        <f>_xlfn.XLOOKUP(Team_Report[[#This Row],[Team]],reference!B:B,reference!A:A)</f>
        <v>HBOSS Portal Fax Mapping</v>
      </c>
      <c r="AM27" s="117" t="str">
        <f t="shared" si="2"/>
        <v>HBOSS Portal Fax MappingAH DiabeticHeld-FaxMap-prod</v>
      </c>
      <c r="AN27" s="117" t="str">
        <f>IFERROR(_xlfn.XLOOKUP(Team_Report[[#This Row],[Camp+Team]],reference!D:D,reference!C:C),"")</f>
        <v>Fax Mapping</v>
      </c>
    </row>
    <row r="28" spans="1:40">
      <c r="A28" t="s">
        <v>301</v>
      </c>
      <c r="B28" t="s">
        <v>895</v>
      </c>
      <c r="C28" t="s">
        <v>896</v>
      </c>
      <c r="D28">
        <v>10</v>
      </c>
      <c r="E28">
        <v>6.7367286445702002</v>
      </c>
      <c r="F28">
        <v>6.1899999999999997E-2</v>
      </c>
      <c r="G28">
        <v>4.4444444444444002E-3</v>
      </c>
      <c r="H28">
        <v>10</v>
      </c>
      <c r="I28">
        <v>1</v>
      </c>
      <c r="J28">
        <v>6.7367286445702002</v>
      </c>
      <c r="K28">
        <v>10</v>
      </c>
      <c r="L28">
        <v>6.7367286445702002</v>
      </c>
      <c r="M28">
        <v>1.4843999999999999</v>
      </c>
      <c r="N28">
        <v>4.170035030989E-2</v>
      </c>
      <c r="O28" t="s">
        <v>897</v>
      </c>
      <c r="P28" t="s">
        <v>305</v>
      </c>
      <c r="Q28" t="s">
        <v>765</v>
      </c>
      <c r="R28" t="s">
        <v>319</v>
      </c>
      <c r="S28" t="s">
        <v>308</v>
      </c>
      <c r="T28" t="s">
        <v>308</v>
      </c>
      <c r="U28" t="s">
        <v>308</v>
      </c>
      <c r="V28" t="s">
        <v>308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308</v>
      </c>
      <c r="AC28" t="s">
        <v>308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17" t="str">
        <f t="shared" si="0"/>
        <v>BTG</v>
      </c>
      <c r="AK28" s="117" t="str">
        <f t="shared" si="1"/>
        <v>Winchester Sulit</v>
      </c>
      <c r="AL28" s="117" t="str">
        <f>_xlfn.XLOOKUP(Team_Report[[#This Row],[Team]],reference!B:B,reference!A:A)</f>
        <v>HBOSS Portal Fax Mapping</v>
      </c>
      <c r="AM28" s="117" t="str">
        <f t="shared" si="2"/>
        <v>HBOSS Portal Fax MappingAH DiabeticHeld-FaxMap-prod</v>
      </c>
      <c r="AN28" s="117" t="str">
        <f>IFERROR(_xlfn.XLOOKUP(Team_Report[[#This Row],[Camp+Team]],reference!D:D,reference!C:C),"")</f>
        <v>Fax Mapping</v>
      </c>
    </row>
    <row r="29" spans="1:40">
      <c r="A29" t="s">
        <v>301</v>
      </c>
      <c r="B29" t="s">
        <v>748</v>
      </c>
      <c r="C29" t="s">
        <v>749</v>
      </c>
      <c r="D29">
        <v>1</v>
      </c>
      <c r="E29">
        <v>1.9470404984423999</v>
      </c>
      <c r="F29">
        <v>4.1999999999999997E-3</v>
      </c>
      <c r="G29">
        <v>1.2500000000000001E-2</v>
      </c>
      <c r="H29">
        <v>1</v>
      </c>
      <c r="I29">
        <v>1</v>
      </c>
      <c r="J29">
        <v>1.9470404984423999</v>
      </c>
      <c r="K29">
        <v>5</v>
      </c>
      <c r="L29">
        <v>9.7352024922117995</v>
      </c>
      <c r="M29">
        <v>0.51359999999999995</v>
      </c>
      <c r="N29">
        <v>8.1775700934578997E-3</v>
      </c>
      <c r="O29" t="s">
        <v>922</v>
      </c>
      <c r="P29" t="s">
        <v>314</v>
      </c>
      <c r="Q29" t="s">
        <v>333</v>
      </c>
      <c r="R29" t="s">
        <v>445</v>
      </c>
      <c r="S29" t="s">
        <v>308</v>
      </c>
      <c r="T29" t="s">
        <v>308</v>
      </c>
      <c r="U29" t="s">
        <v>308</v>
      </c>
      <c r="V29" t="s">
        <v>308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308</v>
      </c>
      <c r="AC29" t="s">
        <v>308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17" t="str">
        <f t="shared" si="0"/>
        <v>ILO</v>
      </c>
      <c r="AK29" s="117" t="str">
        <f t="shared" si="1"/>
        <v>Gabriel Anthony Astrologo</v>
      </c>
      <c r="AL29" s="117" t="str">
        <f>_xlfn.XLOOKUP(Team_Report[[#This Row],[Team]],reference!B:B,reference!A:A)</f>
        <v>HBOSS Portal Fax Mapping</v>
      </c>
      <c r="AM29" s="117" t="str">
        <f t="shared" si="2"/>
        <v>HBOSS Portal Fax MappingAH DiabeticHeld-FaxMap-prod</v>
      </c>
      <c r="AN29" s="117" t="str">
        <f>IFERROR(_xlfn.XLOOKUP(Team_Report[[#This Row],[Camp+Team]],reference!D:D,reference!C:C),"")</f>
        <v>Fax Mapping</v>
      </c>
    </row>
    <row r="30" spans="1:40">
      <c r="A30" t="s">
        <v>301</v>
      </c>
      <c r="B30" t="s">
        <v>795</v>
      </c>
      <c r="C30" t="s">
        <v>796</v>
      </c>
      <c r="D30">
        <v>4</v>
      </c>
      <c r="E30">
        <v>2.9150269639994</v>
      </c>
      <c r="F30">
        <v>2.3900000000000001E-2</v>
      </c>
      <c r="G30">
        <v>6.1111111111111002E-3</v>
      </c>
      <c r="H30">
        <v>4</v>
      </c>
      <c r="I30">
        <v>1</v>
      </c>
      <c r="J30">
        <v>2.9150269639994</v>
      </c>
      <c r="K30">
        <v>30</v>
      </c>
      <c r="L30">
        <v>21.862702229996</v>
      </c>
      <c r="M30">
        <v>1.3722000000000001</v>
      </c>
      <c r="N30">
        <v>1.7417286109896998E-2</v>
      </c>
      <c r="O30" t="s">
        <v>914</v>
      </c>
      <c r="P30" t="s">
        <v>831</v>
      </c>
      <c r="Q30" t="s">
        <v>469</v>
      </c>
      <c r="R30" t="s">
        <v>504</v>
      </c>
      <c r="S30" t="s">
        <v>308</v>
      </c>
      <c r="T30" t="s">
        <v>308</v>
      </c>
      <c r="U30" t="s">
        <v>308</v>
      </c>
      <c r="V30" t="s">
        <v>308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308</v>
      </c>
      <c r="AC30" t="s">
        <v>308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17" t="str">
        <f t="shared" si="0"/>
        <v>ILO</v>
      </c>
      <c r="AK30" s="117" t="str">
        <f t="shared" si="1"/>
        <v>Reymar Brunda</v>
      </c>
      <c r="AL30" s="117" t="str">
        <f>_xlfn.XLOOKUP(Team_Report[[#This Row],[Team]],reference!B:B,reference!A:A)</f>
        <v>HBOSS Portal Fax Mapping</v>
      </c>
      <c r="AM30" s="117" t="str">
        <f t="shared" si="2"/>
        <v>HBOSS Portal Fax MappingAH DiabeticHeld-FaxMap-prod</v>
      </c>
      <c r="AN30" s="117" t="str">
        <f>IFERROR(_xlfn.XLOOKUP(Team_Report[[#This Row],[Camp+Team]],reference!D:D,reference!C:C),"")</f>
        <v>Fax Mapping</v>
      </c>
    </row>
    <row r="31" spans="1:40">
      <c r="A31" t="s">
        <v>301</v>
      </c>
      <c r="B31" t="s">
        <v>755</v>
      </c>
      <c r="C31" t="s">
        <v>756</v>
      </c>
      <c r="D31">
        <v>1</v>
      </c>
      <c r="E31">
        <v>2.4894199651480999</v>
      </c>
      <c r="F31">
        <v>5.3E-3</v>
      </c>
      <c r="G31">
        <v>2.7777777777778E-4</v>
      </c>
      <c r="H31">
        <v>1</v>
      </c>
      <c r="I31">
        <v>1</v>
      </c>
      <c r="J31">
        <v>2.4894199651480999</v>
      </c>
      <c r="K31">
        <v>11</v>
      </c>
      <c r="L31">
        <v>27.383619616629002</v>
      </c>
      <c r="M31">
        <v>0.4017</v>
      </c>
      <c r="N31">
        <v>1.3193925815285E-2</v>
      </c>
      <c r="O31" t="s">
        <v>915</v>
      </c>
      <c r="P31" t="s">
        <v>805</v>
      </c>
      <c r="Q31" t="s">
        <v>322</v>
      </c>
      <c r="R31" t="s">
        <v>319</v>
      </c>
      <c r="S31" t="s">
        <v>308</v>
      </c>
      <c r="T31" t="s">
        <v>308</v>
      </c>
      <c r="U31" t="s">
        <v>308</v>
      </c>
      <c r="V31" t="s">
        <v>308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308</v>
      </c>
      <c r="AC31" t="s">
        <v>308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17" t="str">
        <f t="shared" si="0"/>
        <v>ILO</v>
      </c>
      <c r="AK31" s="117" t="str">
        <f t="shared" si="1"/>
        <v>Ricksie Jean DelaCruz</v>
      </c>
      <c r="AL31" s="117" t="str">
        <f>_xlfn.XLOOKUP(Team_Report[[#This Row],[Team]],reference!B:B,reference!A:A)</f>
        <v>HBOSS Portal Fax Mapping</v>
      </c>
      <c r="AM31" s="117" t="str">
        <f t="shared" si="2"/>
        <v>HBOSS Portal Fax MappingAH DiabeticHeld-FaxMap-prod</v>
      </c>
      <c r="AN31" s="117" t="str">
        <f>IFERROR(_xlfn.XLOOKUP(Team_Report[[#This Row],[Camp+Team]],reference!D:D,reference!C:C),"")</f>
        <v>Fax Mapping</v>
      </c>
    </row>
    <row r="32" spans="1:40">
      <c r="A32" t="s">
        <v>293</v>
      </c>
      <c r="B32" t="s">
        <v>781</v>
      </c>
      <c r="C32" t="s">
        <v>782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2.5600000000000001E-2</v>
      </c>
      <c r="N32">
        <v>0</v>
      </c>
      <c r="O32" t="s">
        <v>308</v>
      </c>
      <c r="P32" t="s">
        <v>308</v>
      </c>
      <c r="Q32" t="s">
        <v>308</v>
      </c>
      <c r="R32" t="s">
        <v>308</v>
      </c>
      <c r="S32" t="s">
        <v>308</v>
      </c>
      <c r="T32" t="s">
        <v>308</v>
      </c>
      <c r="U32" t="s">
        <v>308</v>
      </c>
      <c r="V32" t="s">
        <v>308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308</v>
      </c>
      <c r="AC32" t="s">
        <v>308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17" t="str">
        <f t="shared" si="0"/>
        <v>ILO</v>
      </c>
      <c r="AK32" s="117" t="str">
        <f t="shared" si="1"/>
        <v xml:space="preserve">	Kirk Daniel Cautivar</v>
      </c>
      <c r="AL32" s="117" t="str">
        <f>_xlfn.XLOOKUP(Team_Report[[#This Row],[Team]],reference!B:B,reference!A:A)</f>
        <v>AH-SnapHeld-Special Project - Billable</v>
      </c>
      <c r="AM32" s="117" t="str">
        <f t="shared" si="2"/>
        <v>AH-SnapHeld-Special Project - BillableAH SNAPHELD - SP Team</v>
      </c>
      <c r="AN32" s="117">
        <f>IFERROR(_xlfn.XLOOKUP(Team_Report[[#This Row],[Camp+Team]],reference!D:D,reference!C:C),"")</f>
        <v>0</v>
      </c>
    </row>
    <row r="33" spans="1:40">
      <c r="A33" t="s">
        <v>101</v>
      </c>
      <c r="B33" t="s">
        <v>615</v>
      </c>
      <c r="C33" t="s">
        <v>616</v>
      </c>
      <c r="D33">
        <v>13</v>
      </c>
      <c r="E33">
        <v>11.206896551724</v>
      </c>
      <c r="F33">
        <v>0.66</v>
      </c>
      <c r="G33">
        <v>0.19916666666666999</v>
      </c>
      <c r="H33">
        <v>9</v>
      </c>
      <c r="I33">
        <v>0.69230769230768996</v>
      </c>
      <c r="J33">
        <v>7.7586206896552001</v>
      </c>
      <c r="K33">
        <v>9</v>
      </c>
      <c r="L33">
        <v>7.7586206896552001</v>
      </c>
      <c r="M33">
        <v>1.1599999999999999</v>
      </c>
      <c r="N33">
        <v>0.56896551724138</v>
      </c>
      <c r="O33" t="s">
        <v>304</v>
      </c>
      <c r="P33" t="s">
        <v>720</v>
      </c>
      <c r="Q33" t="s">
        <v>536</v>
      </c>
      <c r="R33" t="s">
        <v>365</v>
      </c>
      <c r="S33" t="s">
        <v>308</v>
      </c>
      <c r="T33" t="s">
        <v>923</v>
      </c>
      <c r="U33" t="s">
        <v>308</v>
      </c>
      <c r="V33" t="s">
        <v>308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308</v>
      </c>
      <c r="AC33" t="s">
        <v>308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17" t="str">
        <f t="shared" si="0"/>
        <v>BCD</v>
      </c>
      <c r="AK33" s="117" t="str">
        <f t="shared" si="1"/>
        <v xml:space="preserve">	Nelrose Saguire</v>
      </c>
      <c r="AL33" s="117" t="str">
        <f>_xlfn.XLOOKUP(Team_Report[[#This Row],[Team]],reference!B:B,reference!A:A)</f>
        <v>AH-SnapHeld-Special Project - NonBillable</v>
      </c>
      <c r="AM33" s="117" t="str">
        <f t="shared" si="2"/>
        <v>AH-SnapHeld-Special Project - NonBillableAH-SnapHeld-CS-Prod</v>
      </c>
      <c r="AN33" s="117" t="str">
        <f>IFERROR(_xlfn.XLOOKUP(Team_Report[[#This Row],[Camp+Team]],reference!D:D,reference!C:C),"")</f>
        <v>Confirmed Sales</v>
      </c>
    </row>
    <row r="34" spans="1:40">
      <c r="A34" t="s">
        <v>101</v>
      </c>
      <c r="B34" t="s">
        <v>662</v>
      </c>
      <c r="C34" t="s">
        <v>663</v>
      </c>
      <c r="D34">
        <v>16</v>
      </c>
      <c r="E34">
        <v>14.342058085334999</v>
      </c>
      <c r="F34">
        <v>0.68689999999999996</v>
      </c>
      <c r="G34">
        <v>9.0833333333333002E-2</v>
      </c>
      <c r="H34">
        <v>3</v>
      </c>
      <c r="I34">
        <v>0.1875</v>
      </c>
      <c r="J34">
        <v>2.6891358910004</v>
      </c>
      <c r="K34">
        <v>3</v>
      </c>
      <c r="L34">
        <v>2.6891358910004</v>
      </c>
      <c r="M34">
        <v>1.1155999999999999</v>
      </c>
      <c r="N34">
        <v>0.61572248117605</v>
      </c>
      <c r="O34" t="s">
        <v>319</v>
      </c>
      <c r="P34" t="s">
        <v>624</v>
      </c>
      <c r="Q34" t="s">
        <v>454</v>
      </c>
      <c r="R34" t="s">
        <v>805</v>
      </c>
      <c r="S34" t="s">
        <v>308</v>
      </c>
      <c r="T34" t="s">
        <v>924</v>
      </c>
      <c r="U34" t="s">
        <v>308</v>
      </c>
      <c r="V34" t="s">
        <v>308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308</v>
      </c>
      <c r="AC34" t="s">
        <v>308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17" t="str">
        <f t="shared" ref="AJ34:AJ61" si="3">LEFT(B34,3)</f>
        <v>BCD</v>
      </c>
      <c r="AK34" s="117" t="str">
        <f t="shared" ref="AK34:AK61" si="4">TRIM(RIGHT(B34, LEN(B34)-3))</f>
        <v>LA Blessed Ann Gonzales</v>
      </c>
      <c r="AL34" s="117" t="str">
        <f>_xlfn.XLOOKUP(Team_Report[[#This Row],[Team]],reference!B:B,reference!A:A)</f>
        <v>AH-SnapHeld-Special Project - NonBillable</v>
      </c>
      <c r="AM34" s="117" t="str">
        <f t="shared" ref="AM34:AM65" si="5">_xlfn.CONCAT(AL34,A34)</f>
        <v>AH-SnapHeld-Special Project - NonBillableAH-SnapHeld-CS-Prod</v>
      </c>
      <c r="AN34" s="117" t="str">
        <f>IFERROR(_xlfn.XLOOKUP(Team_Report[[#This Row],[Camp+Team]],reference!D:D,reference!C:C),"")</f>
        <v>Confirmed Sales</v>
      </c>
    </row>
    <row r="35" spans="1:40">
      <c r="A35" t="s">
        <v>101</v>
      </c>
      <c r="B35" t="s">
        <v>925</v>
      </c>
      <c r="C35" t="s">
        <v>926</v>
      </c>
      <c r="D35">
        <v>77</v>
      </c>
      <c r="E35">
        <v>19.458202769635001</v>
      </c>
      <c r="F35">
        <v>1.9981</v>
      </c>
      <c r="G35">
        <v>0.15305555555556</v>
      </c>
      <c r="H35">
        <v>42</v>
      </c>
      <c r="I35">
        <v>0.54545454545454997</v>
      </c>
      <c r="J35">
        <v>10.613565147074</v>
      </c>
      <c r="K35">
        <v>42</v>
      </c>
      <c r="L35">
        <v>10.613565147074</v>
      </c>
      <c r="M35">
        <v>3.9571999999999998</v>
      </c>
      <c r="N35">
        <v>0.50492772667542996</v>
      </c>
      <c r="O35" t="s">
        <v>304</v>
      </c>
      <c r="P35" t="s">
        <v>886</v>
      </c>
      <c r="Q35" t="s">
        <v>683</v>
      </c>
      <c r="R35" t="s">
        <v>339</v>
      </c>
      <c r="S35" t="s">
        <v>308</v>
      </c>
      <c r="T35" t="s">
        <v>390</v>
      </c>
      <c r="U35" t="s">
        <v>308</v>
      </c>
      <c r="V35" t="s">
        <v>308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308</v>
      </c>
      <c r="AC35" t="s">
        <v>308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17" t="str">
        <f t="shared" si="3"/>
        <v>BTG</v>
      </c>
      <c r="AK35" s="117" t="str">
        <f t="shared" si="4"/>
        <v>Angela Artificio</v>
      </c>
      <c r="AL35" s="117" t="str">
        <f>_xlfn.XLOOKUP(Team_Report[[#This Row],[Team]],reference!B:B,reference!A:A)</f>
        <v>AH-SnapHeld-Special Project - NonBillable</v>
      </c>
      <c r="AM35" s="117" t="str">
        <f t="shared" si="5"/>
        <v>AH-SnapHeld-Special Project - NonBillableAH-SnapHeld-CS-Prod</v>
      </c>
      <c r="AN35" s="117" t="str">
        <f>IFERROR(_xlfn.XLOOKUP(Team_Report[[#This Row],[Camp+Team]],reference!D:D,reference!C:C),"")</f>
        <v>Confirmed Sales</v>
      </c>
    </row>
    <row r="36" spans="1:40">
      <c r="A36" t="s">
        <v>101</v>
      </c>
      <c r="B36" t="s">
        <v>927</v>
      </c>
      <c r="C36" t="s">
        <v>928</v>
      </c>
      <c r="D36">
        <v>84</v>
      </c>
      <c r="E36">
        <v>25.441439258563999</v>
      </c>
      <c r="F36">
        <v>1.5471999999999999</v>
      </c>
      <c r="G36">
        <v>0.15805555555556</v>
      </c>
      <c r="H36">
        <v>26</v>
      </c>
      <c r="I36">
        <v>0.30952380952380998</v>
      </c>
      <c r="J36">
        <v>7.8747311990793012</v>
      </c>
      <c r="K36">
        <v>26</v>
      </c>
      <c r="L36">
        <v>7.8747311990793012</v>
      </c>
      <c r="M36">
        <v>3.3016999999999999</v>
      </c>
      <c r="N36">
        <v>0.46860708120059003</v>
      </c>
      <c r="O36" t="s">
        <v>304</v>
      </c>
      <c r="P36" t="s">
        <v>929</v>
      </c>
      <c r="Q36" t="s">
        <v>930</v>
      </c>
      <c r="R36" t="s">
        <v>315</v>
      </c>
      <c r="S36" t="s">
        <v>308</v>
      </c>
      <c r="T36" t="s">
        <v>931</v>
      </c>
      <c r="U36" t="s">
        <v>308</v>
      </c>
      <c r="V36" t="s">
        <v>308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308</v>
      </c>
      <c r="AC36" t="s">
        <v>308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17" t="str">
        <f t="shared" si="3"/>
        <v>BTG</v>
      </c>
      <c r="AK36" s="117" t="str">
        <f t="shared" si="4"/>
        <v>Patrick Neil Villalada</v>
      </c>
      <c r="AL36" s="117" t="str">
        <f>_xlfn.XLOOKUP(Team_Report[[#This Row],[Team]],reference!B:B,reference!A:A)</f>
        <v>AH-SnapHeld-Special Project - NonBillable</v>
      </c>
      <c r="AM36" s="117" t="str">
        <f t="shared" si="5"/>
        <v>AH-SnapHeld-Special Project - NonBillableAH-SnapHeld-CS-Prod</v>
      </c>
      <c r="AN36" s="117" t="str">
        <f>IFERROR(_xlfn.XLOOKUP(Team_Report[[#This Row],[Camp+Team]],reference!D:D,reference!C:C),"")</f>
        <v>Confirmed Sales</v>
      </c>
    </row>
    <row r="37" spans="1:40">
      <c r="A37" t="s">
        <v>101</v>
      </c>
      <c r="B37" t="s">
        <v>681</v>
      </c>
      <c r="C37" t="s">
        <v>682</v>
      </c>
      <c r="D37">
        <v>20</v>
      </c>
      <c r="E37">
        <v>9.8493056239534997</v>
      </c>
      <c r="F37">
        <v>1.4339</v>
      </c>
      <c r="G37">
        <v>8.3055555555555993E-2</v>
      </c>
      <c r="H37">
        <v>16</v>
      </c>
      <c r="I37">
        <v>0.8</v>
      </c>
      <c r="J37">
        <v>7.8794444991628003</v>
      </c>
      <c r="K37">
        <v>16</v>
      </c>
      <c r="L37">
        <v>7.8794444991628003</v>
      </c>
      <c r="M37">
        <v>2.0306000000000002</v>
      </c>
      <c r="N37">
        <v>0.70614596670935004</v>
      </c>
      <c r="O37" t="s">
        <v>304</v>
      </c>
      <c r="P37" t="s">
        <v>668</v>
      </c>
      <c r="Q37" t="s">
        <v>611</v>
      </c>
      <c r="R37" t="s">
        <v>307</v>
      </c>
      <c r="S37" t="s">
        <v>308</v>
      </c>
      <c r="T37" t="s">
        <v>932</v>
      </c>
      <c r="U37" t="s">
        <v>308</v>
      </c>
      <c r="V37" t="s">
        <v>308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308</v>
      </c>
      <c r="AC37" t="s">
        <v>308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17" t="str">
        <f t="shared" si="3"/>
        <v>BTG</v>
      </c>
      <c r="AK37" s="117" t="str">
        <f t="shared" si="4"/>
        <v>Richard John Reyes</v>
      </c>
      <c r="AL37" s="117" t="str">
        <f>_xlfn.XLOOKUP(Team_Report[[#This Row],[Team]],reference!B:B,reference!A:A)</f>
        <v>AH-SnapHeld-Special Project - NonBillable</v>
      </c>
      <c r="AM37" s="117" t="str">
        <f t="shared" si="5"/>
        <v>AH-SnapHeld-Special Project - NonBillableAH-SnapHeld-CS-Prod</v>
      </c>
      <c r="AN37" s="117" t="str">
        <f>IFERROR(_xlfn.XLOOKUP(Team_Report[[#This Row],[Camp+Team]],reference!D:D,reference!C:C),"")</f>
        <v>Confirmed Sales</v>
      </c>
    </row>
    <row r="38" spans="1:40">
      <c r="A38" t="s">
        <v>101</v>
      </c>
      <c r="B38" t="s">
        <v>771</v>
      </c>
      <c r="C38" t="s">
        <v>772</v>
      </c>
      <c r="D38">
        <v>43</v>
      </c>
      <c r="E38">
        <v>17.344304614392001</v>
      </c>
      <c r="F38">
        <v>1.5525</v>
      </c>
      <c r="G38">
        <v>3.2777777777778003E-2</v>
      </c>
      <c r="H38">
        <v>20</v>
      </c>
      <c r="I38">
        <v>0.46511627906976999</v>
      </c>
      <c r="J38">
        <v>8.0671184252984993</v>
      </c>
      <c r="K38">
        <v>20</v>
      </c>
      <c r="L38">
        <v>8.0671184252984993</v>
      </c>
      <c r="M38">
        <v>2.4792000000000001</v>
      </c>
      <c r="N38">
        <v>0.62621006776378996</v>
      </c>
      <c r="O38" t="s">
        <v>319</v>
      </c>
      <c r="P38" t="s">
        <v>933</v>
      </c>
      <c r="Q38" t="s">
        <v>934</v>
      </c>
      <c r="R38" t="s">
        <v>304</v>
      </c>
      <c r="S38" t="s">
        <v>308</v>
      </c>
      <c r="T38" t="s">
        <v>308</v>
      </c>
      <c r="U38" t="s">
        <v>308</v>
      </c>
      <c r="V38" t="s">
        <v>308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308</v>
      </c>
      <c r="AC38" t="s">
        <v>308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17" t="str">
        <f t="shared" si="3"/>
        <v>BTG</v>
      </c>
      <c r="AK38" s="117" t="str">
        <f t="shared" si="4"/>
        <v>Rose Respecia</v>
      </c>
      <c r="AL38" s="117" t="str">
        <f>_xlfn.XLOOKUP(Team_Report[[#This Row],[Team]],reference!B:B,reference!A:A)</f>
        <v>AH-SnapHeld-Special Project - NonBillable</v>
      </c>
      <c r="AM38" s="117" t="str">
        <f t="shared" si="5"/>
        <v>AH-SnapHeld-Special Project - NonBillableAH-SnapHeld-CS-Prod</v>
      </c>
      <c r="AN38" s="117" t="str">
        <f>IFERROR(_xlfn.XLOOKUP(Team_Report[[#This Row],[Camp+Team]],reference!D:D,reference!C:C),"")</f>
        <v>Confirmed Sales</v>
      </c>
    </row>
    <row r="39" spans="1:40">
      <c r="A39" t="s">
        <v>101</v>
      </c>
      <c r="B39" t="s">
        <v>317</v>
      </c>
      <c r="C39" t="s">
        <v>318</v>
      </c>
      <c r="D39">
        <v>9</v>
      </c>
      <c r="E39">
        <v>12.185215272136</v>
      </c>
      <c r="F39">
        <v>0.41749999999999998</v>
      </c>
      <c r="G39">
        <v>0.20166666666666999</v>
      </c>
      <c r="H39">
        <v>5</v>
      </c>
      <c r="I39">
        <v>0.55555555555556002</v>
      </c>
      <c r="J39">
        <v>6.7695640400758004</v>
      </c>
      <c r="K39">
        <v>5</v>
      </c>
      <c r="L39">
        <v>6.7695640400758004</v>
      </c>
      <c r="M39">
        <v>0.73860000000000003</v>
      </c>
      <c r="N39">
        <v>0.56525859734632999</v>
      </c>
      <c r="O39" t="s">
        <v>319</v>
      </c>
      <c r="P39" t="s">
        <v>534</v>
      </c>
      <c r="Q39" t="s">
        <v>698</v>
      </c>
      <c r="R39" t="s">
        <v>585</v>
      </c>
      <c r="S39" t="s">
        <v>308</v>
      </c>
      <c r="T39" t="s">
        <v>308</v>
      </c>
      <c r="U39" t="s">
        <v>308</v>
      </c>
      <c r="V39" t="s">
        <v>308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308</v>
      </c>
      <c r="AC39" t="s">
        <v>308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17" t="str">
        <f t="shared" si="3"/>
        <v>ILO</v>
      </c>
      <c r="AK39" s="117" t="str">
        <f t="shared" si="4"/>
        <v xml:space="preserve">	Shara Marie Baler</v>
      </c>
      <c r="AL39" s="117" t="str">
        <f>_xlfn.XLOOKUP(Team_Report[[#This Row],[Team]],reference!B:B,reference!A:A)</f>
        <v>AH-SnapHeld-Special Project - NonBillable</v>
      </c>
      <c r="AM39" s="117" t="str">
        <f t="shared" si="5"/>
        <v>AH-SnapHeld-Special Project - NonBillableAH-SnapHeld-CS-Prod</v>
      </c>
      <c r="AN39" s="117" t="str">
        <f>IFERROR(_xlfn.XLOOKUP(Team_Report[[#This Row],[Camp+Team]],reference!D:D,reference!C:C),"")</f>
        <v>Confirmed Sales</v>
      </c>
    </row>
    <row r="40" spans="1:40">
      <c r="A40" t="s">
        <v>101</v>
      </c>
      <c r="B40" t="s">
        <v>744</v>
      </c>
      <c r="C40" t="s">
        <v>745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1.1000000000000001E-3</v>
      </c>
      <c r="N40">
        <v>0</v>
      </c>
      <c r="O40" t="s">
        <v>308</v>
      </c>
      <c r="P40" t="s">
        <v>308</v>
      </c>
      <c r="Q40" t="s">
        <v>308</v>
      </c>
      <c r="R40" t="s">
        <v>308</v>
      </c>
      <c r="S40" t="s">
        <v>308</v>
      </c>
      <c r="T40" t="s">
        <v>308</v>
      </c>
      <c r="U40" t="s">
        <v>308</v>
      </c>
      <c r="V40" t="s">
        <v>308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308</v>
      </c>
      <c r="AC40" t="s">
        <v>308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17" t="str">
        <f t="shared" si="3"/>
        <v>ILO</v>
      </c>
      <c r="AK40" s="117" t="str">
        <f t="shared" si="4"/>
        <v xml:space="preserve">	Wellyn Grace Cayme</v>
      </c>
      <c r="AL40" s="117" t="str">
        <f>_xlfn.XLOOKUP(Team_Report[[#This Row],[Team]],reference!B:B,reference!A:A)</f>
        <v>AH-SnapHeld-Special Project - NonBillable</v>
      </c>
      <c r="AM40" s="117" t="str">
        <f t="shared" si="5"/>
        <v>AH-SnapHeld-Special Project - NonBillableAH-SnapHeld-CS-Prod</v>
      </c>
      <c r="AN40" s="117" t="str">
        <f>IFERROR(_xlfn.XLOOKUP(Team_Report[[#This Row],[Camp+Team]],reference!D:D,reference!C:C),"")</f>
        <v>Confirmed Sales</v>
      </c>
    </row>
    <row r="41" spans="1:40">
      <c r="A41" t="s">
        <v>120</v>
      </c>
      <c r="B41" t="s">
        <v>740</v>
      </c>
      <c r="C41" t="s">
        <v>741</v>
      </c>
      <c r="D41">
        <v>8</v>
      </c>
      <c r="E41">
        <v>20.423793719683001</v>
      </c>
      <c r="F41">
        <v>9.9199999999999997E-2</v>
      </c>
      <c r="G41">
        <v>0.13583333333333</v>
      </c>
      <c r="H41">
        <v>3</v>
      </c>
      <c r="I41">
        <v>0.375</v>
      </c>
      <c r="J41">
        <v>7.658922644881299</v>
      </c>
      <c r="K41">
        <v>15</v>
      </c>
      <c r="L41">
        <v>38.294613224406</v>
      </c>
      <c r="M41">
        <v>0.39169999999999999</v>
      </c>
      <c r="N41">
        <v>0.25325504212407002</v>
      </c>
      <c r="O41" t="s">
        <v>742</v>
      </c>
      <c r="P41" t="s">
        <v>918</v>
      </c>
      <c r="Q41" t="s">
        <v>440</v>
      </c>
      <c r="R41" t="s">
        <v>320</v>
      </c>
      <c r="S41" t="s">
        <v>308</v>
      </c>
      <c r="T41" t="s">
        <v>308</v>
      </c>
      <c r="U41" t="s">
        <v>308</v>
      </c>
      <c r="V41" t="s">
        <v>308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308</v>
      </c>
      <c r="AC41" t="s">
        <v>308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117" t="str">
        <f t="shared" si="3"/>
        <v>ILO</v>
      </c>
      <c r="AK41" s="117" t="str">
        <f t="shared" si="4"/>
        <v xml:space="preserve">	Ricky Mendiro</v>
      </c>
      <c r="AL41" s="117" t="str">
        <f>_xlfn.XLOOKUP(Team_Report[[#This Row],[Team]],reference!B:B,reference!A:A)</f>
        <v>HBOSS Portal Fax Research</v>
      </c>
      <c r="AM41" s="117" t="str">
        <f t="shared" si="5"/>
        <v>HBOSS Portal Fax ResearchAH-SnapHeld-FaxRes-Prod</v>
      </c>
      <c r="AN41" s="117" t="str">
        <f>IFERROR(_xlfn.XLOOKUP(Team_Report[[#This Row],[Camp+Team]],reference!D:D,reference!C:C),"")</f>
        <v>Fax Research</v>
      </c>
    </row>
    <row r="42" spans="1:40">
      <c r="A42" t="s">
        <v>121</v>
      </c>
      <c r="B42" t="s">
        <v>916</v>
      </c>
      <c r="C42" t="s">
        <v>917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3.8092000000000001</v>
      </c>
      <c r="N42">
        <v>0</v>
      </c>
      <c r="O42" t="s">
        <v>308</v>
      </c>
      <c r="P42" t="s">
        <v>308</v>
      </c>
      <c r="Q42" t="s">
        <v>308</v>
      </c>
      <c r="R42" t="s">
        <v>308</v>
      </c>
      <c r="S42" t="s">
        <v>308</v>
      </c>
      <c r="T42" t="s">
        <v>308</v>
      </c>
      <c r="U42" t="s">
        <v>308</v>
      </c>
      <c r="V42" t="s">
        <v>308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308</v>
      </c>
      <c r="AC42" t="s">
        <v>308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117" t="str">
        <f t="shared" si="3"/>
        <v>ILO</v>
      </c>
      <c r="AK42" s="117" t="str">
        <f t="shared" si="4"/>
        <v>Support Fredelyn Guidon Onday</v>
      </c>
      <c r="AL42" s="117" t="str">
        <f>_xlfn.XLOOKUP(Team_Report[[#This Row],[Team]],reference!B:B,reference!A:A)</f>
        <v>HBOSS Portal Fax Mapping</v>
      </c>
      <c r="AM42" s="117" t="str">
        <f t="shared" si="5"/>
        <v>HBOSS Portal Fax MappingAH-SnapHeld-FaxRev-Prod</v>
      </c>
      <c r="AN42" s="117" t="str">
        <f>IFERROR(_xlfn.XLOOKUP(Team_Report[[#This Row],[Camp+Team]],reference!D:D,reference!C:C),"")</f>
        <v>Fax Review</v>
      </c>
    </row>
    <row r="43" spans="1:40">
      <c r="A43" t="s">
        <v>116</v>
      </c>
      <c r="B43" t="s">
        <v>798</v>
      </c>
      <c r="C43" t="s">
        <v>799</v>
      </c>
      <c r="D43">
        <v>2</v>
      </c>
      <c r="E43">
        <v>3.2258064516128999</v>
      </c>
      <c r="F43">
        <v>7.4999999999999997E-3</v>
      </c>
      <c r="G43">
        <v>3.0555555555556E-3</v>
      </c>
      <c r="H43">
        <v>2</v>
      </c>
      <c r="I43">
        <v>1</v>
      </c>
      <c r="J43">
        <v>3.2258064516128999</v>
      </c>
      <c r="K43">
        <v>13</v>
      </c>
      <c r="L43">
        <v>20.967741935484</v>
      </c>
      <c r="M43">
        <v>0.62</v>
      </c>
      <c r="N43">
        <v>1.2096774193548E-2</v>
      </c>
      <c r="O43" t="s">
        <v>935</v>
      </c>
      <c r="P43" t="s">
        <v>322</v>
      </c>
      <c r="Q43" t="s">
        <v>721</v>
      </c>
      <c r="R43" t="s">
        <v>504</v>
      </c>
      <c r="S43" t="s">
        <v>308</v>
      </c>
      <c r="T43" t="s">
        <v>308</v>
      </c>
      <c r="U43" t="s">
        <v>308</v>
      </c>
      <c r="V43" t="s">
        <v>308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308</v>
      </c>
      <c r="AC43" t="s">
        <v>308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17" t="str">
        <f t="shared" si="3"/>
        <v>BCD</v>
      </c>
      <c r="AK43" s="117" t="str">
        <f t="shared" si="4"/>
        <v xml:space="preserve">	Jeshurun Corpus</v>
      </c>
      <c r="AL43" s="117" t="str">
        <f>_xlfn.XLOOKUP(Team_Report[[#This Row],[Team]],reference!B:B,reference!A:A)</f>
        <v>HBOSS Portal Fax Mapping</v>
      </c>
      <c r="AM43" s="117" t="str">
        <f t="shared" si="5"/>
        <v>HBOSS Portal Fax MappingAH-SNAPHELD-FM-PROD</v>
      </c>
      <c r="AN43" s="117" t="str">
        <f>IFERROR(_xlfn.XLOOKUP(Team_Report[[#This Row],[Camp+Team]],reference!D:D,reference!C:C),"")</f>
        <v>Fax Mapping</v>
      </c>
    </row>
    <row r="44" spans="1:40">
      <c r="A44" t="s">
        <v>116</v>
      </c>
      <c r="B44" t="s">
        <v>801</v>
      </c>
      <c r="C44" t="s">
        <v>802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3.8100000000000002E-2</v>
      </c>
      <c r="N44">
        <v>0</v>
      </c>
      <c r="O44" t="s">
        <v>308</v>
      </c>
      <c r="P44" t="s">
        <v>308</v>
      </c>
      <c r="Q44" t="s">
        <v>308</v>
      </c>
      <c r="R44" t="s">
        <v>308</v>
      </c>
      <c r="S44" t="s">
        <v>308</v>
      </c>
      <c r="T44" t="s">
        <v>308</v>
      </c>
      <c r="U44" t="s">
        <v>308</v>
      </c>
      <c r="V44" t="s">
        <v>308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308</v>
      </c>
      <c r="AC44" t="s">
        <v>308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17" t="str">
        <f t="shared" si="3"/>
        <v>BCD</v>
      </c>
      <c r="AK44" s="117" t="str">
        <f t="shared" si="4"/>
        <v>Gabrielle Angela Alcala</v>
      </c>
      <c r="AL44" s="117" t="str">
        <f>_xlfn.XLOOKUP(Team_Report[[#This Row],[Team]],reference!B:B,reference!A:A)</f>
        <v>HBOSS Portal Fax Mapping</v>
      </c>
      <c r="AM44" s="117" t="str">
        <f t="shared" si="5"/>
        <v>HBOSS Portal Fax MappingAH-SNAPHELD-FM-PROD</v>
      </c>
      <c r="AN44" s="117" t="str">
        <f>IFERROR(_xlfn.XLOOKUP(Team_Report[[#This Row],[Camp+Team]],reference!D:D,reference!C:C),"")</f>
        <v>Fax Mapping</v>
      </c>
    </row>
    <row r="45" spans="1:40">
      <c r="A45" t="s">
        <v>116</v>
      </c>
      <c r="B45" t="s">
        <v>818</v>
      </c>
      <c r="C45" t="s">
        <v>819</v>
      </c>
      <c r="D45">
        <v>1</v>
      </c>
      <c r="E45">
        <v>1.085658451851</v>
      </c>
      <c r="F45">
        <v>5.9999999999999995E-4</v>
      </c>
      <c r="G45">
        <v>1.0277777777778E-2</v>
      </c>
      <c r="H45">
        <v>1</v>
      </c>
      <c r="I45">
        <v>1</v>
      </c>
      <c r="J45">
        <v>1.085658451851</v>
      </c>
      <c r="K45">
        <v>20</v>
      </c>
      <c r="L45">
        <v>21.713169037021</v>
      </c>
      <c r="M45">
        <v>0.92110000000000003</v>
      </c>
      <c r="N45">
        <v>6.5139507111063001E-4</v>
      </c>
      <c r="O45" t="s">
        <v>936</v>
      </c>
      <c r="P45" t="s">
        <v>821</v>
      </c>
      <c r="Q45" t="s">
        <v>304</v>
      </c>
      <c r="R45" t="s">
        <v>486</v>
      </c>
      <c r="S45" t="s">
        <v>308</v>
      </c>
      <c r="T45" t="s">
        <v>308</v>
      </c>
      <c r="U45" t="s">
        <v>308</v>
      </c>
      <c r="V45" t="s">
        <v>308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308</v>
      </c>
      <c r="AC45" t="s">
        <v>308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17" t="str">
        <f t="shared" si="3"/>
        <v>BCD</v>
      </c>
      <c r="AK45" s="117" t="str">
        <f t="shared" si="4"/>
        <v>Nicole Amador</v>
      </c>
      <c r="AL45" s="117" t="str">
        <f>_xlfn.XLOOKUP(Team_Report[[#This Row],[Team]],reference!B:B,reference!A:A)</f>
        <v>HBOSS Portal Fax Mapping</v>
      </c>
      <c r="AM45" s="117" t="str">
        <f t="shared" si="5"/>
        <v>HBOSS Portal Fax MappingAH-SNAPHELD-FM-PROD</v>
      </c>
      <c r="AN45" s="117" t="str">
        <f>IFERROR(_xlfn.XLOOKUP(Team_Report[[#This Row],[Camp+Team]],reference!D:D,reference!C:C),"")</f>
        <v>Fax Mapping</v>
      </c>
    </row>
    <row r="46" spans="1:40">
      <c r="A46" t="s">
        <v>116</v>
      </c>
      <c r="B46" t="s">
        <v>902</v>
      </c>
      <c r="C46" t="s">
        <v>903</v>
      </c>
      <c r="D46">
        <v>6</v>
      </c>
      <c r="E46">
        <v>1.9288883173664</v>
      </c>
      <c r="F46">
        <v>8.3099999999999993E-2</v>
      </c>
      <c r="G46">
        <v>7.7777777777778001E-3</v>
      </c>
      <c r="H46">
        <v>6</v>
      </c>
      <c r="I46">
        <v>1</v>
      </c>
      <c r="J46">
        <v>1.9288883173664</v>
      </c>
      <c r="K46">
        <v>72</v>
      </c>
      <c r="L46">
        <v>23.146659808397001</v>
      </c>
      <c r="M46">
        <v>3.1105999999999998</v>
      </c>
      <c r="N46">
        <v>2.6715103195524999E-2</v>
      </c>
      <c r="O46" t="s">
        <v>904</v>
      </c>
      <c r="P46" t="s">
        <v>481</v>
      </c>
      <c r="Q46" t="s">
        <v>905</v>
      </c>
      <c r="R46" t="s">
        <v>613</v>
      </c>
      <c r="S46" t="s">
        <v>308</v>
      </c>
      <c r="T46" t="s">
        <v>937</v>
      </c>
      <c r="U46" t="s">
        <v>308</v>
      </c>
      <c r="V46" t="s">
        <v>308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308</v>
      </c>
      <c r="AC46" t="s">
        <v>308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17" t="str">
        <f t="shared" si="3"/>
        <v>ILO</v>
      </c>
      <c r="AK46" s="117" t="str">
        <f t="shared" si="4"/>
        <v xml:space="preserve">	Lara De Tomas</v>
      </c>
      <c r="AL46" s="117" t="str">
        <f>_xlfn.XLOOKUP(Team_Report[[#This Row],[Team]],reference!B:B,reference!A:A)</f>
        <v>HBOSS Portal Fax Mapping</v>
      </c>
      <c r="AM46" s="117" t="str">
        <f t="shared" si="5"/>
        <v>HBOSS Portal Fax MappingAH-SNAPHELD-FM-PROD</v>
      </c>
      <c r="AN46" s="117" t="str">
        <f>IFERROR(_xlfn.XLOOKUP(Team_Report[[#This Row],[Camp+Team]],reference!D:D,reference!C:C),"")</f>
        <v>Fax Mapping</v>
      </c>
    </row>
    <row r="47" spans="1:40">
      <c r="A47" t="s">
        <v>116</v>
      </c>
      <c r="B47" t="s">
        <v>748</v>
      </c>
      <c r="C47" t="s">
        <v>749</v>
      </c>
      <c r="D47">
        <v>7</v>
      </c>
      <c r="E47">
        <v>3.7101817989081001</v>
      </c>
      <c r="F47">
        <v>2.58E-2</v>
      </c>
      <c r="G47">
        <v>8.4444444444444003E-2</v>
      </c>
      <c r="H47">
        <v>7</v>
      </c>
      <c r="I47">
        <v>1</v>
      </c>
      <c r="J47">
        <v>3.7101817989081001</v>
      </c>
      <c r="K47">
        <v>29</v>
      </c>
      <c r="L47">
        <v>15.370753166905001</v>
      </c>
      <c r="M47">
        <v>1.8867</v>
      </c>
      <c r="N47">
        <v>1.3674670058833001E-2</v>
      </c>
      <c r="O47" t="s">
        <v>938</v>
      </c>
      <c r="P47" t="s">
        <v>466</v>
      </c>
      <c r="Q47" t="s">
        <v>721</v>
      </c>
      <c r="R47" t="s">
        <v>449</v>
      </c>
      <c r="S47" t="s">
        <v>308</v>
      </c>
      <c r="T47" t="s">
        <v>308</v>
      </c>
      <c r="U47" t="s">
        <v>308</v>
      </c>
      <c r="V47" t="s">
        <v>308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308</v>
      </c>
      <c r="AC47" t="s">
        <v>308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17" t="str">
        <f t="shared" si="3"/>
        <v>ILO</v>
      </c>
      <c r="AK47" s="117" t="str">
        <f t="shared" si="4"/>
        <v>Gabriel Anthony Astrologo</v>
      </c>
      <c r="AL47" s="117" t="str">
        <f>_xlfn.XLOOKUP(Team_Report[[#This Row],[Team]],reference!B:B,reference!A:A)</f>
        <v>HBOSS Portal Fax Mapping</v>
      </c>
      <c r="AM47" s="117" t="str">
        <f t="shared" si="5"/>
        <v>HBOSS Portal Fax MappingAH-SNAPHELD-FM-PROD</v>
      </c>
      <c r="AN47" s="117" t="str">
        <f>IFERROR(_xlfn.XLOOKUP(Team_Report[[#This Row],[Camp+Team]],reference!D:D,reference!C:C),"")</f>
        <v>Fax Mapping</v>
      </c>
    </row>
    <row r="48" spans="1:40">
      <c r="A48" t="s">
        <v>116</v>
      </c>
      <c r="B48" t="s">
        <v>752</v>
      </c>
      <c r="C48" t="s">
        <v>753</v>
      </c>
      <c r="D48">
        <v>7</v>
      </c>
      <c r="E48">
        <v>3.7866493562696002</v>
      </c>
      <c r="F48">
        <v>0.31719999999999998</v>
      </c>
      <c r="G48">
        <v>3.0555555555556E-3</v>
      </c>
      <c r="H48">
        <v>7</v>
      </c>
      <c r="I48">
        <v>1</v>
      </c>
      <c r="J48">
        <v>3.7866493562696002</v>
      </c>
      <c r="K48">
        <v>18</v>
      </c>
      <c r="L48">
        <v>9.7370983446932993</v>
      </c>
      <c r="M48">
        <v>1.8486</v>
      </c>
      <c r="N48">
        <v>0.17158931082982001</v>
      </c>
      <c r="O48" t="s">
        <v>908</v>
      </c>
      <c r="P48" t="s">
        <v>607</v>
      </c>
      <c r="Q48" t="s">
        <v>909</v>
      </c>
      <c r="R48" t="s">
        <v>319</v>
      </c>
      <c r="S48" t="s">
        <v>308</v>
      </c>
      <c r="T48" t="s">
        <v>308</v>
      </c>
      <c r="U48" t="s">
        <v>308</v>
      </c>
      <c r="V48" t="s">
        <v>308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308</v>
      </c>
      <c r="AC48" t="s">
        <v>308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117" t="str">
        <f t="shared" si="3"/>
        <v>ILO</v>
      </c>
      <c r="AK48" s="117" t="str">
        <f t="shared" si="4"/>
        <v>Mikaela Judith Jacela</v>
      </c>
      <c r="AL48" s="117" t="str">
        <f>_xlfn.XLOOKUP(Team_Report[[#This Row],[Team]],reference!B:B,reference!A:A)</f>
        <v>HBOSS Portal Fax Mapping</v>
      </c>
      <c r="AM48" s="117" t="str">
        <f t="shared" si="5"/>
        <v>HBOSS Portal Fax MappingAH-SNAPHELD-FM-PROD</v>
      </c>
      <c r="AN48" s="117" t="str">
        <f>IFERROR(_xlfn.XLOOKUP(Team_Report[[#This Row],[Camp+Team]],reference!D:D,reference!C:C),"")</f>
        <v>Fax Mapping</v>
      </c>
    </row>
    <row r="49" spans="1:40">
      <c r="A49" t="s">
        <v>116</v>
      </c>
      <c r="B49" t="s">
        <v>910</v>
      </c>
      <c r="C49" t="s">
        <v>911</v>
      </c>
      <c r="D49">
        <v>6</v>
      </c>
      <c r="E49">
        <v>2.1422450728363001</v>
      </c>
      <c r="F49">
        <v>3.8300000000000001E-2</v>
      </c>
      <c r="G49">
        <v>8.6111111111111006E-3</v>
      </c>
      <c r="H49">
        <v>6</v>
      </c>
      <c r="I49">
        <v>1</v>
      </c>
      <c r="J49">
        <v>2.1422450728363001</v>
      </c>
      <c r="K49">
        <v>72</v>
      </c>
      <c r="L49">
        <v>25.706940874036</v>
      </c>
      <c r="M49">
        <v>2.8008000000000002</v>
      </c>
      <c r="N49">
        <v>1.3674664381605001E-2</v>
      </c>
      <c r="O49" t="s">
        <v>939</v>
      </c>
      <c r="P49" t="s">
        <v>390</v>
      </c>
      <c r="Q49" t="s">
        <v>305</v>
      </c>
      <c r="R49" t="s">
        <v>504</v>
      </c>
      <c r="S49" t="s">
        <v>308</v>
      </c>
      <c r="T49" t="s">
        <v>913</v>
      </c>
      <c r="U49" t="s">
        <v>308</v>
      </c>
      <c r="V49" t="s">
        <v>308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308</v>
      </c>
      <c r="AC49" t="s">
        <v>308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17" t="str">
        <f t="shared" si="3"/>
        <v>ILO</v>
      </c>
      <c r="AK49" s="117" t="str">
        <f t="shared" si="4"/>
        <v>Nicole Ann Baldoque</v>
      </c>
      <c r="AL49" s="117" t="str">
        <f>_xlfn.XLOOKUP(Team_Report[[#This Row],[Team]],reference!B:B,reference!A:A)</f>
        <v>HBOSS Portal Fax Mapping</v>
      </c>
      <c r="AM49" s="117" t="str">
        <f t="shared" si="5"/>
        <v>HBOSS Portal Fax MappingAH-SNAPHELD-FM-PROD</v>
      </c>
      <c r="AN49" s="117" t="str">
        <f>IFERROR(_xlfn.XLOOKUP(Team_Report[[#This Row],[Camp+Team]],reference!D:D,reference!C:C),"")</f>
        <v>Fax Mapping</v>
      </c>
    </row>
    <row r="50" spans="1:40">
      <c r="A50" t="s">
        <v>87</v>
      </c>
      <c r="B50" t="s">
        <v>324</v>
      </c>
      <c r="C50" t="s">
        <v>325</v>
      </c>
      <c r="D50">
        <v>15</v>
      </c>
      <c r="E50">
        <v>8.9402789367027999</v>
      </c>
      <c r="F50">
        <v>0.50080000000000002</v>
      </c>
      <c r="G50">
        <v>0.90111111111110997</v>
      </c>
      <c r="H50">
        <v>4</v>
      </c>
      <c r="I50">
        <v>0.26666666666666999</v>
      </c>
      <c r="J50">
        <v>2.3840743831208</v>
      </c>
      <c r="K50">
        <v>4</v>
      </c>
      <c r="L50">
        <v>2.3840743831208</v>
      </c>
      <c r="M50">
        <v>1.6778</v>
      </c>
      <c r="N50">
        <v>0.29848611276671999</v>
      </c>
      <c r="O50" t="s">
        <v>319</v>
      </c>
      <c r="P50" t="s">
        <v>940</v>
      </c>
      <c r="Q50" t="s">
        <v>739</v>
      </c>
      <c r="R50" t="s">
        <v>941</v>
      </c>
      <c r="S50" t="s">
        <v>308</v>
      </c>
      <c r="T50" t="s">
        <v>308</v>
      </c>
      <c r="U50" t="s">
        <v>308</v>
      </c>
      <c r="V50" t="s">
        <v>308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308</v>
      </c>
      <c r="AC50" t="s">
        <v>308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17" t="str">
        <f t="shared" si="3"/>
        <v>ILO</v>
      </c>
      <c r="AK50" s="117" t="str">
        <f t="shared" si="4"/>
        <v xml:space="preserve">	Arabella Joy Borromeo</v>
      </c>
      <c r="AL50" s="117" t="str">
        <f>_xlfn.XLOOKUP(Team_Report[[#This Row],[Team]],reference!B:B,reference!A:A)</f>
        <v>AH-AeroHeld-ARM-Prod</v>
      </c>
      <c r="AM50" s="117" t="str">
        <f t="shared" si="5"/>
        <v>AH-AeroHeld-ARM-ProdAH-SnapHeld-FTP-Prod</v>
      </c>
      <c r="AN50" s="117" t="str">
        <f>IFERROR(_xlfn.XLOOKUP(Team_Report[[#This Row],[Camp+Team]],reference!D:D,reference!C:C),"")</f>
        <v>ARM</v>
      </c>
    </row>
    <row r="51" spans="1:40">
      <c r="A51" t="s">
        <v>87</v>
      </c>
      <c r="B51" t="s">
        <v>329</v>
      </c>
      <c r="C51" t="s">
        <v>330</v>
      </c>
      <c r="D51">
        <v>23</v>
      </c>
      <c r="E51">
        <v>10.188261351052001</v>
      </c>
      <c r="F51">
        <v>1.6142000000000001</v>
      </c>
      <c r="G51">
        <v>0.10111111111111</v>
      </c>
      <c r="H51">
        <v>1</v>
      </c>
      <c r="I51">
        <v>4.3478260869565001E-2</v>
      </c>
      <c r="J51">
        <v>0.44296788482834998</v>
      </c>
      <c r="K51">
        <v>1</v>
      </c>
      <c r="L51">
        <v>0.44296788482834998</v>
      </c>
      <c r="M51">
        <v>2.2574999999999998</v>
      </c>
      <c r="N51">
        <v>0.71503875968992003</v>
      </c>
      <c r="O51" t="s">
        <v>319</v>
      </c>
      <c r="P51" t="s">
        <v>942</v>
      </c>
      <c r="Q51" t="s">
        <v>943</v>
      </c>
      <c r="R51" t="s">
        <v>333</v>
      </c>
      <c r="S51" t="s">
        <v>308</v>
      </c>
      <c r="T51" t="s">
        <v>334</v>
      </c>
      <c r="U51" t="s">
        <v>308</v>
      </c>
      <c r="V51" t="s">
        <v>308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308</v>
      </c>
      <c r="AC51" t="s">
        <v>308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17" t="str">
        <f t="shared" si="3"/>
        <v>ILO</v>
      </c>
      <c r="AK51" s="117" t="str">
        <f t="shared" si="4"/>
        <v xml:space="preserve">	Cherryl Rose Gabinera</v>
      </c>
      <c r="AL51" s="117" t="str">
        <f>_xlfn.XLOOKUP(Team_Report[[#This Row],[Team]],reference!B:B,reference!A:A)</f>
        <v>AH-AeroHeld-ARM-Prod</v>
      </c>
      <c r="AM51" s="117" t="str">
        <f t="shared" si="5"/>
        <v>AH-AeroHeld-ARM-ProdAH-SnapHeld-FTP-Prod</v>
      </c>
      <c r="AN51" s="117" t="str">
        <f>IFERROR(_xlfn.XLOOKUP(Team_Report[[#This Row],[Camp+Team]],reference!D:D,reference!C:C),"")</f>
        <v>ARM</v>
      </c>
    </row>
    <row r="52" spans="1:40">
      <c r="A52" t="s">
        <v>87</v>
      </c>
      <c r="B52" t="s">
        <v>335</v>
      </c>
      <c r="C52" t="s">
        <v>336</v>
      </c>
      <c r="D52">
        <v>25</v>
      </c>
      <c r="E52">
        <v>11.319387847505</v>
      </c>
      <c r="F52">
        <v>1.88</v>
      </c>
      <c r="G52">
        <v>4.9166666666666997E-2</v>
      </c>
      <c r="H52">
        <v>2</v>
      </c>
      <c r="I52">
        <v>0.08</v>
      </c>
      <c r="J52">
        <v>0.90555102780041996</v>
      </c>
      <c r="K52">
        <v>2</v>
      </c>
      <c r="L52">
        <v>0.90555102780041996</v>
      </c>
      <c r="M52">
        <v>2.2086000000000001</v>
      </c>
      <c r="N52">
        <v>0.85121796613238987</v>
      </c>
      <c r="O52" t="s">
        <v>319</v>
      </c>
      <c r="P52" t="s">
        <v>337</v>
      </c>
      <c r="Q52" t="s">
        <v>338</v>
      </c>
      <c r="R52" t="s">
        <v>339</v>
      </c>
      <c r="S52" t="s">
        <v>308</v>
      </c>
      <c r="T52" t="s">
        <v>944</v>
      </c>
      <c r="U52" t="s">
        <v>308</v>
      </c>
      <c r="V52" t="s">
        <v>308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308</v>
      </c>
      <c r="AC52" t="s">
        <v>308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17" t="str">
        <f t="shared" si="3"/>
        <v>ILO</v>
      </c>
      <c r="AK52" s="117" t="str">
        <f t="shared" si="4"/>
        <v xml:space="preserve">	Geric Perlas</v>
      </c>
      <c r="AL52" s="117" t="str">
        <f>_xlfn.XLOOKUP(Team_Report[[#This Row],[Team]],reference!B:B,reference!A:A)</f>
        <v>AH-AeroHeld-ARM-Prod</v>
      </c>
      <c r="AM52" s="117" t="str">
        <f t="shared" si="5"/>
        <v>AH-AeroHeld-ARM-ProdAH-SnapHeld-FTP-Prod</v>
      </c>
      <c r="AN52" s="117" t="str">
        <f>IFERROR(_xlfn.XLOOKUP(Team_Report[[#This Row],[Camp+Team]],reference!D:D,reference!C:C),"")</f>
        <v>ARM</v>
      </c>
    </row>
    <row r="53" spans="1:40">
      <c r="A53" t="s">
        <v>87</v>
      </c>
      <c r="B53" t="s">
        <v>346</v>
      </c>
      <c r="C53" t="s">
        <v>347</v>
      </c>
      <c r="D53">
        <v>70</v>
      </c>
      <c r="E53">
        <v>25.333864138106001</v>
      </c>
      <c r="F53">
        <v>2.2949999999999999</v>
      </c>
      <c r="G53">
        <v>0.13277777777777999</v>
      </c>
      <c r="H53">
        <v>8</v>
      </c>
      <c r="I53">
        <v>0.11428571428570999</v>
      </c>
      <c r="J53">
        <v>2.8952987586407</v>
      </c>
      <c r="K53">
        <v>8</v>
      </c>
      <c r="L53">
        <v>2.8952987586407</v>
      </c>
      <c r="M53">
        <v>2.7631000000000001</v>
      </c>
      <c r="N53">
        <v>0.83058883138504003</v>
      </c>
      <c r="O53" t="s">
        <v>308</v>
      </c>
      <c r="P53" t="s">
        <v>348</v>
      </c>
      <c r="Q53" t="s">
        <v>349</v>
      </c>
      <c r="R53" t="s">
        <v>315</v>
      </c>
      <c r="S53" t="s">
        <v>308</v>
      </c>
      <c r="T53" t="s">
        <v>945</v>
      </c>
      <c r="U53" t="s">
        <v>308</v>
      </c>
      <c r="V53" t="s">
        <v>308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308</v>
      </c>
      <c r="AC53" t="s">
        <v>308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17" t="str">
        <f t="shared" si="3"/>
        <v>ILO</v>
      </c>
      <c r="AK53" s="117" t="str">
        <f t="shared" si="4"/>
        <v xml:space="preserve">	Reynald Jomadiao</v>
      </c>
      <c r="AL53" s="117" t="str">
        <f>_xlfn.XLOOKUP(Team_Report[[#This Row],[Team]],reference!B:B,reference!A:A)</f>
        <v>AH-AeroHeld-ARM-Prod</v>
      </c>
      <c r="AM53" s="117" t="str">
        <f t="shared" si="5"/>
        <v>AH-AeroHeld-ARM-ProdAH-SnapHeld-FTP-Prod</v>
      </c>
      <c r="AN53" s="117" t="str">
        <f>IFERROR(_xlfn.XLOOKUP(Team_Report[[#This Row],[Camp+Team]],reference!D:D,reference!C:C),"")</f>
        <v>ARM</v>
      </c>
    </row>
    <row r="54" spans="1:40">
      <c r="A54" t="s">
        <v>87</v>
      </c>
      <c r="B54" t="s">
        <v>351</v>
      </c>
      <c r="C54" t="s">
        <v>352</v>
      </c>
      <c r="D54">
        <v>39</v>
      </c>
      <c r="E54">
        <v>15.347684073826001</v>
      </c>
      <c r="F54">
        <v>1.8022</v>
      </c>
      <c r="G54">
        <v>0.11805555555555999</v>
      </c>
      <c r="H54">
        <v>0</v>
      </c>
      <c r="I54">
        <v>0</v>
      </c>
      <c r="J54">
        <v>0</v>
      </c>
      <c r="K54">
        <v>0</v>
      </c>
      <c r="L54">
        <v>0</v>
      </c>
      <c r="M54">
        <v>2.5411000000000001</v>
      </c>
      <c r="N54">
        <v>0.70922041635512001</v>
      </c>
      <c r="O54" t="s">
        <v>319</v>
      </c>
      <c r="P54" t="s">
        <v>353</v>
      </c>
      <c r="Q54" t="s">
        <v>354</v>
      </c>
      <c r="R54" t="s">
        <v>355</v>
      </c>
      <c r="S54" t="s">
        <v>308</v>
      </c>
      <c r="T54" t="s">
        <v>356</v>
      </c>
      <c r="U54" t="s">
        <v>308</v>
      </c>
      <c r="V54" t="s">
        <v>308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308</v>
      </c>
      <c r="AC54" t="s">
        <v>308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17" t="str">
        <f t="shared" si="3"/>
        <v>ILO</v>
      </c>
      <c r="AK54" s="117" t="str">
        <f t="shared" si="4"/>
        <v>Aliyaah Bianca Candoleza</v>
      </c>
      <c r="AL54" s="117" t="str">
        <f>_xlfn.XLOOKUP(Team_Report[[#This Row],[Team]],reference!B:B,reference!A:A)</f>
        <v>AH-AeroHeld-ARM-Prod</v>
      </c>
      <c r="AM54" s="117" t="str">
        <f t="shared" si="5"/>
        <v>AH-AeroHeld-ARM-ProdAH-SnapHeld-FTP-Prod</v>
      </c>
      <c r="AN54" s="117" t="str">
        <f>IFERROR(_xlfn.XLOOKUP(Team_Report[[#This Row],[Camp+Team]],reference!D:D,reference!C:C),"")</f>
        <v>ARM</v>
      </c>
    </row>
    <row r="55" spans="1:40">
      <c r="A55" t="s">
        <v>87</v>
      </c>
      <c r="B55" t="s">
        <v>357</v>
      </c>
      <c r="C55" t="s">
        <v>358</v>
      </c>
      <c r="D55">
        <v>39</v>
      </c>
      <c r="E55">
        <v>15.341043190937</v>
      </c>
      <c r="F55">
        <v>1.9094</v>
      </c>
      <c r="G55">
        <v>0.16111111111111001</v>
      </c>
      <c r="H55">
        <v>0</v>
      </c>
      <c r="I55">
        <v>0</v>
      </c>
      <c r="J55">
        <v>0</v>
      </c>
      <c r="K55">
        <v>0</v>
      </c>
      <c r="L55">
        <v>0</v>
      </c>
      <c r="M55">
        <v>2.5421999999999998</v>
      </c>
      <c r="N55">
        <v>0.75108174022499996</v>
      </c>
      <c r="O55" t="s">
        <v>308</v>
      </c>
      <c r="P55" t="s">
        <v>359</v>
      </c>
      <c r="Q55" t="s">
        <v>360</v>
      </c>
      <c r="R55" t="s">
        <v>307</v>
      </c>
      <c r="S55" t="s">
        <v>308</v>
      </c>
      <c r="T55" t="s">
        <v>361</v>
      </c>
      <c r="U55" t="s">
        <v>308</v>
      </c>
      <c r="V55" t="s">
        <v>308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308</v>
      </c>
      <c r="AC55" t="s">
        <v>308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17" t="str">
        <f t="shared" si="3"/>
        <v>ILO</v>
      </c>
      <c r="AK55" s="117" t="str">
        <f t="shared" si="4"/>
        <v>Deimple Jolo</v>
      </c>
      <c r="AL55" s="117" t="str">
        <f>_xlfn.XLOOKUP(Team_Report[[#This Row],[Team]],reference!B:B,reference!A:A)</f>
        <v>AH-AeroHeld-ARM-Prod</v>
      </c>
      <c r="AM55" s="117" t="str">
        <f t="shared" si="5"/>
        <v>AH-AeroHeld-ARM-ProdAH-SnapHeld-FTP-Prod</v>
      </c>
      <c r="AN55" s="117" t="str">
        <f>IFERROR(_xlfn.XLOOKUP(Team_Report[[#This Row],[Camp+Team]],reference!D:D,reference!C:C),"")</f>
        <v>ARM</v>
      </c>
    </row>
    <row r="56" spans="1:40">
      <c r="A56" t="s">
        <v>87</v>
      </c>
      <c r="B56" t="s">
        <v>362</v>
      </c>
      <c r="C56" t="s">
        <v>363</v>
      </c>
      <c r="D56">
        <v>71</v>
      </c>
      <c r="E56">
        <v>20.167016985741</v>
      </c>
      <c r="F56">
        <v>1.0891999999999999</v>
      </c>
      <c r="G56">
        <v>1.8166666666667</v>
      </c>
      <c r="H56">
        <v>10</v>
      </c>
      <c r="I56">
        <v>0.14084507042253999</v>
      </c>
      <c r="J56">
        <v>2.8404249275692002</v>
      </c>
      <c r="K56">
        <v>10</v>
      </c>
      <c r="L56">
        <v>2.8404249275692002</v>
      </c>
      <c r="M56">
        <v>3.5206</v>
      </c>
      <c r="N56">
        <v>0.30937908311083001</v>
      </c>
      <c r="O56" t="s">
        <v>308</v>
      </c>
      <c r="P56" t="s">
        <v>364</v>
      </c>
      <c r="Q56" t="s">
        <v>365</v>
      </c>
      <c r="R56" t="s">
        <v>366</v>
      </c>
      <c r="S56" t="s">
        <v>308</v>
      </c>
      <c r="T56" t="s">
        <v>946</v>
      </c>
      <c r="U56" t="s">
        <v>308</v>
      </c>
      <c r="V56" t="s">
        <v>308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308</v>
      </c>
      <c r="AC56" t="s">
        <v>308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17" t="str">
        <f t="shared" si="3"/>
        <v>ILO</v>
      </c>
      <c r="AK56" s="117" t="str">
        <f t="shared" si="4"/>
        <v>Hanz Kimcy Esing</v>
      </c>
      <c r="AL56" s="117" t="str">
        <f>_xlfn.XLOOKUP(Team_Report[[#This Row],[Team]],reference!B:B,reference!A:A)</f>
        <v>AH-AeroHeld-ARM-Prod</v>
      </c>
      <c r="AM56" s="117" t="str">
        <f t="shared" si="5"/>
        <v>AH-AeroHeld-ARM-ProdAH-SnapHeld-FTP-Prod</v>
      </c>
      <c r="AN56" s="117" t="str">
        <f>IFERROR(_xlfn.XLOOKUP(Team_Report[[#This Row],[Camp+Team]],reference!D:D,reference!C:C),"")</f>
        <v>ARM</v>
      </c>
    </row>
    <row r="57" spans="1:40">
      <c r="A57" t="s">
        <v>87</v>
      </c>
      <c r="B57" t="s">
        <v>368</v>
      </c>
      <c r="C57" t="s">
        <v>369</v>
      </c>
      <c r="D57">
        <v>17</v>
      </c>
      <c r="E57">
        <v>8.4321214225484997</v>
      </c>
      <c r="F57">
        <v>0.81079999999999997</v>
      </c>
      <c r="G57">
        <v>0.92027777777777997</v>
      </c>
      <c r="H57">
        <v>3</v>
      </c>
      <c r="I57">
        <v>0.17647058823528999</v>
      </c>
      <c r="J57">
        <v>1.4880214275085999</v>
      </c>
      <c r="K57">
        <v>3</v>
      </c>
      <c r="L57">
        <v>1.4880214275085999</v>
      </c>
      <c r="M57">
        <v>2.0160999999999998</v>
      </c>
      <c r="N57">
        <v>0.40216259114130998</v>
      </c>
      <c r="O57" t="s">
        <v>308</v>
      </c>
      <c r="P57" t="s">
        <v>370</v>
      </c>
      <c r="Q57" t="s">
        <v>371</v>
      </c>
      <c r="R57" t="s">
        <v>372</v>
      </c>
      <c r="S57" t="s">
        <v>308</v>
      </c>
      <c r="T57" t="s">
        <v>373</v>
      </c>
      <c r="U57" t="s">
        <v>308</v>
      </c>
      <c r="V57" t="s">
        <v>308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308</v>
      </c>
      <c r="AC57" t="s">
        <v>308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17" t="str">
        <f t="shared" si="3"/>
        <v>ILO</v>
      </c>
      <c r="AK57" s="117" t="str">
        <f t="shared" si="4"/>
        <v>Rovy Belarmino</v>
      </c>
      <c r="AL57" s="117" t="str">
        <f>_xlfn.XLOOKUP(Team_Report[[#This Row],[Team]],reference!B:B,reference!A:A)</f>
        <v>AH-AeroHeld-ARM-Prod</v>
      </c>
      <c r="AM57" s="117" t="str">
        <f t="shared" si="5"/>
        <v>AH-AeroHeld-ARM-ProdAH-SnapHeld-FTP-Prod</v>
      </c>
      <c r="AN57" s="117" t="str">
        <f>IFERROR(_xlfn.XLOOKUP(Team_Report[[#This Row],[Camp+Team]],reference!D:D,reference!C:C),"")</f>
        <v>ARM</v>
      </c>
    </row>
    <row r="58" spans="1:40">
      <c r="A58" t="s">
        <v>87</v>
      </c>
      <c r="B58" t="s">
        <v>374</v>
      </c>
      <c r="C58" t="s">
        <v>375</v>
      </c>
      <c r="D58">
        <v>77</v>
      </c>
      <c r="E58">
        <v>16.280102332072001</v>
      </c>
      <c r="F58">
        <v>2.9819</v>
      </c>
      <c r="G58">
        <v>0.30972222222222001</v>
      </c>
      <c r="H58">
        <v>15</v>
      </c>
      <c r="I58">
        <v>0.19480519480519001</v>
      </c>
      <c r="J58">
        <v>3.1714485062477999</v>
      </c>
      <c r="K58">
        <v>15</v>
      </c>
      <c r="L58">
        <v>3.1714485062477999</v>
      </c>
      <c r="M58">
        <v>4.7297000000000002</v>
      </c>
      <c r="N58">
        <v>0.63046282005201004</v>
      </c>
      <c r="O58" t="s">
        <v>319</v>
      </c>
      <c r="P58" t="s">
        <v>376</v>
      </c>
      <c r="Q58" t="s">
        <v>377</v>
      </c>
      <c r="R58" t="s">
        <v>307</v>
      </c>
      <c r="S58" t="s">
        <v>308</v>
      </c>
      <c r="T58" t="s">
        <v>378</v>
      </c>
      <c r="U58" t="s">
        <v>308</v>
      </c>
      <c r="V58" t="s">
        <v>308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308</v>
      </c>
      <c r="AC58" t="s">
        <v>308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17" t="str">
        <f t="shared" si="3"/>
        <v>ILO</v>
      </c>
      <c r="AK58" s="117" t="str">
        <f t="shared" si="4"/>
        <v>Sherlem Tonio</v>
      </c>
      <c r="AL58" s="117" t="str">
        <f>_xlfn.XLOOKUP(Team_Report[[#This Row],[Team]],reference!B:B,reference!A:A)</f>
        <v>AH-AeroHeld-ARM-Prod</v>
      </c>
      <c r="AM58" s="117" t="str">
        <f t="shared" si="5"/>
        <v>AH-AeroHeld-ARM-ProdAH-SnapHeld-FTP-Prod</v>
      </c>
      <c r="AN58" s="117" t="str">
        <f>IFERROR(_xlfn.XLOOKUP(Team_Report[[#This Row],[Camp+Team]],reference!D:D,reference!C:C),"")</f>
        <v>ARM</v>
      </c>
    </row>
    <row r="59" spans="1:40">
      <c r="A59" t="s">
        <v>97</v>
      </c>
      <c r="B59" t="s">
        <v>898</v>
      </c>
      <c r="C59" t="s">
        <v>899</v>
      </c>
      <c r="D59">
        <v>8</v>
      </c>
      <c r="E59">
        <v>2.4443901246638999</v>
      </c>
      <c r="F59">
        <v>0.17</v>
      </c>
      <c r="G59">
        <v>1.2222222222222001E-2</v>
      </c>
      <c r="H59">
        <v>8</v>
      </c>
      <c r="I59">
        <v>1</v>
      </c>
      <c r="J59">
        <v>2.4443901246638999</v>
      </c>
      <c r="K59">
        <v>40</v>
      </c>
      <c r="L59">
        <v>12.221950623319</v>
      </c>
      <c r="M59">
        <v>3.2728000000000002</v>
      </c>
      <c r="N59">
        <v>5.1943290149108E-2</v>
      </c>
      <c r="O59" t="s">
        <v>332</v>
      </c>
      <c r="P59" t="s">
        <v>419</v>
      </c>
      <c r="Q59" t="s">
        <v>746</v>
      </c>
      <c r="R59" t="s">
        <v>504</v>
      </c>
      <c r="S59" t="s">
        <v>308</v>
      </c>
      <c r="T59" t="s">
        <v>901</v>
      </c>
      <c r="U59" t="s">
        <v>308</v>
      </c>
      <c r="V59" t="s">
        <v>308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308</v>
      </c>
      <c r="AC59" t="s">
        <v>308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17" t="str">
        <f t="shared" si="3"/>
        <v>ILO</v>
      </c>
      <c r="AK59" s="117" t="str">
        <f t="shared" si="4"/>
        <v xml:space="preserve">	Jason Galampanao</v>
      </c>
      <c r="AL59" s="117" t="str">
        <f>_xlfn.XLOOKUP(Team_Report[[#This Row],[Team]],reference!B:B,reference!A:A)</f>
        <v>AH-AeroHeld-Fax Map-Prod</v>
      </c>
      <c r="AM59" s="117" t="str">
        <f t="shared" si="5"/>
        <v>AH-AeroHeld-Fax Map-ProdCDT,AddDoctor,GS Escal</v>
      </c>
      <c r="AN59" s="117" t="str">
        <f>IFERROR(_xlfn.XLOOKUP(Team_Report[[#This Row],[Camp+Team]],reference!D:D,reference!C:C),"")</f>
        <v>CDT Review</v>
      </c>
    </row>
    <row r="60" spans="1:40">
      <c r="A60" t="s">
        <v>300</v>
      </c>
      <c r="B60" t="s">
        <v>824</v>
      </c>
      <c r="C60" t="s">
        <v>825</v>
      </c>
      <c r="D60">
        <v>2</v>
      </c>
      <c r="E60">
        <v>0.77270795502839995</v>
      </c>
      <c r="F60">
        <v>5.9999999999999995E-4</v>
      </c>
      <c r="G60">
        <v>0.02</v>
      </c>
      <c r="H60">
        <v>2</v>
      </c>
      <c r="I60">
        <v>1</v>
      </c>
      <c r="J60">
        <v>0.77270795502839995</v>
      </c>
      <c r="K60">
        <v>12</v>
      </c>
      <c r="L60">
        <v>4.6362477301703997</v>
      </c>
      <c r="M60">
        <v>2.5882999999999998</v>
      </c>
      <c r="N60">
        <v>2.3181238650852001E-4</v>
      </c>
      <c r="O60" t="s">
        <v>947</v>
      </c>
      <c r="P60" t="s">
        <v>486</v>
      </c>
      <c r="Q60" t="s">
        <v>319</v>
      </c>
      <c r="R60" t="s">
        <v>530</v>
      </c>
      <c r="S60" t="s">
        <v>308</v>
      </c>
      <c r="T60" t="s">
        <v>827</v>
      </c>
      <c r="U60" t="s">
        <v>308</v>
      </c>
      <c r="V60" t="s">
        <v>308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308</v>
      </c>
      <c r="AC60" t="s">
        <v>308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17" t="str">
        <f t="shared" si="3"/>
        <v>BTG</v>
      </c>
      <c r="AK60" s="117" t="str">
        <f t="shared" si="4"/>
        <v>April Ann Serrano</v>
      </c>
      <c r="AL60" s="117" t="str">
        <f>_xlfn.XLOOKUP(Team_Report[[#This Row],[Team]],reference!B:B,reference!A:A)</f>
        <v>HBOSS Portal Fax Mapping</v>
      </c>
      <c r="AM60" s="117" t="str">
        <f t="shared" si="5"/>
        <v>HBOSS Portal Fax MappingDiab FM</v>
      </c>
      <c r="AN60" s="117" t="str">
        <f>IFERROR(_xlfn.XLOOKUP(Team_Report[[#This Row],[Camp+Team]],reference!D:D,reference!C:C),"")</f>
        <v>Fax Mapping</v>
      </c>
    </row>
    <row r="61" spans="1:40">
      <c r="A61" t="s">
        <v>95</v>
      </c>
      <c r="B61" t="s">
        <v>948</v>
      </c>
      <c r="C61" t="s">
        <v>949</v>
      </c>
      <c r="D61">
        <v>38</v>
      </c>
      <c r="E61">
        <v>9.6623270951993998</v>
      </c>
      <c r="F61">
        <v>0.75970000000000004</v>
      </c>
      <c r="G61">
        <v>7.7777777777778001E-2</v>
      </c>
      <c r="H61">
        <v>31</v>
      </c>
      <c r="I61">
        <v>0.81578947368420995</v>
      </c>
      <c r="J61">
        <v>7.8824247355574002</v>
      </c>
      <c r="K61">
        <v>31</v>
      </c>
      <c r="L61">
        <v>7.8824247355574002</v>
      </c>
      <c r="M61">
        <v>3.9327999999999999</v>
      </c>
      <c r="N61">
        <v>0.19317026037429</v>
      </c>
      <c r="O61" t="s">
        <v>950</v>
      </c>
      <c r="P61" t="s">
        <v>852</v>
      </c>
      <c r="Q61" t="s">
        <v>501</v>
      </c>
      <c r="R61" t="s">
        <v>339</v>
      </c>
      <c r="S61" t="s">
        <v>308</v>
      </c>
      <c r="T61" t="s">
        <v>308</v>
      </c>
      <c r="U61" t="s">
        <v>308</v>
      </c>
      <c r="V61" t="s">
        <v>308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308</v>
      </c>
      <c r="AC61" t="s">
        <v>308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17" t="str">
        <f t="shared" si="3"/>
        <v>BCD</v>
      </c>
      <c r="AK61" s="117" t="str">
        <f t="shared" si="4"/>
        <v xml:space="preserve">	Ron Jacob Balquin</v>
      </c>
      <c r="AL61" s="117" t="str">
        <f>_xlfn.XLOOKUP(Team_Report[[#This Row],[Team]],reference!B:B,reference!A:A)</f>
        <v>AH-SnapHeld-Special Project - Billable</v>
      </c>
      <c r="AM61" s="117" t="str">
        <f t="shared" si="5"/>
        <v>AH-SnapHeld-Special Project - BillableHBOSS BT Project-Blank Held</v>
      </c>
      <c r="AN61" s="117" t="str">
        <f>IFERROR(_xlfn.XLOOKUP(Team_Report[[#This Row],[Camp+Team]],reference!D:D,reference!C:C),"")</f>
        <v>Blank Held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5A0B3-1C96-4B2D-9438-E47C091D21D1}">
  <sheetPr>
    <tabColor rgb="FF0070C0"/>
  </sheetPr>
  <dimension ref="A1:AM164"/>
  <sheetViews>
    <sheetView workbookViewId="0">
      <selection activeCell="A2" sqref="A2"/>
    </sheetView>
  </sheetViews>
  <sheetFormatPr defaultRowHeight="13.2"/>
  <cols>
    <col min="1" max="1" width="27.21875" bestFit="1" customWidth="1"/>
    <col min="2" max="2" width="32.44140625" bestFit="1" customWidth="1"/>
    <col min="3" max="3" width="30.77734375" bestFit="1" customWidth="1"/>
    <col min="4" max="4" width="7.44140625" bestFit="1" customWidth="1"/>
    <col min="5" max="5" width="12" bestFit="1" customWidth="1"/>
    <col min="6" max="6" width="7" bestFit="1" customWidth="1"/>
    <col min="7" max="7" width="12" bestFit="1" customWidth="1"/>
    <col min="8" max="8" width="7.77734375" bestFit="1" customWidth="1"/>
    <col min="9" max="10" width="12" bestFit="1" customWidth="1"/>
    <col min="11" max="11" width="8.77734375" bestFit="1" customWidth="1"/>
    <col min="12" max="12" width="12" bestFit="1" customWidth="1"/>
    <col min="13" max="13" width="11.88671875" bestFit="1" customWidth="1"/>
    <col min="14" max="14" width="12" bestFit="1" customWidth="1"/>
    <col min="15" max="15" width="6.77734375" bestFit="1" customWidth="1"/>
    <col min="16" max="16" width="6.88671875" bestFit="1" customWidth="1"/>
    <col min="17" max="17" width="6.6640625" bestFit="1" customWidth="1"/>
    <col min="18" max="18" width="7.44140625" bestFit="1" customWidth="1"/>
    <col min="19" max="19" width="15.77734375" bestFit="1" customWidth="1"/>
    <col min="20" max="20" width="8.33203125" bestFit="1" customWidth="1"/>
    <col min="21" max="21" width="11.44140625" bestFit="1" customWidth="1"/>
    <col min="22" max="22" width="13.109375" bestFit="1" customWidth="1"/>
    <col min="23" max="23" width="11.5546875" bestFit="1" customWidth="1"/>
    <col min="24" max="24" width="13.21875" bestFit="1" customWidth="1"/>
    <col min="25" max="25" width="9.5546875" bestFit="1" customWidth="1"/>
    <col min="26" max="26" width="11.88671875" bestFit="1" customWidth="1"/>
    <col min="27" max="27" width="8.21875" bestFit="1" customWidth="1"/>
    <col min="28" max="28" width="7.21875" bestFit="1" customWidth="1"/>
    <col min="29" max="29" width="11" bestFit="1" customWidth="1"/>
    <col min="30" max="30" width="11.6640625" bestFit="1" customWidth="1"/>
    <col min="31" max="31" width="12.109375" bestFit="1" customWidth="1"/>
    <col min="32" max="32" width="12.5546875" bestFit="1" customWidth="1"/>
    <col min="33" max="33" width="15.88671875" bestFit="1" customWidth="1"/>
    <col min="34" max="34" width="12.6640625" bestFit="1" customWidth="1"/>
    <col min="35" max="35" width="13.21875" bestFit="1" customWidth="1"/>
    <col min="36" max="36" width="6.5546875" bestFit="1" customWidth="1"/>
    <col min="37" max="37" width="28.21875" bestFit="1" customWidth="1"/>
    <col min="38" max="38" width="47.33203125" bestFit="1" customWidth="1"/>
    <col min="39" max="39" width="14.88671875" bestFit="1" customWidth="1"/>
  </cols>
  <sheetData>
    <row r="1" spans="1:39">
      <c r="A1" t="s">
        <v>267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  <c r="Q1" t="s">
        <v>154</v>
      </c>
      <c r="R1" t="s">
        <v>155</v>
      </c>
      <c r="S1" t="s">
        <v>156</v>
      </c>
      <c r="T1" t="s">
        <v>157</v>
      </c>
      <c r="U1" t="s">
        <v>158</v>
      </c>
      <c r="V1" t="s">
        <v>159</v>
      </c>
      <c r="W1" t="s">
        <v>160</v>
      </c>
      <c r="X1" t="s">
        <v>161</v>
      </c>
      <c r="Y1" t="s">
        <v>162</v>
      </c>
      <c r="Z1" t="s">
        <v>163</v>
      </c>
      <c r="AA1" t="s">
        <v>164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s="117" t="s">
        <v>173</v>
      </c>
      <c r="AK1" s="117" t="s">
        <v>174</v>
      </c>
      <c r="AL1" s="117" t="s">
        <v>177</v>
      </c>
      <c r="AM1" s="117" t="s">
        <v>176</v>
      </c>
    </row>
    <row r="2" spans="1:39">
      <c r="A2" t="s">
        <v>85</v>
      </c>
      <c r="B2" t="s">
        <v>302</v>
      </c>
      <c r="C2" t="s">
        <v>303</v>
      </c>
      <c r="D2">
        <v>54</v>
      </c>
      <c r="E2">
        <v>16.110265819386001</v>
      </c>
      <c r="F2">
        <v>0.1244</v>
      </c>
      <c r="G2">
        <v>0.22416666666667001</v>
      </c>
      <c r="H2">
        <v>12</v>
      </c>
      <c r="I2">
        <v>0.22222222222221999</v>
      </c>
      <c r="J2">
        <v>3.5800590709747002</v>
      </c>
      <c r="K2">
        <v>12</v>
      </c>
      <c r="L2">
        <v>3.5800590709747002</v>
      </c>
      <c r="M2">
        <v>3.3519000000000001</v>
      </c>
      <c r="N2">
        <v>3.7113279035771003E-2</v>
      </c>
      <c r="O2" t="s">
        <v>304</v>
      </c>
      <c r="P2" t="s">
        <v>305</v>
      </c>
      <c r="Q2" t="s">
        <v>306</v>
      </c>
      <c r="R2" t="s">
        <v>307</v>
      </c>
      <c r="S2" t="s">
        <v>308</v>
      </c>
      <c r="T2" t="s">
        <v>309</v>
      </c>
      <c r="U2" t="s">
        <v>308</v>
      </c>
      <c r="V2" t="s">
        <v>308</v>
      </c>
      <c r="W2">
        <v>0</v>
      </c>
      <c r="X2">
        <v>0</v>
      </c>
      <c r="Y2">
        <v>0</v>
      </c>
      <c r="Z2">
        <v>0</v>
      </c>
      <c r="AA2">
        <v>0</v>
      </c>
      <c r="AB2" t="s">
        <v>308</v>
      </c>
      <c r="AC2" t="s">
        <v>308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17" t="str">
        <f t="shared" ref="AJ2:AJ33" si="0">LEFT(B2,3)</f>
        <v>BCD</v>
      </c>
      <c r="AK2" s="117" t="str">
        <f t="shared" ref="AK2:AK33" si="1">TRIM(RIGHT(B2, LEN(B2)-3))</f>
        <v xml:space="preserve">	Geron Poda</v>
      </c>
      <c r="AL2" s="117" t="str">
        <f>_xlfn.XLOOKUP(A2,reference!A:A,reference!D:D)</f>
        <v>AH-SnapHeld-Aging-Prod</v>
      </c>
      <c r="AM2" s="117" t="str">
        <f>IF(A2="AH-SnapHeld-Special Project - B",_xlfn.XLOOKUP(AK2,BP:BP,BO:BO),IF(_xlfn.XLOOKUP(AL2,reference!D:D,reference!C:C)=0,"",_xlfn.XLOOKUP(AL2,reference!D:D,reference!C:C)))</f>
        <v>Aging</v>
      </c>
    </row>
    <row r="3" spans="1:39">
      <c r="A3" t="s">
        <v>85</v>
      </c>
      <c r="B3" t="s">
        <v>310</v>
      </c>
      <c r="C3" t="s">
        <v>311</v>
      </c>
      <c r="D3">
        <v>32</v>
      </c>
      <c r="E3">
        <v>12.006153153491001</v>
      </c>
      <c r="F3">
        <v>0.5403</v>
      </c>
      <c r="G3">
        <v>5.5833333333332999E-2</v>
      </c>
      <c r="H3">
        <v>8</v>
      </c>
      <c r="I3">
        <v>0.25</v>
      </c>
      <c r="J3">
        <v>3.0015382883727999</v>
      </c>
      <c r="K3">
        <v>8</v>
      </c>
      <c r="L3">
        <v>3.0015382883727999</v>
      </c>
      <c r="M3">
        <v>2.6652999999999998</v>
      </c>
      <c r="N3">
        <v>0.20271639215098</v>
      </c>
      <c r="O3" t="s">
        <v>312</v>
      </c>
      <c r="P3" t="s">
        <v>313</v>
      </c>
      <c r="Q3" t="s">
        <v>314</v>
      </c>
      <c r="R3" t="s">
        <v>315</v>
      </c>
      <c r="S3" t="s">
        <v>308</v>
      </c>
      <c r="T3" t="s">
        <v>316</v>
      </c>
      <c r="U3" t="s">
        <v>308</v>
      </c>
      <c r="V3" t="s">
        <v>308</v>
      </c>
      <c r="W3">
        <v>0</v>
      </c>
      <c r="X3">
        <v>0</v>
      </c>
      <c r="Y3">
        <v>0</v>
      </c>
      <c r="Z3">
        <v>0</v>
      </c>
      <c r="AA3">
        <v>0</v>
      </c>
      <c r="AB3" t="s">
        <v>308</v>
      </c>
      <c r="AC3" t="s">
        <v>308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17" t="str">
        <f t="shared" si="0"/>
        <v>BTG</v>
      </c>
      <c r="AK3" s="117" t="str">
        <f t="shared" si="1"/>
        <v>Airel Tumambing</v>
      </c>
      <c r="AL3" s="117" t="str">
        <f>_xlfn.XLOOKUP(A3,reference!A:A,reference!D:D)</f>
        <v>AH-SnapHeld-Aging-Prod</v>
      </c>
      <c r="AM3" s="117" t="str">
        <f>IF(A3="AH-SnapHeld-Special Project - B",_xlfn.XLOOKUP(AK3,BP:BP,BO:BO),IF(_xlfn.XLOOKUP(AL3,reference!D:D,reference!C:C)=0,"",_xlfn.XLOOKUP(AL3,reference!D:D,reference!C:C)))</f>
        <v>Aging</v>
      </c>
    </row>
    <row r="4" spans="1:39">
      <c r="A4" t="s">
        <v>85</v>
      </c>
      <c r="B4" t="s">
        <v>317</v>
      </c>
      <c r="C4" t="s">
        <v>318</v>
      </c>
      <c r="D4">
        <v>53</v>
      </c>
      <c r="E4">
        <v>16.982824916687999</v>
      </c>
      <c r="F4">
        <v>0.61529999999999996</v>
      </c>
      <c r="G4">
        <v>0.28416666666667001</v>
      </c>
      <c r="H4">
        <v>9</v>
      </c>
      <c r="I4">
        <v>0.16981132075472</v>
      </c>
      <c r="J4">
        <v>2.8838759292488998</v>
      </c>
      <c r="K4">
        <v>9</v>
      </c>
      <c r="L4">
        <v>2.8838759292488998</v>
      </c>
      <c r="M4">
        <v>3.1208</v>
      </c>
      <c r="N4">
        <v>0.19716098436297999</v>
      </c>
      <c r="O4" t="s">
        <v>319</v>
      </c>
      <c r="P4" t="s">
        <v>320</v>
      </c>
      <c r="Q4" t="s">
        <v>321</v>
      </c>
      <c r="R4" t="s">
        <v>322</v>
      </c>
      <c r="S4" t="s">
        <v>308</v>
      </c>
      <c r="T4" t="s">
        <v>323</v>
      </c>
      <c r="U4" t="s">
        <v>308</v>
      </c>
      <c r="V4" t="s">
        <v>308</v>
      </c>
      <c r="W4">
        <v>0</v>
      </c>
      <c r="X4">
        <v>0</v>
      </c>
      <c r="Y4">
        <v>0</v>
      </c>
      <c r="Z4">
        <v>0</v>
      </c>
      <c r="AA4">
        <v>0</v>
      </c>
      <c r="AB4" t="s">
        <v>308</v>
      </c>
      <c r="AC4" t="s">
        <v>308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17" t="str">
        <f t="shared" si="0"/>
        <v>ILO</v>
      </c>
      <c r="AK4" s="117" t="str">
        <f t="shared" si="1"/>
        <v xml:space="preserve">	Shara Marie Baler</v>
      </c>
      <c r="AL4" s="117" t="str">
        <f>_xlfn.XLOOKUP(A4,reference!A:A,reference!D:D)</f>
        <v>AH-SnapHeld-Aging-Prod</v>
      </c>
      <c r="AM4" s="117" t="str">
        <f>IF(A4="AH-SnapHeld-Special Project - B",_xlfn.XLOOKUP(AK4,BP:BP,BO:BO),IF(_xlfn.XLOOKUP(AL4,reference!D:D,reference!C:C)=0,"",_xlfn.XLOOKUP(AL4,reference!D:D,reference!C:C)))</f>
        <v>Aging</v>
      </c>
    </row>
    <row r="5" spans="1:39">
      <c r="A5" t="s">
        <v>89</v>
      </c>
      <c r="B5" t="s">
        <v>324</v>
      </c>
      <c r="C5" t="s">
        <v>325</v>
      </c>
      <c r="D5">
        <v>22</v>
      </c>
      <c r="E5">
        <v>11.407238411283</v>
      </c>
      <c r="F5">
        <v>0.51859999999999995</v>
      </c>
      <c r="G5">
        <v>1.1016666666667001</v>
      </c>
      <c r="H5">
        <v>7</v>
      </c>
      <c r="I5">
        <v>0.31818181818182001</v>
      </c>
      <c r="J5">
        <v>3.6295758581354001</v>
      </c>
      <c r="K5">
        <v>7</v>
      </c>
      <c r="L5">
        <v>3.6295758581354001</v>
      </c>
      <c r="M5">
        <v>1.9286000000000001</v>
      </c>
      <c r="N5">
        <v>0.26889972000415002</v>
      </c>
      <c r="O5" t="s">
        <v>319</v>
      </c>
      <c r="P5" t="s">
        <v>326</v>
      </c>
      <c r="Q5" t="s">
        <v>327</v>
      </c>
      <c r="R5" t="s">
        <v>328</v>
      </c>
      <c r="S5" t="s">
        <v>308</v>
      </c>
      <c r="T5" t="s">
        <v>308</v>
      </c>
      <c r="U5" t="s">
        <v>308</v>
      </c>
      <c r="V5" t="s">
        <v>308</v>
      </c>
      <c r="W5">
        <v>0</v>
      </c>
      <c r="X5">
        <v>0</v>
      </c>
      <c r="Y5">
        <v>0</v>
      </c>
      <c r="Z5">
        <v>0</v>
      </c>
      <c r="AA5">
        <v>0</v>
      </c>
      <c r="AB5" t="s">
        <v>308</v>
      </c>
      <c r="AC5" t="s">
        <v>308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s="117" t="str">
        <f t="shared" si="0"/>
        <v>ILO</v>
      </c>
      <c r="AK5" s="117" t="str">
        <f t="shared" si="1"/>
        <v xml:space="preserve">	Arabella Joy Borromeo</v>
      </c>
      <c r="AL5" s="117" t="str">
        <f>_xlfn.XLOOKUP(A5,reference!A:A,reference!D:D)</f>
        <v>AH-SnapHeld-ARM-ProdAH-AeroHeld-FTP-Prod</v>
      </c>
      <c r="AM5" s="117" t="str">
        <f>IF(A5="AH-SnapHeld-Special Project - B",_xlfn.XLOOKUP(AK5,BP:BP,BO:BO),IF(_xlfn.XLOOKUP(AL5,reference!D:D,reference!C:C)=0,"",_xlfn.XLOOKUP(AL5,reference!D:D,reference!C:C)))</f>
        <v>ARM</v>
      </c>
    </row>
    <row r="6" spans="1:39">
      <c r="A6" t="s">
        <v>89</v>
      </c>
      <c r="B6" t="s">
        <v>329</v>
      </c>
      <c r="C6" t="s">
        <v>330</v>
      </c>
      <c r="D6">
        <v>24</v>
      </c>
      <c r="E6">
        <v>10.523546435148999</v>
      </c>
      <c r="F6">
        <v>1.7442</v>
      </c>
      <c r="G6">
        <v>0.10111111111111</v>
      </c>
      <c r="H6">
        <v>1</v>
      </c>
      <c r="I6">
        <v>4.1666666666666997E-2</v>
      </c>
      <c r="J6">
        <v>0.43848110146453001</v>
      </c>
      <c r="K6">
        <v>1</v>
      </c>
      <c r="L6">
        <v>0.43848110146453001</v>
      </c>
      <c r="M6">
        <v>2.2806000000000002</v>
      </c>
      <c r="N6">
        <v>0.76479873717443003</v>
      </c>
      <c r="O6" t="s">
        <v>319</v>
      </c>
      <c r="P6" t="s">
        <v>331</v>
      </c>
      <c r="Q6" t="s">
        <v>332</v>
      </c>
      <c r="R6" t="s">
        <v>333</v>
      </c>
      <c r="S6" t="s">
        <v>308</v>
      </c>
      <c r="T6" t="s">
        <v>334</v>
      </c>
      <c r="U6" t="s">
        <v>308</v>
      </c>
      <c r="V6" t="s">
        <v>308</v>
      </c>
      <c r="W6">
        <v>0</v>
      </c>
      <c r="X6">
        <v>0</v>
      </c>
      <c r="Y6">
        <v>0</v>
      </c>
      <c r="Z6">
        <v>0</v>
      </c>
      <c r="AA6">
        <v>0</v>
      </c>
      <c r="AB6" t="s">
        <v>308</v>
      </c>
      <c r="AC6" t="s">
        <v>308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17" t="str">
        <f t="shared" si="0"/>
        <v>ILO</v>
      </c>
      <c r="AK6" s="117" t="str">
        <f t="shared" si="1"/>
        <v xml:space="preserve">	Cherryl Rose Gabinera</v>
      </c>
      <c r="AL6" s="117" t="str">
        <f>_xlfn.XLOOKUP(A6,reference!A:A,reference!D:D)</f>
        <v>AH-SnapHeld-ARM-ProdAH-AeroHeld-FTP-Prod</v>
      </c>
      <c r="AM6" s="117" t="str">
        <f>IF(A6="AH-SnapHeld-Special Project - B",_xlfn.XLOOKUP(AK6,BP:BP,BO:BO),IF(_xlfn.XLOOKUP(AL6,reference!D:D,reference!C:C)=0,"",_xlfn.XLOOKUP(AL6,reference!D:D,reference!C:C)))</f>
        <v>ARM</v>
      </c>
    </row>
    <row r="7" spans="1:39">
      <c r="A7" t="s">
        <v>89</v>
      </c>
      <c r="B7" t="s">
        <v>335</v>
      </c>
      <c r="C7" t="s">
        <v>336</v>
      </c>
      <c r="D7">
        <v>25</v>
      </c>
      <c r="E7">
        <v>11.319387847505</v>
      </c>
      <c r="F7">
        <v>1.88</v>
      </c>
      <c r="G7">
        <v>4.9166666666666997E-2</v>
      </c>
      <c r="H7">
        <v>2</v>
      </c>
      <c r="I7">
        <v>0.08</v>
      </c>
      <c r="J7">
        <v>0.90555102780041996</v>
      </c>
      <c r="K7">
        <v>2</v>
      </c>
      <c r="L7">
        <v>0.90555102780041996</v>
      </c>
      <c r="M7">
        <v>2.2086000000000001</v>
      </c>
      <c r="N7">
        <v>0.85121796613238987</v>
      </c>
      <c r="O7" t="s">
        <v>319</v>
      </c>
      <c r="P7" t="s">
        <v>337</v>
      </c>
      <c r="Q7" t="s">
        <v>338</v>
      </c>
      <c r="R7" t="s">
        <v>339</v>
      </c>
      <c r="S7" t="s">
        <v>308</v>
      </c>
      <c r="T7" t="s">
        <v>340</v>
      </c>
      <c r="U7" t="s">
        <v>308</v>
      </c>
      <c r="V7" t="s">
        <v>308</v>
      </c>
      <c r="W7">
        <v>0</v>
      </c>
      <c r="X7">
        <v>0</v>
      </c>
      <c r="Y7">
        <v>0</v>
      </c>
      <c r="Z7">
        <v>0</v>
      </c>
      <c r="AA7">
        <v>0</v>
      </c>
      <c r="AB7" t="s">
        <v>308</v>
      </c>
      <c r="AC7" t="s">
        <v>308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117" t="str">
        <f t="shared" si="0"/>
        <v>ILO</v>
      </c>
      <c r="AK7" s="117" t="str">
        <f t="shared" si="1"/>
        <v xml:space="preserve">	Geric Perlas</v>
      </c>
      <c r="AL7" s="117" t="str">
        <f>_xlfn.XLOOKUP(A7,reference!A:A,reference!D:D)</f>
        <v>AH-SnapHeld-ARM-ProdAH-AeroHeld-FTP-Prod</v>
      </c>
      <c r="AM7" s="117" t="str">
        <f>IF(A7="AH-SnapHeld-Special Project - B",_xlfn.XLOOKUP(AK7,BP:BP,BO:BO),IF(_xlfn.XLOOKUP(AL7,reference!D:D,reference!C:C)=0,"",_xlfn.XLOOKUP(AL7,reference!D:D,reference!C:C)))</f>
        <v>ARM</v>
      </c>
    </row>
    <row r="8" spans="1:39">
      <c r="A8" t="s">
        <v>89</v>
      </c>
      <c r="B8" t="s">
        <v>341</v>
      </c>
      <c r="C8" t="s">
        <v>342</v>
      </c>
      <c r="D8">
        <v>20</v>
      </c>
      <c r="E8">
        <v>12.286521685711</v>
      </c>
      <c r="F8">
        <v>1.2297</v>
      </c>
      <c r="G8">
        <v>0.29472222222222</v>
      </c>
      <c r="H8">
        <v>6</v>
      </c>
      <c r="I8">
        <v>0.3</v>
      </c>
      <c r="J8">
        <v>3.6859565057132002</v>
      </c>
      <c r="K8">
        <v>6</v>
      </c>
      <c r="L8">
        <v>3.6859565057132002</v>
      </c>
      <c r="M8">
        <v>1.6277999999999999</v>
      </c>
      <c r="N8">
        <v>0.75543678584592988</v>
      </c>
      <c r="O8" t="s">
        <v>308</v>
      </c>
      <c r="P8" t="s">
        <v>343</v>
      </c>
      <c r="Q8" t="s">
        <v>344</v>
      </c>
      <c r="R8" t="s">
        <v>345</v>
      </c>
      <c r="S8" t="s">
        <v>308</v>
      </c>
      <c r="T8" t="s">
        <v>308</v>
      </c>
      <c r="U8" t="s">
        <v>308</v>
      </c>
      <c r="V8" t="s">
        <v>308</v>
      </c>
      <c r="W8">
        <v>0</v>
      </c>
      <c r="X8">
        <v>0</v>
      </c>
      <c r="Y8">
        <v>0</v>
      </c>
      <c r="Z8">
        <v>0</v>
      </c>
      <c r="AA8">
        <v>0</v>
      </c>
      <c r="AB8" t="s">
        <v>308</v>
      </c>
      <c r="AC8" t="s">
        <v>308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117" t="str">
        <f t="shared" si="0"/>
        <v>ILO</v>
      </c>
      <c r="AK8" s="117" t="str">
        <f t="shared" si="1"/>
        <v xml:space="preserve">	Kaixen Gail Arceta</v>
      </c>
      <c r="AL8" s="117" t="str">
        <f>_xlfn.XLOOKUP(A8,reference!A:A,reference!D:D)</f>
        <v>AH-SnapHeld-ARM-ProdAH-AeroHeld-FTP-Prod</v>
      </c>
      <c r="AM8" s="117" t="str">
        <f>IF(A8="AH-SnapHeld-Special Project - B",_xlfn.XLOOKUP(AK8,BP:BP,BO:BO),IF(_xlfn.XLOOKUP(AL8,reference!D:D,reference!C:C)=0,"",_xlfn.XLOOKUP(AL8,reference!D:D,reference!C:C)))</f>
        <v>ARM</v>
      </c>
    </row>
    <row r="9" spans="1:39">
      <c r="A9" t="s">
        <v>89</v>
      </c>
      <c r="B9" t="s">
        <v>346</v>
      </c>
      <c r="C9" t="s">
        <v>347</v>
      </c>
      <c r="D9">
        <v>70</v>
      </c>
      <c r="E9">
        <v>25.333864138106001</v>
      </c>
      <c r="F9">
        <v>2.2949999999999999</v>
      </c>
      <c r="G9">
        <v>0.13277777777777999</v>
      </c>
      <c r="H9">
        <v>8</v>
      </c>
      <c r="I9">
        <v>0.11428571428570999</v>
      </c>
      <c r="J9">
        <v>2.8952987586407</v>
      </c>
      <c r="K9">
        <v>8</v>
      </c>
      <c r="L9">
        <v>2.8952987586407</v>
      </c>
      <c r="M9">
        <v>2.7631000000000001</v>
      </c>
      <c r="N9">
        <v>0.83058883138504003</v>
      </c>
      <c r="O9" t="s">
        <v>308</v>
      </c>
      <c r="P9" t="s">
        <v>348</v>
      </c>
      <c r="Q9" t="s">
        <v>349</v>
      </c>
      <c r="R9" t="s">
        <v>315</v>
      </c>
      <c r="S9" t="s">
        <v>308</v>
      </c>
      <c r="T9" t="s">
        <v>350</v>
      </c>
      <c r="U9" t="s">
        <v>308</v>
      </c>
      <c r="V9" t="s">
        <v>308</v>
      </c>
      <c r="W9">
        <v>0</v>
      </c>
      <c r="X9">
        <v>0</v>
      </c>
      <c r="Y9">
        <v>0</v>
      </c>
      <c r="Z9">
        <v>0</v>
      </c>
      <c r="AA9">
        <v>0</v>
      </c>
      <c r="AB9" t="s">
        <v>308</v>
      </c>
      <c r="AC9" t="s">
        <v>308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117" t="str">
        <f t="shared" si="0"/>
        <v>ILO</v>
      </c>
      <c r="AK9" s="117" t="str">
        <f t="shared" si="1"/>
        <v xml:space="preserve">	Reynald Jomadiao</v>
      </c>
      <c r="AL9" s="117" t="str">
        <f>_xlfn.XLOOKUP(A9,reference!A:A,reference!D:D)</f>
        <v>AH-SnapHeld-ARM-ProdAH-AeroHeld-FTP-Prod</v>
      </c>
      <c r="AM9" s="117" t="str">
        <f>IF(A9="AH-SnapHeld-Special Project - B",_xlfn.XLOOKUP(AK9,BP:BP,BO:BO),IF(_xlfn.XLOOKUP(AL9,reference!D:D,reference!C:C)=0,"",_xlfn.XLOOKUP(AL9,reference!D:D,reference!C:C)))</f>
        <v>ARM</v>
      </c>
    </row>
    <row r="10" spans="1:39">
      <c r="A10" t="s">
        <v>89</v>
      </c>
      <c r="B10" t="s">
        <v>351</v>
      </c>
      <c r="C10" t="s">
        <v>352</v>
      </c>
      <c r="D10">
        <v>39</v>
      </c>
      <c r="E10">
        <v>15.209422041962</v>
      </c>
      <c r="F10">
        <v>1.8022</v>
      </c>
      <c r="G10">
        <v>0.11805555555555999</v>
      </c>
      <c r="H10">
        <v>0</v>
      </c>
      <c r="I10">
        <v>0</v>
      </c>
      <c r="J10">
        <v>0</v>
      </c>
      <c r="K10">
        <v>0</v>
      </c>
      <c r="L10">
        <v>0</v>
      </c>
      <c r="M10">
        <v>2.5642</v>
      </c>
      <c r="N10">
        <v>0.70283129241089004</v>
      </c>
      <c r="O10" t="s">
        <v>319</v>
      </c>
      <c r="P10" t="s">
        <v>353</v>
      </c>
      <c r="Q10" t="s">
        <v>354</v>
      </c>
      <c r="R10" t="s">
        <v>355</v>
      </c>
      <c r="S10" t="s">
        <v>308</v>
      </c>
      <c r="T10" t="s">
        <v>356</v>
      </c>
      <c r="U10" t="s">
        <v>308</v>
      </c>
      <c r="V10" t="s">
        <v>308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308</v>
      </c>
      <c r="AC10" t="s">
        <v>308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117" t="str">
        <f t="shared" si="0"/>
        <v>ILO</v>
      </c>
      <c r="AK10" s="117" t="str">
        <f t="shared" si="1"/>
        <v>Aliyaah Bianca Candoleza</v>
      </c>
      <c r="AL10" s="117" t="str">
        <f>_xlfn.XLOOKUP(A10,reference!A:A,reference!D:D)</f>
        <v>AH-SnapHeld-ARM-ProdAH-AeroHeld-FTP-Prod</v>
      </c>
      <c r="AM10" s="117" t="str">
        <f>IF(A10="AH-SnapHeld-Special Project - B",_xlfn.XLOOKUP(AK10,BP:BP,BO:BO),IF(_xlfn.XLOOKUP(AL10,reference!D:D,reference!C:C)=0,"",_xlfn.XLOOKUP(AL10,reference!D:D,reference!C:C)))</f>
        <v>ARM</v>
      </c>
    </row>
    <row r="11" spans="1:39">
      <c r="A11" t="s">
        <v>89</v>
      </c>
      <c r="B11" t="s">
        <v>357</v>
      </c>
      <c r="C11" t="s">
        <v>358</v>
      </c>
      <c r="D11">
        <v>39</v>
      </c>
      <c r="E11">
        <v>15.206456895543001</v>
      </c>
      <c r="F11">
        <v>1.9094</v>
      </c>
      <c r="G11">
        <v>0.16111111111111001</v>
      </c>
      <c r="H11">
        <v>0</v>
      </c>
      <c r="I11">
        <v>0</v>
      </c>
      <c r="J11">
        <v>0</v>
      </c>
      <c r="K11">
        <v>0</v>
      </c>
      <c r="L11">
        <v>0</v>
      </c>
      <c r="M11">
        <v>2.5647000000000002</v>
      </c>
      <c r="N11">
        <v>0.74449253323975995</v>
      </c>
      <c r="O11" t="s">
        <v>308</v>
      </c>
      <c r="P11" t="s">
        <v>359</v>
      </c>
      <c r="Q11" t="s">
        <v>360</v>
      </c>
      <c r="R11" t="s">
        <v>307</v>
      </c>
      <c r="S11" t="s">
        <v>308</v>
      </c>
      <c r="T11" t="s">
        <v>361</v>
      </c>
      <c r="U11" t="s">
        <v>308</v>
      </c>
      <c r="V11" t="s">
        <v>308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308</v>
      </c>
      <c r="AC11" t="s">
        <v>308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17" t="str">
        <f t="shared" si="0"/>
        <v>ILO</v>
      </c>
      <c r="AK11" s="117" t="str">
        <f t="shared" si="1"/>
        <v>Deimple Jolo</v>
      </c>
      <c r="AL11" s="117" t="str">
        <f>_xlfn.XLOOKUP(A11,reference!A:A,reference!D:D)</f>
        <v>AH-SnapHeld-ARM-ProdAH-AeroHeld-FTP-Prod</v>
      </c>
      <c r="AM11" s="117" t="str">
        <f>IF(A11="AH-SnapHeld-Special Project - B",_xlfn.XLOOKUP(AK11,BP:BP,BO:BO),IF(_xlfn.XLOOKUP(AL11,reference!D:D,reference!C:C)=0,"",_xlfn.XLOOKUP(AL11,reference!D:D,reference!C:C)))</f>
        <v>ARM</v>
      </c>
    </row>
    <row r="12" spans="1:39">
      <c r="A12" t="s">
        <v>89</v>
      </c>
      <c r="B12" t="s">
        <v>362</v>
      </c>
      <c r="C12" t="s">
        <v>363</v>
      </c>
      <c r="D12">
        <v>71</v>
      </c>
      <c r="E12">
        <v>20.167016985741</v>
      </c>
      <c r="F12">
        <v>1.0891999999999999</v>
      </c>
      <c r="G12">
        <v>1.8166666666667</v>
      </c>
      <c r="H12">
        <v>10</v>
      </c>
      <c r="I12">
        <v>0.14084507042253999</v>
      </c>
      <c r="J12">
        <v>2.8404249275692002</v>
      </c>
      <c r="K12">
        <v>10</v>
      </c>
      <c r="L12">
        <v>2.8404249275692002</v>
      </c>
      <c r="M12">
        <v>3.5206</v>
      </c>
      <c r="N12">
        <v>0.30937908311083001</v>
      </c>
      <c r="O12" t="s">
        <v>308</v>
      </c>
      <c r="P12" t="s">
        <v>364</v>
      </c>
      <c r="Q12" t="s">
        <v>365</v>
      </c>
      <c r="R12" t="s">
        <v>366</v>
      </c>
      <c r="S12" t="s">
        <v>308</v>
      </c>
      <c r="T12" t="s">
        <v>367</v>
      </c>
      <c r="U12" t="s">
        <v>308</v>
      </c>
      <c r="V12" t="s">
        <v>308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308</v>
      </c>
      <c r="AC12" t="s">
        <v>308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17" t="str">
        <f t="shared" si="0"/>
        <v>ILO</v>
      </c>
      <c r="AK12" s="117" t="str">
        <f t="shared" si="1"/>
        <v>Hanz Kimcy Esing</v>
      </c>
      <c r="AL12" s="117" t="str">
        <f>_xlfn.XLOOKUP(A12,reference!A:A,reference!D:D)</f>
        <v>AH-SnapHeld-ARM-ProdAH-AeroHeld-FTP-Prod</v>
      </c>
      <c r="AM12" s="117" t="str">
        <f>IF(A12="AH-SnapHeld-Special Project - B",_xlfn.XLOOKUP(AK12,BP:BP,BO:BO),IF(_xlfn.XLOOKUP(AL12,reference!D:D,reference!C:C)=0,"",_xlfn.XLOOKUP(AL12,reference!D:D,reference!C:C)))</f>
        <v>ARM</v>
      </c>
    </row>
    <row r="13" spans="1:39">
      <c r="A13" t="s">
        <v>89</v>
      </c>
      <c r="B13" t="s">
        <v>368</v>
      </c>
      <c r="C13" t="s">
        <v>369</v>
      </c>
      <c r="D13">
        <v>17</v>
      </c>
      <c r="E13">
        <v>8.3366025892507007</v>
      </c>
      <c r="F13">
        <v>0.81079999999999997</v>
      </c>
      <c r="G13">
        <v>0.92027777777777997</v>
      </c>
      <c r="H13">
        <v>3</v>
      </c>
      <c r="I13">
        <v>0.17647058823528999</v>
      </c>
      <c r="J13">
        <v>1.4711651628089</v>
      </c>
      <c r="K13">
        <v>3</v>
      </c>
      <c r="L13">
        <v>1.4711651628089</v>
      </c>
      <c r="M13">
        <v>2.0392000000000001</v>
      </c>
      <c r="N13">
        <v>0.39760690466850002</v>
      </c>
      <c r="O13" t="s">
        <v>308</v>
      </c>
      <c r="P13" t="s">
        <v>370</v>
      </c>
      <c r="Q13" t="s">
        <v>371</v>
      </c>
      <c r="R13" t="s">
        <v>372</v>
      </c>
      <c r="S13" t="s">
        <v>308</v>
      </c>
      <c r="T13" t="s">
        <v>373</v>
      </c>
      <c r="U13" t="s">
        <v>308</v>
      </c>
      <c r="V13" t="s">
        <v>308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308</v>
      </c>
      <c r="AC13" t="s">
        <v>308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17" t="str">
        <f t="shared" si="0"/>
        <v>ILO</v>
      </c>
      <c r="AK13" s="117" t="str">
        <f t="shared" si="1"/>
        <v>Rovy Belarmino</v>
      </c>
      <c r="AL13" s="117" t="str">
        <f>_xlfn.XLOOKUP(A13,reference!A:A,reference!D:D)</f>
        <v>AH-SnapHeld-ARM-ProdAH-AeroHeld-FTP-Prod</v>
      </c>
      <c r="AM13" s="117" t="str">
        <f>IF(A13="AH-SnapHeld-Special Project - B",_xlfn.XLOOKUP(AK13,BP:BP,BO:BO),IF(_xlfn.XLOOKUP(AL13,reference!D:D,reference!C:C)=0,"",_xlfn.XLOOKUP(AL13,reference!D:D,reference!C:C)))</f>
        <v>ARM</v>
      </c>
    </row>
    <row r="14" spans="1:39">
      <c r="A14" t="s">
        <v>89</v>
      </c>
      <c r="B14" t="s">
        <v>374</v>
      </c>
      <c r="C14" t="s">
        <v>375</v>
      </c>
      <c r="D14">
        <v>78</v>
      </c>
      <c r="E14">
        <v>16.411378555799001</v>
      </c>
      <c r="F14">
        <v>3.0257999999999998</v>
      </c>
      <c r="G14">
        <v>0.31055555555556003</v>
      </c>
      <c r="H14">
        <v>15</v>
      </c>
      <c r="I14">
        <v>0.19230769230768999</v>
      </c>
      <c r="J14">
        <v>3.1560343376536002</v>
      </c>
      <c r="K14">
        <v>15</v>
      </c>
      <c r="L14">
        <v>3.1560343376536002</v>
      </c>
      <c r="M14">
        <v>4.7527999999999997</v>
      </c>
      <c r="N14">
        <v>0.63663524659147996</v>
      </c>
      <c r="O14" t="s">
        <v>319</v>
      </c>
      <c r="P14" t="s">
        <v>376</v>
      </c>
      <c r="Q14" t="s">
        <v>377</v>
      </c>
      <c r="R14" t="s">
        <v>307</v>
      </c>
      <c r="S14" t="s">
        <v>308</v>
      </c>
      <c r="T14" t="s">
        <v>378</v>
      </c>
      <c r="U14" t="s">
        <v>308</v>
      </c>
      <c r="V14" t="s">
        <v>308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308</v>
      </c>
      <c r="AC14" t="s">
        <v>308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117" t="str">
        <f t="shared" si="0"/>
        <v>ILO</v>
      </c>
      <c r="AK14" s="117" t="str">
        <f t="shared" si="1"/>
        <v>Sherlem Tonio</v>
      </c>
      <c r="AL14" s="117" t="str">
        <f>_xlfn.XLOOKUP(A14,reference!A:A,reference!D:D)</f>
        <v>AH-SnapHeld-ARM-ProdAH-AeroHeld-FTP-Prod</v>
      </c>
      <c r="AM14" s="117" t="str">
        <f>IF(A14="AH-SnapHeld-Special Project - B",_xlfn.XLOOKUP(AK14,BP:BP,BO:BO),IF(_xlfn.XLOOKUP(AL14,reference!D:D,reference!C:C)=0,"",_xlfn.XLOOKUP(AL14,reference!D:D,reference!C:C)))</f>
        <v>ARM</v>
      </c>
    </row>
    <row r="15" spans="1:39">
      <c r="A15" t="s">
        <v>105</v>
      </c>
      <c r="B15" t="s">
        <v>379</v>
      </c>
      <c r="C15" t="s">
        <v>380</v>
      </c>
      <c r="D15">
        <v>17</v>
      </c>
      <c r="E15">
        <v>9.4675874359546004</v>
      </c>
      <c r="F15">
        <v>0.96779999999999999</v>
      </c>
      <c r="G15">
        <v>3.6111111111110997E-2</v>
      </c>
      <c r="H15">
        <v>0</v>
      </c>
      <c r="I15">
        <v>0</v>
      </c>
      <c r="J15">
        <v>0</v>
      </c>
      <c r="K15">
        <v>0</v>
      </c>
      <c r="L15">
        <v>0</v>
      </c>
      <c r="M15">
        <v>1.7956000000000001</v>
      </c>
      <c r="N15">
        <v>0.53898418355981004</v>
      </c>
      <c r="O15" t="s">
        <v>319</v>
      </c>
      <c r="P15" t="s">
        <v>381</v>
      </c>
      <c r="Q15" t="s">
        <v>382</v>
      </c>
      <c r="R15" t="s">
        <v>339</v>
      </c>
      <c r="S15" t="s">
        <v>308</v>
      </c>
      <c r="T15" t="s">
        <v>308</v>
      </c>
      <c r="U15" t="s">
        <v>308</v>
      </c>
      <c r="V15" t="s">
        <v>308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308</v>
      </c>
      <c r="AC15" t="s">
        <v>308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117" t="str">
        <f t="shared" si="0"/>
        <v>BTG</v>
      </c>
      <c r="AK15" s="117" t="str">
        <f t="shared" si="1"/>
        <v>Chrizza Marquez</v>
      </c>
      <c r="AL15" s="117" t="str">
        <f>_xlfn.XLOOKUP(A15,reference!A:A,reference!D:D)</f>
        <v>AH-SnapHeld-DCAH-Prod</v>
      </c>
      <c r="AM15" s="117" t="str">
        <f>IF(A15="AH-SnapHeld-Special Project - B",_xlfn.XLOOKUP(AK15,BP:BP,BO:BO),IF(_xlfn.XLOOKUP(AL15,reference!D:D,reference!C:C)=0,"",_xlfn.XLOOKUP(AL15,reference!D:D,reference!C:C)))</f>
        <v>DCAH</v>
      </c>
    </row>
    <row r="16" spans="1:39">
      <c r="A16" t="s">
        <v>105</v>
      </c>
      <c r="B16" t="s">
        <v>383</v>
      </c>
      <c r="C16" t="s">
        <v>384</v>
      </c>
      <c r="D16">
        <v>6</v>
      </c>
      <c r="E16">
        <v>4.9067713444552998</v>
      </c>
      <c r="F16">
        <v>0.61140000000000005</v>
      </c>
      <c r="G16">
        <v>5.5555555555556E-3</v>
      </c>
      <c r="H16">
        <v>0</v>
      </c>
      <c r="I16">
        <v>0</v>
      </c>
      <c r="J16">
        <v>0</v>
      </c>
      <c r="K16">
        <v>0</v>
      </c>
      <c r="L16">
        <v>0</v>
      </c>
      <c r="M16">
        <v>1.2228000000000001</v>
      </c>
      <c r="N16">
        <v>0.5</v>
      </c>
      <c r="O16" t="s">
        <v>319</v>
      </c>
      <c r="P16" t="s">
        <v>385</v>
      </c>
      <c r="Q16" t="s">
        <v>370</v>
      </c>
      <c r="R16" t="s">
        <v>312</v>
      </c>
      <c r="S16" t="s">
        <v>308</v>
      </c>
      <c r="T16" t="s">
        <v>308</v>
      </c>
      <c r="U16" t="s">
        <v>308</v>
      </c>
      <c r="V16" t="s">
        <v>308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308</v>
      </c>
      <c r="AC16" t="s">
        <v>308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117" t="str">
        <f t="shared" si="0"/>
        <v>BTG</v>
      </c>
      <c r="AK16" s="117" t="str">
        <f t="shared" si="1"/>
        <v>Sheila Rocero</v>
      </c>
      <c r="AL16" s="117" t="str">
        <f>_xlfn.XLOOKUP(A16,reference!A:A,reference!D:D)</f>
        <v>AH-SnapHeld-DCAH-Prod</v>
      </c>
      <c r="AM16" s="117" t="str">
        <f>IF(A16="AH-SnapHeld-Special Project - B",_xlfn.XLOOKUP(AK16,BP:BP,BO:BO),IF(_xlfn.XLOOKUP(AL16,reference!D:D,reference!C:C)=0,"",_xlfn.XLOOKUP(AL16,reference!D:D,reference!C:C)))</f>
        <v>DCAH</v>
      </c>
    </row>
    <row r="17" spans="1:39">
      <c r="A17" t="s">
        <v>105</v>
      </c>
      <c r="B17" t="s">
        <v>386</v>
      </c>
      <c r="C17" t="s">
        <v>387</v>
      </c>
      <c r="D17">
        <v>41</v>
      </c>
      <c r="E17">
        <v>29.090393075066999</v>
      </c>
      <c r="F17">
        <v>0.32140000000000002</v>
      </c>
      <c r="G17">
        <v>2.2499999999999999E-2</v>
      </c>
      <c r="H17">
        <v>1</v>
      </c>
      <c r="I17">
        <v>2.4390243902439001E-2</v>
      </c>
      <c r="J17">
        <v>0.70952178231871998</v>
      </c>
      <c r="K17">
        <v>1</v>
      </c>
      <c r="L17">
        <v>0.70952178231871998</v>
      </c>
      <c r="M17">
        <v>1.4094</v>
      </c>
      <c r="N17">
        <v>0.22804030083724</v>
      </c>
      <c r="O17" t="s">
        <v>388</v>
      </c>
      <c r="P17" t="s">
        <v>389</v>
      </c>
      <c r="Q17" t="s">
        <v>390</v>
      </c>
      <c r="R17" t="s">
        <v>319</v>
      </c>
      <c r="S17" t="s">
        <v>308</v>
      </c>
      <c r="T17" t="s">
        <v>308</v>
      </c>
      <c r="U17" t="s">
        <v>308</v>
      </c>
      <c r="V17" t="s">
        <v>308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308</v>
      </c>
      <c r="AC17" t="s">
        <v>308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17" t="str">
        <f t="shared" si="0"/>
        <v>BTG</v>
      </c>
      <c r="AK17" s="117" t="str">
        <f t="shared" si="1"/>
        <v>Angelo Jade Garcia</v>
      </c>
      <c r="AL17" s="117" t="str">
        <f>_xlfn.XLOOKUP(A17,reference!A:A,reference!D:D)</f>
        <v>AH-SnapHeld-DCAH-Prod</v>
      </c>
      <c r="AM17" s="117" t="str">
        <f>IF(A17="AH-SnapHeld-Special Project - B",_xlfn.XLOOKUP(AK17,BP:BP,BO:BO),IF(_xlfn.XLOOKUP(AL17,reference!D:D,reference!C:C)=0,"",_xlfn.XLOOKUP(AL17,reference!D:D,reference!C:C)))</f>
        <v>DCAH</v>
      </c>
    </row>
    <row r="18" spans="1:39">
      <c r="A18" t="s">
        <v>105</v>
      </c>
      <c r="B18" t="s">
        <v>391</v>
      </c>
      <c r="C18" t="s">
        <v>392</v>
      </c>
      <c r="D18">
        <v>9</v>
      </c>
      <c r="E18">
        <v>5.9276822762299997</v>
      </c>
      <c r="F18">
        <v>0.80079999999999996</v>
      </c>
      <c r="G18">
        <v>2.4722222222222E-2</v>
      </c>
      <c r="H18">
        <v>2</v>
      </c>
      <c r="I18">
        <v>0.22222222222221999</v>
      </c>
      <c r="J18">
        <v>1.3172627280511</v>
      </c>
      <c r="K18">
        <v>2</v>
      </c>
      <c r="L18">
        <v>1.3172627280511</v>
      </c>
      <c r="M18">
        <v>1.5183</v>
      </c>
      <c r="N18">
        <v>0.52743199631166005</v>
      </c>
      <c r="O18" t="s">
        <v>319</v>
      </c>
      <c r="P18" t="s">
        <v>393</v>
      </c>
      <c r="Q18" t="s">
        <v>394</v>
      </c>
      <c r="R18" t="s">
        <v>395</v>
      </c>
      <c r="S18" t="s">
        <v>308</v>
      </c>
      <c r="T18" t="s">
        <v>308</v>
      </c>
      <c r="U18" t="s">
        <v>308</v>
      </c>
      <c r="V18" t="s">
        <v>308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308</v>
      </c>
      <c r="AC18" t="s">
        <v>308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17" t="str">
        <f t="shared" si="0"/>
        <v>BTG</v>
      </c>
      <c r="AK18" s="117" t="str">
        <f t="shared" si="1"/>
        <v>Ariane Lois Mea</v>
      </c>
      <c r="AL18" s="117" t="str">
        <f>_xlfn.XLOOKUP(A18,reference!A:A,reference!D:D)</f>
        <v>AH-SnapHeld-DCAH-Prod</v>
      </c>
      <c r="AM18" s="117" t="str">
        <f>IF(A18="AH-SnapHeld-Special Project - B",_xlfn.XLOOKUP(AK18,BP:BP,BO:BO),IF(_xlfn.XLOOKUP(AL18,reference!D:D,reference!C:C)=0,"",_xlfn.XLOOKUP(AL18,reference!D:D,reference!C:C)))</f>
        <v>DCAH</v>
      </c>
    </row>
    <row r="19" spans="1:39">
      <c r="A19" t="s">
        <v>105</v>
      </c>
      <c r="B19" t="s">
        <v>396</v>
      </c>
      <c r="C19" t="s">
        <v>397</v>
      </c>
      <c r="D19">
        <v>10</v>
      </c>
      <c r="E19">
        <v>5.5847202055176997</v>
      </c>
      <c r="F19">
        <v>1.2605999999999999</v>
      </c>
      <c r="G19">
        <v>2.0555555555556E-2</v>
      </c>
      <c r="H19">
        <v>0</v>
      </c>
      <c r="I19">
        <v>0</v>
      </c>
      <c r="J19">
        <v>0</v>
      </c>
      <c r="K19">
        <v>0</v>
      </c>
      <c r="L19">
        <v>0</v>
      </c>
      <c r="M19">
        <v>1.7906</v>
      </c>
      <c r="N19">
        <v>0.70400982910756005</v>
      </c>
      <c r="O19" t="s">
        <v>319</v>
      </c>
      <c r="P19" t="s">
        <v>398</v>
      </c>
      <c r="Q19" t="s">
        <v>399</v>
      </c>
      <c r="R19" t="s">
        <v>339</v>
      </c>
      <c r="S19" t="s">
        <v>308</v>
      </c>
      <c r="T19" t="s">
        <v>308</v>
      </c>
      <c r="U19" t="s">
        <v>308</v>
      </c>
      <c r="V19" t="s">
        <v>308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308</v>
      </c>
      <c r="AC19" t="s">
        <v>308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117" t="str">
        <f t="shared" si="0"/>
        <v>BTG</v>
      </c>
      <c r="AK19" s="117" t="str">
        <f t="shared" si="1"/>
        <v>Arlan Cordero</v>
      </c>
      <c r="AL19" s="117" t="str">
        <f>_xlfn.XLOOKUP(A19,reference!A:A,reference!D:D)</f>
        <v>AH-SnapHeld-DCAH-Prod</v>
      </c>
      <c r="AM19" s="117" t="str">
        <f>IF(A19="AH-SnapHeld-Special Project - B",_xlfn.XLOOKUP(AK19,BP:BP,BO:BO),IF(_xlfn.XLOOKUP(AL19,reference!D:D,reference!C:C)=0,"",_xlfn.XLOOKUP(AL19,reference!D:D,reference!C:C)))</f>
        <v>DCAH</v>
      </c>
    </row>
    <row r="20" spans="1:39">
      <c r="A20" t="s">
        <v>105</v>
      </c>
      <c r="B20" t="s">
        <v>400</v>
      </c>
      <c r="C20" t="s">
        <v>401</v>
      </c>
      <c r="D20">
        <v>9</v>
      </c>
      <c r="E20">
        <v>5.0139275766017004</v>
      </c>
      <c r="F20">
        <v>1.3130999999999999</v>
      </c>
      <c r="G20">
        <v>0.03</v>
      </c>
      <c r="H20">
        <v>1</v>
      </c>
      <c r="I20">
        <v>0.11111111111110999</v>
      </c>
      <c r="J20">
        <v>0.55710306406684995</v>
      </c>
      <c r="K20">
        <v>1</v>
      </c>
      <c r="L20">
        <v>0.55710306406684995</v>
      </c>
      <c r="M20">
        <v>1.7949999999999999</v>
      </c>
      <c r="N20">
        <v>0.73153203342618001</v>
      </c>
      <c r="O20" t="s">
        <v>319</v>
      </c>
      <c r="P20" t="s">
        <v>402</v>
      </c>
      <c r="Q20" t="s">
        <v>403</v>
      </c>
      <c r="R20" t="s">
        <v>404</v>
      </c>
      <c r="S20" t="s">
        <v>308</v>
      </c>
      <c r="T20" t="s">
        <v>308</v>
      </c>
      <c r="U20" t="s">
        <v>308</v>
      </c>
      <c r="V20" t="s">
        <v>308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308</v>
      </c>
      <c r="AC20" t="s">
        <v>308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117" t="str">
        <f t="shared" si="0"/>
        <v>BTG</v>
      </c>
      <c r="AK20" s="117" t="str">
        <f t="shared" si="1"/>
        <v>Aunila Regodos</v>
      </c>
      <c r="AL20" s="117" t="str">
        <f>_xlfn.XLOOKUP(A20,reference!A:A,reference!D:D)</f>
        <v>AH-SnapHeld-DCAH-Prod</v>
      </c>
      <c r="AM20" s="117" t="str">
        <f>IF(A20="AH-SnapHeld-Special Project - B",_xlfn.XLOOKUP(AK20,BP:BP,BO:BO),IF(_xlfn.XLOOKUP(AL20,reference!D:D,reference!C:C)=0,"",_xlfn.XLOOKUP(AL20,reference!D:D,reference!C:C)))</f>
        <v>DCAH</v>
      </c>
    </row>
    <row r="21" spans="1:39">
      <c r="A21" t="s">
        <v>105</v>
      </c>
      <c r="B21" t="s">
        <v>405</v>
      </c>
      <c r="C21" t="s">
        <v>406</v>
      </c>
      <c r="D21">
        <v>86</v>
      </c>
      <c r="E21">
        <v>23.297393942677999</v>
      </c>
      <c r="F21">
        <v>1.1222000000000001</v>
      </c>
      <c r="G21">
        <v>0.27166666666667</v>
      </c>
      <c r="H21">
        <v>2</v>
      </c>
      <c r="I21">
        <v>2.3255813953488001E-2</v>
      </c>
      <c r="J21">
        <v>0.54179985913203998</v>
      </c>
      <c r="K21">
        <v>2</v>
      </c>
      <c r="L21">
        <v>0.54179985913203998</v>
      </c>
      <c r="M21">
        <v>3.6913999999999998</v>
      </c>
      <c r="N21">
        <v>0.30400390095898999</v>
      </c>
      <c r="O21" t="s">
        <v>307</v>
      </c>
      <c r="P21" t="s">
        <v>407</v>
      </c>
      <c r="Q21" t="s">
        <v>408</v>
      </c>
      <c r="R21" t="s">
        <v>409</v>
      </c>
      <c r="S21" t="s">
        <v>308</v>
      </c>
      <c r="T21" t="s">
        <v>410</v>
      </c>
      <c r="U21" t="s">
        <v>308</v>
      </c>
      <c r="V21" t="s">
        <v>308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308</v>
      </c>
      <c r="AC21" t="s">
        <v>308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117" t="str">
        <f t="shared" si="0"/>
        <v>BTG</v>
      </c>
      <c r="AK21" s="117" t="str">
        <f t="shared" si="1"/>
        <v>Austin Rg Abrenica</v>
      </c>
      <c r="AL21" s="117" t="str">
        <f>_xlfn.XLOOKUP(A21,reference!A:A,reference!D:D)</f>
        <v>AH-SnapHeld-DCAH-Prod</v>
      </c>
      <c r="AM21" s="117" t="str">
        <f>IF(A21="AH-SnapHeld-Special Project - B",_xlfn.XLOOKUP(AK21,BP:BP,BO:BO),IF(_xlfn.XLOOKUP(AL21,reference!D:D,reference!C:C)=0,"",_xlfn.XLOOKUP(AL21,reference!D:D,reference!C:C)))</f>
        <v>DCAH</v>
      </c>
    </row>
    <row r="22" spans="1:39">
      <c r="A22" t="s">
        <v>105</v>
      </c>
      <c r="B22" t="s">
        <v>411</v>
      </c>
      <c r="C22" t="s">
        <v>412</v>
      </c>
      <c r="D22">
        <v>5</v>
      </c>
      <c r="E22">
        <v>2.7894002789400001</v>
      </c>
      <c r="F22">
        <v>1.0003</v>
      </c>
      <c r="G22">
        <v>5.8333333333333001E-2</v>
      </c>
      <c r="H22">
        <v>1</v>
      </c>
      <c r="I22">
        <v>0.2</v>
      </c>
      <c r="J22">
        <v>0.55788005578801003</v>
      </c>
      <c r="K22">
        <v>1</v>
      </c>
      <c r="L22">
        <v>0.55788005578801003</v>
      </c>
      <c r="M22">
        <v>1.7925</v>
      </c>
      <c r="N22">
        <v>0.55804741980474004</v>
      </c>
      <c r="O22" t="s">
        <v>304</v>
      </c>
      <c r="P22" t="s">
        <v>413</v>
      </c>
      <c r="Q22" t="s">
        <v>414</v>
      </c>
      <c r="R22" t="s">
        <v>415</v>
      </c>
      <c r="S22" t="s">
        <v>308</v>
      </c>
      <c r="T22" t="s">
        <v>308</v>
      </c>
      <c r="U22" t="s">
        <v>308</v>
      </c>
      <c r="V22" t="s">
        <v>308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308</v>
      </c>
      <c r="AC22" t="s">
        <v>308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117" t="str">
        <f t="shared" si="0"/>
        <v>BTG</v>
      </c>
      <c r="AK22" s="117" t="str">
        <f t="shared" si="1"/>
        <v>Beverly Vargas</v>
      </c>
      <c r="AL22" s="117" t="str">
        <f>_xlfn.XLOOKUP(A22,reference!A:A,reference!D:D)</f>
        <v>AH-SnapHeld-DCAH-Prod</v>
      </c>
      <c r="AM22" s="117" t="str">
        <f>IF(A22="AH-SnapHeld-Special Project - B",_xlfn.XLOOKUP(AK22,BP:BP,BO:BO),IF(_xlfn.XLOOKUP(AL22,reference!D:D,reference!C:C)=0,"",_xlfn.XLOOKUP(AL22,reference!D:D,reference!C:C)))</f>
        <v>DCAH</v>
      </c>
    </row>
    <row r="23" spans="1:39">
      <c r="A23" t="s">
        <v>105</v>
      </c>
      <c r="B23" t="s">
        <v>416</v>
      </c>
      <c r="C23" t="s">
        <v>417</v>
      </c>
      <c r="D23">
        <v>21</v>
      </c>
      <c r="E23">
        <v>11.223344556678001</v>
      </c>
      <c r="F23">
        <v>0.4819</v>
      </c>
      <c r="G23">
        <v>8.8888888888888993E-3</v>
      </c>
      <c r="H23">
        <v>0</v>
      </c>
      <c r="I23">
        <v>0</v>
      </c>
      <c r="J23">
        <v>0</v>
      </c>
      <c r="K23">
        <v>0</v>
      </c>
      <c r="L23">
        <v>0</v>
      </c>
      <c r="M23">
        <v>1.8711</v>
      </c>
      <c r="N23">
        <v>0.25754903532681001</v>
      </c>
      <c r="O23" t="s">
        <v>418</v>
      </c>
      <c r="P23" t="s">
        <v>327</v>
      </c>
      <c r="Q23" t="s">
        <v>419</v>
      </c>
      <c r="R23" t="s">
        <v>319</v>
      </c>
      <c r="S23" t="s">
        <v>308</v>
      </c>
      <c r="T23" t="s">
        <v>308</v>
      </c>
      <c r="U23" t="s">
        <v>308</v>
      </c>
      <c r="V23" t="s">
        <v>308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308</v>
      </c>
      <c r="AC23" t="s">
        <v>308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17" t="str">
        <f t="shared" si="0"/>
        <v>BTG</v>
      </c>
      <c r="AK23" s="117" t="str">
        <f t="shared" si="1"/>
        <v>Christian Sulabo</v>
      </c>
      <c r="AL23" s="117" t="str">
        <f>_xlfn.XLOOKUP(A23,reference!A:A,reference!D:D)</f>
        <v>AH-SnapHeld-DCAH-Prod</v>
      </c>
      <c r="AM23" s="117" t="str">
        <f>IF(A23="AH-SnapHeld-Special Project - B",_xlfn.XLOOKUP(AK23,BP:BP,BO:BO),IF(_xlfn.XLOOKUP(AL23,reference!D:D,reference!C:C)=0,"",_xlfn.XLOOKUP(AL23,reference!D:D,reference!C:C)))</f>
        <v>DCAH</v>
      </c>
    </row>
    <row r="24" spans="1:39">
      <c r="A24" t="s">
        <v>105</v>
      </c>
      <c r="B24" t="s">
        <v>420</v>
      </c>
      <c r="C24" t="s">
        <v>421</v>
      </c>
      <c r="D24">
        <v>7</v>
      </c>
      <c r="E24">
        <v>4.2444821731748998</v>
      </c>
      <c r="F24">
        <v>1.1261000000000001</v>
      </c>
      <c r="G24">
        <v>6.4166666666666997E-2</v>
      </c>
      <c r="H24">
        <v>0</v>
      </c>
      <c r="I24">
        <v>0</v>
      </c>
      <c r="J24">
        <v>0</v>
      </c>
      <c r="K24">
        <v>0</v>
      </c>
      <c r="L24">
        <v>0</v>
      </c>
      <c r="M24">
        <v>1.6492</v>
      </c>
      <c r="N24">
        <v>0.68281591074460002</v>
      </c>
      <c r="O24" t="s">
        <v>319</v>
      </c>
      <c r="P24" t="s">
        <v>422</v>
      </c>
      <c r="Q24" t="s">
        <v>423</v>
      </c>
      <c r="R24" t="s">
        <v>424</v>
      </c>
      <c r="S24" t="s">
        <v>308</v>
      </c>
      <c r="T24" t="s">
        <v>308</v>
      </c>
      <c r="U24" t="s">
        <v>308</v>
      </c>
      <c r="V24" t="s">
        <v>308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308</v>
      </c>
      <c r="AC24" t="s">
        <v>308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17" t="str">
        <f t="shared" si="0"/>
        <v>BTG</v>
      </c>
      <c r="AK24" s="117" t="str">
        <f t="shared" si="1"/>
        <v>Cresia Mae Millave</v>
      </c>
      <c r="AL24" s="117" t="str">
        <f>_xlfn.XLOOKUP(A24,reference!A:A,reference!D:D)</f>
        <v>AH-SnapHeld-DCAH-Prod</v>
      </c>
      <c r="AM24" s="117" t="str">
        <f>IF(A24="AH-SnapHeld-Special Project - B",_xlfn.XLOOKUP(AK24,BP:BP,BO:BO),IF(_xlfn.XLOOKUP(AL24,reference!D:D,reference!C:C)=0,"",_xlfn.XLOOKUP(AL24,reference!D:D,reference!C:C)))</f>
        <v>DCAH</v>
      </c>
    </row>
    <row r="25" spans="1:39">
      <c r="A25" t="s">
        <v>105</v>
      </c>
      <c r="B25" t="s">
        <v>425</v>
      </c>
      <c r="C25" t="s">
        <v>426</v>
      </c>
      <c r="D25">
        <v>10</v>
      </c>
      <c r="E25">
        <v>5.6100981767181004</v>
      </c>
      <c r="F25">
        <v>1.1533</v>
      </c>
      <c r="G25">
        <v>0.11472222222222</v>
      </c>
      <c r="H25">
        <v>0</v>
      </c>
      <c r="I25">
        <v>0</v>
      </c>
      <c r="J25">
        <v>0</v>
      </c>
      <c r="K25">
        <v>0</v>
      </c>
      <c r="L25">
        <v>0</v>
      </c>
      <c r="M25">
        <v>1.7825</v>
      </c>
      <c r="N25">
        <v>0.64701262272089999</v>
      </c>
      <c r="O25" t="s">
        <v>304</v>
      </c>
      <c r="P25" t="s">
        <v>427</v>
      </c>
      <c r="Q25" t="s">
        <v>428</v>
      </c>
      <c r="R25" t="s">
        <v>321</v>
      </c>
      <c r="S25" t="s">
        <v>308</v>
      </c>
      <c r="T25" t="s">
        <v>308</v>
      </c>
      <c r="U25" t="s">
        <v>308</v>
      </c>
      <c r="V25" t="s">
        <v>308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308</v>
      </c>
      <c r="AC25" t="s">
        <v>308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17" t="str">
        <f t="shared" si="0"/>
        <v>BTG</v>
      </c>
      <c r="AK25" s="117" t="str">
        <f t="shared" si="1"/>
        <v>Deo Medrano</v>
      </c>
      <c r="AL25" s="117" t="str">
        <f>_xlfn.XLOOKUP(A25,reference!A:A,reference!D:D)</f>
        <v>AH-SnapHeld-DCAH-Prod</v>
      </c>
      <c r="AM25" s="117" t="str">
        <f>IF(A25="AH-SnapHeld-Special Project - B",_xlfn.XLOOKUP(AK25,BP:BP,BO:BO),IF(_xlfn.XLOOKUP(AL25,reference!D:D,reference!C:C)=0,"",_xlfn.XLOOKUP(AL25,reference!D:D,reference!C:C)))</f>
        <v>DCAH</v>
      </c>
    </row>
    <row r="26" spans="1:39">
      <c r="A26" t="s">
        <v>105</v>
      </c>
      <c r="B26" t="s">
        <v>429</v>
      </c>
      <c r="C26" t="s">
        <v>430</v>
      </c>
      <c r="D26">
        <v>7</v>
      </c>
      <c r="E26">
        <v>3.8984183559812999</v>
      </c>
      <c r="F26">
        <v>1.3419000000000001</v>
      </c>
      <c r="G26">
        <v>1.6388888888889001E-2</v>
      </c>
      <c r="H26">
        <v>0</v>
      </c>
      <c r="I26">
        <v>0</v>
      </c>
      <c r="J26">
        <v>0</v>
      </c>
      <c r="K26">
        <v>0</v>
      </c>
      <c r="L26">
        <v>0</v>
      </c>
      <c r="M26">
        <v>1.7956000000000001</v>
      </c>
      <c r="N26">
        <v>0.74732679884161013</v>
      </c>
      <c r="O26" t="s">
        <v>319</v>
      </c>
      <c r="P26" t="s">
        <v>431</v>
      </c>
      <c r="Q26" t="s">
        <v>432</v>
      </c>
      <c r="R26" t="s">
        <v>306</v>
      </c>
      <c r="S26" t="s">
        <v>308</v>
      </c>
      <c r="T26" t="s">
        <v>308</v>
      </c>
      <c r="U26" t="s">
        <v>308</v>
      </c>
      <c r="V26" t="s">
        <v>308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308</v>
      </c>
      <c r="AC26" t="s">
        <v>308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17" t="str">
        <f t="shared" si="0"/>
        <v>BTG</v>
      </c>
      <c r="AK26" s="117" t="str">
        <f t="shared" si="1"/>
        <v>Desiree Joy Basco</v>
      </c>
      <c r="AL26" s="117" t="str">
        <f>_xlfn.XLOOKUP(A26,reference!A:A,reference!D:D)</f>
        <v>AH-SnapHeld-DCAH-Prod</v>
      </c>
      <c r="AM26" s="117" t="str">
        <f>IF(A26="AH-SnapHeld-Special Project - B",_xlfn.XLOOKUP(AK26,BP:BP,BO:BO),IF(_xlfn.XLOOKUP(AL26,reference!D:D,reference!C:C)=0,"",_xlfn.XLOOKUP(AL26,reference!D:D,reference!C:C)))</f>
        <v>DCAH</v>
      </c>
    </row>
    <row r="27" spans="1:39">
      <c r="A27" t="s">
        <v>105</v>
      </c>
      <c r="B27" t="s">
        <v>433</v>
      </c>
      <c r="C27" t="s">
        <v>434</v>
      </c>
      <c r="D27">
        <v>7</v>
      </c>
      <c r="E27">
        <v>3.9294936566745</v>
      </c>
      <c r="F27">
        <v>1.2163999999999999</v>
      </c>
      <c r="G27">
        <v>6.7777777777778006E-2</v>
      </c>
      <c r="H27">
        <v>0</v>
      </c>
      <c r="I27">
        <v>0</v>
      </c>
      <c r="J27">
        <v>0</v>
      </c>
      <c r="K27">
        <v>0</v>
      </c>
      <c r="L27">
        <v>0</v>
      </c>
      <c r="M27">
        <v>1.7814000000000001</v>
      </c>
      <c r="N27">
        <v>0.6828337262827</v>
      </c>
      <c r="O27" t="s">
        <v>304</v>
      </c>
      <c r="P27" t="s">
        <v>435</v>
      </c>
      <c r="Q27" t="s">
        <v>436</v>
      </c>
      <c r="R27" t="s">
        <v>437</v>
      </c>
      <c r="S27" t="s">
        <v>308</v>
      </c>
      <c r="T27" t="s">
        <v>308</v>
      </c>
      <c r="U27" t="s">
        <v>308</v>
      </c>
      <c r="V27" t="s">
        <v>308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308</v>
      </c>
      <c r="AC27" t="s">
        <v>308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117" t="str">
        <f t="shared" si="0"/>
        <v>BTG</v>
      </c>
      <c r="AK27" s="117" t="str">
        <f t="shared" si="1"/>
        <v>Jaja Zapata</v>
      </c>
      <c r="AL27" s="117" t="str">
        <f>_xlfn.XLOOKUP(A27,reference!A:A,reference!D:D)</f>
        <v>AH-SnapHeld-DCAH-Prod</v>
      </c>
      <c r="AM27" s="117" t="str">
        <f>IF(A27="AH-SnapHeld-Special Project - B",_xlfn.XLOOKUP(AK27,BP:BP,BO:BO),IF(_xlfn.XLOOKUP(AL27,reference!D:D,reference!C:C)=0,"",_xlfn.XLOOKUP(AL27,reference!D:D,reference!C:C)))</f>
        <v>DCAH</v>
      </c>
    </row>
    <row r="28" spans="1:39">
      <c r="A28" t="s">
        <v>105</v>
      </c>
      <c r="B28" t="s">
        <v>438</v>
      </c>
      <c r="C28" t="s">
        <v>439</v>
      </c>
      <c r="D28">
        <v>20</v>
      </c>
      <c r="E28">
        <v>10.720411663807999</v>
      </c>
      <c r="F28">
        <v>1.0342</v>
      </c>
      <c r="G28">
        <v>5.1111111111111003E-2</v>
      </c>
      <c r="H28">
        <v>2</v>
      </c>
      <c r="I28">
        <v>0.1</v>
      </c>
      <c r="J28">
        <v>1.0720411663808</v>
      </c>
      <c r="K28">
        <v>2</v>
      </c>
      <c r="L28">
        <v>1.0720411663808</v>
      </c>
      <c r="M28">
        <v>1.8655999999999999</v>
      </c>
      <c r="N28">
        <v>0.55435248713551</v>
      </c>
      <c r="O28" t="s">
        <v>440</v>
      </c>
      <c r="P28" t="s">
        <v>441</v>
      </c>
      <c r="Q28" t="s">
        <v>442</v>
      </c>
      <c r="R28" t="s">
        <v>395</v>
      </c>
      <c r="S28" t="s">
        <v>308</v>
      </c>
      <c r="T28" t="s">
        <v>308</v>
      </c>
      <c r="U28" t="s">
        <v>308</v>
      </c>
      <c r="V28" t="s">
        <v>308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308</v>
      </c>
      <c r="AC28" t="s">
        <v>308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117" t="str">
        <f t="shared" si="0"/>
        <v>BTG</v>
      </c>
      <c r="AK28" s="117" t="str">
        <f t="shared" si="1"/>
        <v>Jerimo Dave Reyes</v>
      </c>
      <c r="AL28" s="117" t="str">
        <f>_xlfn.XLOOKUP(A28,reference!A:A,reference!D:D)</f>
        <v>AH-SnapHeld-DCAH-Prod</v>
      </c>
      <c r="AM28" s="117" t="str">
        <f>IF(A28="AH-SnapHeld-Special Project - B",_xlfn.XLOOKUP(AK28,BP:BP,BO:BO),IF(_xlfn.XLOOKUP(AL28,reference!D:D,reference!C:C)=0,"",_xlfn.XLOOKUP(AL28,reference!D:D,reference!C:C)))</f>
        <v>DCAH</v>
      </c>
    </row>
    <row r="29" spans="1:39">
      <c r="A29" t="s">
        <v>105</v>
      </c>
      <c r="B29" t="s">
        <v>443</v>
      </c>
      <c r="C29" t="s">
        <v>444</v>
      </c>
      <c r="D29">
        <v>28</v>
      </c>
      <c r="E29">
        <v>13.621327106441001</v>
      </c>
      <c r="F29">
        <v>0.6472</v>
      </c>
      <c r="G29">
        <v>1.8333333333333E-2</v>
      </c>
      <c r="H29">
        <v>1</v>
      </c>
      <c r="I29">
        <v>3.5714285714285997E-2</v>
      </c>
      <c r="J29">
        <v>0.48647596808718002</v>
      </c>
      <c r="K29">
        <v>1</v>
      </c>
      <c r="L29">
        <v>0.48647596808718002</v>
      </c>
      <c r="M29">
        <v>2.0556000000000001</v>
      </c>
      <c r="N29">
        <v>0.31484724654601998</v>
      </c>
      <c r="O29" t="s">
        <v>445</v>
      </c>
      <c r="P29" t="s">
        <v>446</v>
      </c>
      <c r="Q29" t="s">
        <v>418</v>
      </c>
      <c r="R29" t="s">
        <v>304</v>
      </c>
      <c r="S29" t="s">
        <v>308</v>
      </c>
      <c r="T29" t="s">
        <v>308</v>
      </c>
      <c r="U29" t="s">
        <v>308</v>
      </c>
      <c r="V29" t="s">
        <v>308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308</v>
      </c>
      <c r="AC29" t="s">
        <v>308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117" t="str">
        <f t="shared" si="0"/>
        <v>BTG</v>
      </c>
      <c r="AK29" s="117" t="str">
        <f t="shared" si="1"/>
        <v>Jerlyn Albiso</v>
      </c>
      <c r="AL29" s="117" t="str">
        <f>_xlfn.XLOOKUP(A29,reference!A:A,reference!D:D)</f>
        <v>AH-SnapHeld-DCAH-Prod</v>
      </c>
      <c r="AM29" s="117" t="str">
        <f>IF(A29="AH-SnapHeld-Special Project - B",_xlfn.XLOOKUP(AK29,BP:BP,BO:BO),IF(_xlfn.XLOOKUP(AL29,reference!D:D,reference!C:C)=0,"",_xlfn.XLOOKUP(AL29,reference!D:D,reference!C:C)))</f>
        <v>DCAH</v>
      </c>
    </row>
    <row r="30" spans="1:39">
      <c r="A30" t="s">
        <v>105</v>
      </c>
      <c r="B30" t="s">
        <v>447</v>
      </c>
      <c r="C30" t="s">
        <v>448</v>
      </c>
      <c r="D30">
        <v>20</v>
      </c>
      <c r="E30">
        <v>10.500341261091</v>
      </c>
      <c r="F30">
        <v>0.94389999999999996</v>
      </c>
      <c r="G30">
        <v>5.5833333333332999E-2</v>
      </c>
      <c r="H30">
        <v>1</v>
      </c>
      <c r="I30">
        <v>0.05</v>
      </c>
      <c r="J30">
        <v>0.52501706305454998</v>
      </c>
      <c r="K30">
        <v>1</v>
      </c>
      <c r="L30">
        <v>0.52501706305454998</v>
      </c>
      <c r="M30">
        <v>1.9047000000000001</v>
      </c>
      <c r="N30">
        <v>0.49556360581719</v>
      </c>
      <c r="O30" t="s">
        <v>449</v>
      </c>
      <c r="P30" t="s">
        <v>450</v>
      </c>
      <c r="Q30" t="s">
        <v>451</v>
      </c>
      <c r="R30" t="s">
        <v>355</v>
      </c>
      <c r="S30" t="s">
        <v>308</v>
      </c>
      <c r="T30" t="s">
        <v>308</v>
      </c>
      <c r="U30" t="s">
        <v>308</v>
      </c>
      <c r="V30" t="s">
        <v>308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308</v>
      </c>
      <c r="AC30" t="s">
        <v>308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117" t="str">
        <f t="shared" si="0"/>
        <v>BTG</v>
      </c>
      <c r="AK30" s="117" t="str">
        <f t="shared" si="1"/>
        <v>Jershey Macaraig</v>
      </c>
      <c r="AL30" s="117" t="str">
        <f>_xlfn.XLOOKUP(A30,reference!A:A,reference!D:D)</f>
        <v>AH-SnapHeld-DCAH-Prod</v>
      </c>
      <c r="AM30" s="117" t="str">
        <f>IF(A30="AH-SnapHeld-Special Project - B",_xlfn.XLOOKUP(AK30,BP:BP,BO:BO),IF(_xlfn.XLOOKUP(AL30,reference!D:D,reference!C:C)=0,"",_xlfn.XLOOKUP(AL30,reference!D:D,reference!C:C)))</f>
        <v>DCAH</v>
      </c>
    </row>
    <row r="31" spans="1:39">
      <c r="A31" t="s">
        <v>105</v>
      </c>
      <c r="B31" t="s">
        <v>452</v>
      </c>
      <c r="C31" t="s">
        <v>453</v>
      </c>
      <c r="D31">
        <v>24</v>
      </c>
      <c r="E31">
        <v>12.446196131307</v>
      </c>
      <c r="F31">
        <v>0.97060000000000002</v>
      </c>
      <c r="G31">
        <v>5.9722222222222003E-2</v>
      </c>
      <c r="H31">
        <v>1</v>
      </c>
      <c r="I31">
        <v>4.1666666666666997E-2</v>
      </c>
      <c r="J31">
        <v>0.51859150547113997</v>
      </c>
      <c r="K31">
        <v>1</v>
      </c>
      <c r="L31">
        <v>0.51859150547113997</v>
      </c>
      <c r="M31">
        <v>1.9282999999999999</v>
      </c>
      <c r="N31">
        <v>0.50334491521029001</v>
      </c>
      <c r="O31" t="s">
        <v>415</v>
      </c>
      <c r="P31" t="s">
        <v>454</v>
      </c>
      <c r="Q31" t="s">
        <v>455</v>
      </c>
      <c r="R31" t="s">
        <v>306</v>
      </c>
      <c r="S31" t="s">
        <v>308</v>
      </c>
      <c r="T31" t="s">
        <v>308</v>
      </c>
      <c r="U31" t="s">
        <v>308</v>
      </c>
      <c r="V31" t="s">
        <v>308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308</v>
      </c>
      <c r="AC31" t="s">
        <v>308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117" t="str">
        <f t="shared" si="0"/>
        <v>BTG</v>
      </c>
      <c r="AK31" s="117" t="str">
        <f t="shared" si="1"/>
        <v>Jhessusa Andal</v>
      </c>
      <c r="AL31" s="117" t="str">
        <f>_xlfn.XLOOKUP(A31,reference!A:A,reference!D:D)</f>
        <v>AH-SnapHeld-DCAH-Prod</v>
      </c>
      <c r="AM31" s="117" t="str">
        <f>IF(A31="AH-SnapHeld-Special Project - B",_xlfn.XLOOKUP(AK31,BP:BP,BO:BO),IF(_xlfn.XLOOKUP(AL31,reference!D:D,reference!C:C)=0,"",_xlfn.XLOOKUP(AL31,reference!D:D,reference!C:C)))</f>
        <v>DCAH</v>
      </c>
    </row>
    <row r="32" spans="1:39">
      <c r="A32" t="s">
        <v>105</v>
      </c>
      <c r="B32" t="s">
        <v>456</v>
      </c>
      <c r="C32" t="s">
        <v>457</v>
      </c>
      <c r="D32">
        <v>33</v>
      </c>
      <c r="E32">
        <v>21.615248575359001</v>
      </c>
      <c r="F32">
        <v>0.41360000000000002</v>
      </c>
      <c r="G32">
        <v>0.14222222222222</v>
      </c>
      <c r="H32">
        <v>4</v>
      </c>
      <c r="I32">
        <v>0.12121212121211999</v>
      </c>
      <c r="J32">
        <v>2.6200301303465001</v>
      </c>
      <c r="K32">
        <v>4</v>
      </c>
      <c r="L32">
        <v>2.6200301303465001</v>
      </c>
      <c r="M32">
        <v>1.5266999999999999</v>
      </c>
      <c r="N32">
        <v>0.27091111547782998</v>
      </c>
      <c r="O32" t="s">
        <v>445</v>
      </c>
      <c r="P32" t="s">
        <v>314</v>
      </c>
      <c r="Q32" t="s">
        <v>445</v>
      </c>
      <c r="R32" t="s">
        <v>333</v>
      </c>
      <c r="S32" t="s">
        <v>308</v>
      </c>
      <c r="T32" t="s">
        <v>458</v>
      </c>
      <c r="U32" t="s">
        <v>308</v>
      </c>
      <c r="V32" t="s">
        <v>308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308</v>
      </c>
      <c r="AC32" t="s">
        <v>308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117" t="str">
        <f t="shared" si="0"/>
        <v>BTG</v>
      </c>
      <c r="AK32" s="117" t="str">
        <f t="shared" si="1"/>
        <v>John Lloyd Violante</v>
      </c>
      <c r="AL32" s="117" t="str">
        <f>_xlfn.XLOOKUP(A32,reference!A:A,reference!D:D)</f>
        <v>AH-SnapHeld-DCAH-Prod</v>
      </c>
      <c r="AM32" s="117" t="str">
        <f>IF(A32="AH-SnapHeld-Special Project - B",_xlfn.XLOOKUP(AK32,BP:BP,BO:BO),IF(_xlfn.XLOOKUP(AL32,reference!D:D,reference!C:C)=0,"",_xlfn.XLOOKUP(AL32,reference!D:D,reference!C:C)))</f>
        <v>DCAH</v>
      </c>
    </row>
    <row r="33" spans="1:39">
      <c r="A33" t="s">
        <v>105</v>
      </c>
      <c r="B33" t="s">
        <v>459</v>
      </c>
      <c r="C33" t="s">
        <v>460</v>
      </c>
      <c r="D33">
        <v>10</v>
      </c>
      <c r="E33">
        <v>5.5812915108555998</v>
      </c>
      <c r="F33">
        <v>1.0919000000000001</v>
      </c>
      <c r="G33">
        <v>6.7222222222222003E-2</v>
      </c>
      <c r="H33">
        <v>1</v>
      </c>
      <c r="I33">
        <v>0.1</v>
      </c>
      <c r="J33">
        <v>0.55812915108556005</v>
      </c>
      <c r="K33">
        <v>1</v>
      </c>
      <c r="L33">
        <v>0.55812915108556005</v>
      </c>
      <c r="M33">
        <v>1.7917000000000001</v>
      </c>
      <c r="N33">
        <v>0.60942122007031996</v>
      </c>
      <c r="O33" t="s">
        <v>319</v>
      </c>
      <c r="P33" t="s">
        <v>461</v>
      </c>
      <c r="Q33" t="s">
        <v>462</v>
      </c>
      <c r="R33" t="s">
        <v>463</v>
      </c>
      <c r="S33" t="s">
        <v>308</v>
      </c>
      <c r="T33" t="s">
        <v>308</v>
      </c>
      <c r="U33" t="s">
        <v>308</v>
      </c>
      <c r="V33" t="s">
        <v>308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308</v>
      </c>
      <c r="AC33" t="s">
        <v>308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17" t="str">
        <f t="shared" si="0"/>
        <v>BTG</v>
      </c>
      <c r="AK33" s="117" t="str">
        <f t="shared" si="1"/>
        <v>Jomar Untalan</v>
      </c>
      <c r="AL33" s="117" t="str">
        <f>_xlfn.XLOOKUP(A33,reference!A:A,reference!D:D)</f>
        <v>AH-SnapHeld-DCAH-Prod</v>
      </c>
      <c r="AM33" s="117" t="str">
        <f>IF(A33="AH-SnapHeld-Special Project - B",_xlfn.XLOOKUP(AK33,BP:BP,BO:BO),IF(_xlfn.XLOOKUP(AL33,reference!D:D,reference!C:C)=0,"",_xlfn.XLOOKUP(AL33,reference!D:D,reference!C:C)))</f>
        <v>DCAH</v>
      </c>
    </row>
    <row r="34" spans="1:39">
      <c r="A34" t="s">
        <v>105</v>
      </c>
      <c r="B34" t="s">
        <v>464</v>
      </c>
      <c r="C34" t="s">
        <v>465</v>
      </c>
      <c r="D34">
        <v>17</v>
      </c>
      <c r="E34">
        <v>9.2100986022320992</v>
      </c>
      <c r="F34">
        <v>0.88360000000000005</v>
      </c>
      <c r="G34">
        <v>0.10277777777777999</v>
      </c>
      <c r="H34">
        <v>1</v>
      </c>
      <c r="I34">
        <v>5.8823529411765003E-2</v>
      </c>
      <c r="J34">
        <v>0.54177050601364996</v>
      </c>
      <c r="K34">
        <v>1</v>
      </c>
      <c r="L34">
        <v>0.54177050601364996</v>
      </c>
      <c r="M34">
        <v>1.8458000000000001</v>
      </c>
      <c r="N34">
        <v>0.47870841911366002</v>
      </c>
      <c r="O34" t="s">
        <v>466</v>
      </c>
      <c r="P34" t="s">
        <v>467</v>
      </c>
      <c r="Q34" t="s">
        <v>468</v>
      </c>
      <c r="R34" t="s">
        <v>469</v>
      </c>
      <c r="S34" t="s">
        <v>308</v>
      </c>
      <c r="T34" t="s">
        <v>308</v>
      </c>
      <c r="U34" t="s">
        <v>308</v>
      </c>
      <c r="V34" t="s">
        <v>308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308</v>
      </c>
      <c r="AC34" t="s">
        <v>308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117" t="str">
        <f t="shared" ref="AJ34:AJ65" si="2">LEFT(B34,3)</f>
        <v>BTG</v>
      </c>
      <c r="AK34" s="117" t="str">
        <f t="shared" ref="AK34:AK65" si="3">TRIM(RIGHT(B34, LEN(B34)-3))</f>
        <v>Joshua James Maranan</v>
      </c>
      <c r="AL34" s="117" t="str">
        <f>_xlfn.XLOOKUP(A34,reference!A:A,reference!D:D)</f>
        <v>AH-SnapHeld-DCAH-Prod</v>
      </c>
      <c r="AM34" s="117" t="str">
        <f>IF(A34="AH-SnapHeld-Special Project - B",_xlfn.XLOOKUP(AK34,BP:BP,BO:BO),IF(_xlfn.XLOOKUP(AL34,reference!D:D,reference!C:C)=0,"",_xlfn.XLOOKUP(AL34,reference!D:D,reference!C:C)))</f>
        <v>DCAH</v>
      </c>
    </row>
    <row r="35" spans="1:39">
      <c r="A35" t="s">
        <v>105</v>
      </c>
      <c r="B35" t="s">
        <v>470</v>
      </c>
      <c r="C35" t="s">
        <v>471</v>
      </c>
      <c r="D35">
        <v>12</v>
      </c>
      <c r="E35">
        <v>6.6904549509367</v>
      </c>
      <c r="F35">
        <v>1.0266999999999999</v>
      </c>
      <c r="G35">
        <v>7.0000000000000007E-2</v>
      </c>
      <c r="H35">
        <v>0</v>
      </c>
      <c r="I35">
        <v>0</v>
      </c>
      <c r="J35">
        <v>0</v>
      </c>
      <c r="K35">
        <v>0</v>
      </c>
      <c r="L35">
        <v>0</v>
      </c>
      <c r="M35">
        <v>1.7936000000000001</v>
      </c>
      <c r="N35">
        <v>0.57242417484388997</v>
      </c>
      <c r="O35" t="s">
        <v>319</v>
      </c>
      <c r="P35" t="s">
        <v>472</v>
      </c>
      <c r="Q35" t="s">
        <v>473</v>
      </c>
      <c r="R35" t="s">
        <v>469</v>
      </c>
      <c r="S35" t="s">
        <v>308</v>
      </c>
      <c r="T35" t="s">
        <v>308</v>
      </c>
      <c r="U35" t="s">
        <v>308</v>
      </c>
      <c r="V35" t="s">
        <v>308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308</v>
      </c>
      <c r="AC35" t="s">
        <v>308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17" t="str">
        <f t="shared" si="2"/>
        <v>BTG</v>
      </c>
      <c r="AK35" s="117" t="str">
        <f t="shared" si="3"/>
        <v>Kathy Mendoza</v>
      </c>
      <c r="AL35" s="117" t="str">
        <f>_xlfn.XLOOKUP(A35,reference!A:A,reference!D:D)</f>
        <v>AH-SnapHeld-DCAH-Prod</v>
      </c>
      <c r="AM35" s="117" t="str">
        <f>IF(A35="AH-SnapHeld-Special Project - B",_xlfn.XLOOKUP(AK35,BP:BP,BO:BO),IF(_xlfn.XLOOKUP(AL35,reference!D:D,reference!C:C)=0,"",_xlfn.XLOOKUP(AL35,reference!D:D,reference!C:C)))</f>
        <v>DCAH</v>
      </c>
    </row>
    <row r="36" spans="1:39">
      <c r="A36" t="s">
        <v>105</v>
      </c>
      <c r="B36" t="s">
        <v>474</v>
      </c>
      <c r="C36" t="s">
        <v>475</v>
      </c>
      <c r="D36">
        <v>14</v>
      </c>
      <c r="E36">
        <v>6.7770355310291004</v>
      </c>
      <c r="F36">
        <v>0.57389999999999997</v>
      </c>
      <c r="G36">
        <v>0.26222222222222002</v>
      </c>
      <c r="H36">
        <v>0</v>
      </c>
      <c r="I36">
        <v>0</v>
      </c>
      <c r="J36">
        <v>0</v>
      </c>
      <c r="K36">
        <v>0</v>
      </c>
      <c r="L36">
        <v>0</v>
      </c>
      <c r="M36">
        <v>2.0657999999999999</v>
      </c>
      <c r="N36">
        <v>0.27781004937553999</v>
      </c>
      <c r="O36" t="s">
        <v>476</v>
      </c>
      <c r="P36" t="s">
        <v>477</v>
      </c>
      <c r="Q36" t="s">
        <v>364</v>
      </c>
      <c r="R36" t="s">
        <v>313</v>
      </c>
      <c r="S36" t="s">
        <v>308</v>
      </c>
      <c r="T36" t="s">
        <v>478</v>
      </c>
      <c r="U36" t="s">
        <v>308</v>
      </c>
      <c r="V36" t="s">
        <v>308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308</v>
      </c>
      <c r="AC36" t="s">
        <v>308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17" t="str">
        <f t="shared" si="2"/>
        <v>BTG</v>
      </c>
      <c r="AK36" s="117" t="str">
        <f t="shared" si="3"/>
        <v>Kean Jezzel Papa</v>
      </c>
      <c r="AL36" s="117" t="str">
        <f>_xlfn.XLOOKUP(A36,reference!A:A,reference!D:D)</f>
        <v>AH-SnapHeld-DCAH-Prod</v>
      </c>
      <c r="AM36" s="117" t="str">
        <f>IF(A36="AH-SnapHeld-Special Project - B",_xlfn.XLOOKUP(AK36,BP:BP,BO:BO),IF(_xlfn.XLOOKUP(AL36,reference!D:D,reference!C:C)=0,"",_xlfn.XLOOKUP(AL36,reference!D:D,reference!C:C)))</f>
        <v>DCAH</v>
      </c>
    </row>
    <row r="37" spans="1:39">
      <c r="A37" t="s">
        <v>105</v>
      </c>
      <c r="B37" t="s">
        <v>479</v>
      </c>
      <c r="C37" t="s">
        <v>480</v>
      </c>
      <c r="D37">
        <v>23</v>
      </c>
      <c r="E37">
        <v>15.040544075333999</v>
      </c>
      <c r="F37">
        <v>0.43219999999999997</v>
      </c>
      <c r="G37">
        <v>4.7222222222221999E-2</v>
      </c>
      <c r="H37">
        <v>1</v>
      </c>
      <c r="I37">
        <v>4.3478260869565001E-2</v>
      </c>
      <c r="J37">
        <v>0.65393669892754003</v>
      </c>
      <c r="K37">
        <v>1</v>
      </c>
      <c r="L37">
        <v>0.65393669892754003</v>
      </c>
      <c r="M37">
        <v>1.5291999999999999</v>
      </c>
      <c r="N37">
        <v>0.28263144127647999</v>
      </c>
      <c r="O37" t="s">
        <v>481</v>
      </c>
      <c r="P37" t="s">
        <v>482</v>
      </c>
      <c r="Q37" t="s">
        <v>313</v>
      </c>
      <c r="R37" t="s">
        <v>339</v>
      </c>
      <c r="S37" t="s">
        <v>308</v>
      </c>
      <c r="T37" t="s">
        <v>483</v>
      </c>
      <c r="U37" t="s">
        <v>308</v>
      </c>
      <c r="V37" t="s">
        <v>308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308</v>
      </c>
      <c r="AC37" t="s">
        <v>308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17" t="str">
        <f t="shared" si="2"/>
        <v>BTG</v>
      </c>
      <c r="AK37" s="117" t="str">
        <f t="shared" si="3"/>
        <v>Kia Delizo</v>
      </c>
      <c r="AL37" s="117" t="str">
        <f>_xlfn.XLOOKUP(A37,reference!A:A,reference!D:D)</f>
        <v>AH-SnapHeld-DCAH-Prod</v>
      </c>
      <c r="AM37" s="117" t="str">
        <f>IF(A37="AH-SnapHeld-Special Project - B",_xlfn.XLOOKUP(AK37,BP:BP,BO:BO),IF(_xlfn.XLOOKUP(AL37,reference!D:D,reference!C:C)=0,"",_xlfn.XLOOKUP(AL37,reference!D:D,reference!C:C)))</f>
        <v>DCAH</v>
      </c>
    </row>
    <row r="38" spans="1:39">
      <c r="A38" t="s">
        <v>105</v>
      </c>
      <c r="B38" t="s">
        <v>484</v>
      </c>
      <c r="C38" t="s">
        <v>485</v>
      </c>
      <c r="D38">
        <v>24</v>
      </c>
      <c r="E38">
        <v>16.757436112274998</v>
      </c>
      <c r="F38">
        <v>0.75170000000000003</v>
      </c>
      <c r="G38">
        <v>2.2499999999999999E-2</v>
      </c>
      <c r="H38">
        <v>1</v>
      </c>
      <c r="I38">
        <v>4.1666666666666997E-2</v>
      </c>
      <c r="J38">
        <v>0.69822650467811997</v>
      </c>
      <c r="K38">
        <v>1</v>
      </c>
      <c r="L38">
        <v>0.69822650467811997</v>
      </c>
      <c r="M38">
        <v>1.4321999999999999</v>
      </c>
      <c r="N38">
        <v>0.52485686356654004</v>
      </c>
      <c r="O38" t="s">
        <v>486</v>
      </c>
      <c r="P38" t="s">
        <v>487</v>
      </c>
      <c r="Q38" t="s">
        <v>488</v>
      </c>
      <c r="R38" t="s">
        <v>312</v>
      </c>
      <c r="S38" t="s">
        <v>308</v>
      </c>
      <c r="T38" t="s">
        <v>308</v>
      </c>
      <c r="U38" t="s">
        <v>308</v>
      </c>
      <c r="V38" t="s">
        <v>308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308</v>
      </c>
      <c r="AC38" t="s">
        <v>308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17" t="str">
        <f t="shared" si="2"/>
        <v>BTG</v>
      </c>
      <c r="AK38" s="117" t="str">
        <f t="shared" si="3"/>
        <v>Liemund Laquerez</v>
      </c>
      <c r="AL38" s="117" t="str">
        <f>_xlfn.XLOOKUP(A38,reference!A:A,reference!D:D)</f>
        <v>AH-SnapHeld-DCAH-Prod</v>
      </c>
      <c r="AM38" s="117" t="str">
        <f>IF(A38="AH-SnapHeld-Special Project - B",_xlfn.XLOOKUP(AK38,BP:BP,BO:BO),IF(_xlfn.XLOOKUP(AL38,reference!D:D,reference!C:C)=0,"",_xlfn.XLOOKUP(AL38,reference!D:D,reference!C:C)))</f>
        <v>DCAH</v>
      </c>
    </row>
    <row r="39" spans="1:39">
      <c r="A39" t="s">
        <v>105</v>
      </c>
      <c r="B39" t="s">
        <v>489</v>
      </c>
      <c r="C39" t="s">
        <v>490</v>
      </c>
      <c r="D39">
        <v>9</v>
      </c>
      <c r="E39">
        <v>5.0108568565224996</v>
      </c>
      <c r="F39">
        <v>1.2791999999999999</v>
      </c>
      <c r="G39">
        <v>1.9722222222221999E-2</v>
      </c>
      <c r="H39">
        <v>2</v>
      </c>
      <c r="I39">
        <v>0.22222222222221999</v>
      </c>
      <c r="J39">
        <v>1.1135237458939</v>
      </c>
      <c r="K39">
        <v>2</v>
      </c>
      <c r="L39">
        <v>1.1135237458939</v>
      </c>
      <c r="M39">
        <v>1.7961</v>
      </c>
      <c r="N39">
        <v>0.71220978787373002</v>
      </c>
      <c r="O39" t="s">
        <v>304</v>
      </c>
      <c r="P39" t="s">
        <v>491</v>
      </c>
      <c r="Q39" t="s">
        <v>492</v>
      </c>
      <c r="R39" t="s">
        <v>339</v>
      </c>
      <c r="S39" t="s">
        <v>308</v>
      </c>
      <c r="T39" t="s">
        <v>308</v>
      </c>
      <c r="U39" t="s">
        <v>308</v>
      </c>
      <c r="V39" t="s">
        <v>308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308</v>
      </c>
      <c r="AC39" t="s">
        <v>308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117" t="str">
        <f t="shared" si="2"/>
        <v>BTG</v>
      </c>
      <c r="AK39" s="117" t="str">
        <f t="shared" si="3"/>
        <v>Ma Francia Tandaan</v>
      </c>
      <c r="AL39" s="117" t="str">
        <f>_xlfn.XLOOKUP(A39,reference!A:A,reference!D:D)</f>
        <v>AH-SnapHeld-DCAH-Prod</v>
      </c>
      <c r="AM39" s="117" t="str">
        <f>IF(A39="AH-SnapHeld-Special Project - B",_xlfn.XLOOKUP(AK39,BP:BP,BO:BO),IF(_xlfn.XLOOKUP(AL39,reference!D:D,reference!C:C)=0,"",_xlfn.XLOOKUP(AL39,reference!D:D,reference!C:C)))</f>
        <v>DCAH</v>
      </c>
    </row>
    <row r="40" spans="1:39">
      <c r="A40" t="s">
        <v>105</v>
      </c>
      <c r="B40" t="s">
        <v>493</v>
      </c>
      <c r="C40" t="s">
        <v>494</v>
      </c>
      <c r="D40">
        <v>31</v>
      </c>
      <c r="E40">
        <v>17.875677545841999</v>
      </c>
      <c r="F40">
        <v>0.36530000000000001</v>
      </c>
      <c r="G40">
        <v>1.4444444444444E-2</v>
      </c>
      <c r="H40">
        <v>4</v>
      </c>
      <c r="I40">
        <v>0.12903225806452001</v>
      </c>
      <c r="J40">
        <v>2.3065390381732001</v>
      </c>
      <c r="K40">
        <v>4</v>
      </c>
      <c r="L40">
        <v>2.3065390381732001</v>
      </c>
      <c r="M40">
        <v>1.7342</v>
      </c>
      <c r="N40">
        <v>0.21064467766117001</v>
      </c>
      <c r="O40" t="s">
        <v>449</v>
      </c>
      <c r="P40" t="s">
        <v>440</v>
      </c>
      <c r="Q40" t="s">
        <v>415</v>
      </c>
      <c r="R40" t="s">
        <v>319</v>
      </c>
      <c r="S40" t="s">
        <v>308</v>
      </c>
      <c r="T40" t="s">
        <v>308</v>
      </c>
      <c r="U40" t="s">
        <v>308</v>
      </c>
      <c r="V40" t="s">
        <v>308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308</v>
      </c>
      <c r="AC40" t="s">
        <v>308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17" t="str">
        <f t="shared" si="2"/>
        <v>BTG</v>
      </c>
      <c r="AK40" s="117" t="str">
        <f t="shared" si="3"/>
        <v>Maila Donisa</v>
      </c>
      <c r="AL40" s="117" t="str">
        <f>_xlfn.XLOOKUP(A40,reference!A:A,reference!D:D)</f>
        <v>AH-SnapHeld-DCAH-Prod</v>
      </c>
      <c r="AM40" s="117" t="str">
        <f>IF(A40="AH-SnapHeld-Special Project - B",_xlfn.XLOOKUP(AK40,BP:BP,BO:BO),IF(_xlfn.XLOOKUP(AL40,reference!D:D,reference!C:C)=0,"",_xlfn.XLOOKUP(AL40,reference!D:D,reference!C:C)))</f>
        <v>DCAH</v>
      </c>
    </row>
    <row r="41" spans="1:39">
      <c r="A41" t="s">
        <v>105</v>
      </c>
      <c r="B41" t="s">
        <v>495</v>
      </c>
      <c r="C41" t="s">
        <v>496</v>
      </c>
      <c r="D41">
        <v>13</v>
      </c>
      <c r="E41">
        <v>7.2500139423345011</v>
      </c>
      <c r="F41">
        <v>0.97499999999999998</v>
      </c>
      <c r="G41">
        <v>0.11666666666667</v>
      </c>
      <c r="H41">
        <v>0</v>
      </c>
      <c r="I41">
        <v>0</v>
      </c>
      <c r="J41">
        <v>0</v>
      </c>
      <c r="K41">
        <v>0</v>
      </c>
      <c r="L41">
        <v>0</v>
      </c>
      <c r="M41">
        <v>1.7930999999999999</v>
      </c>
      <c r="N41">
        <v>0.54375104567509003</v>
      </c>
      <c r="O41" t="s">
        <v>304</v>
      </c>
      <c r="P41" t="s">
        <v>497</v>
      </c>
      <c r="Q41" t="s">
        <v>338</v>
      </c>
      <c r="R41" t="s">
        <v>498</v>
      </c>
      <c r="S41" t="s">
        <v>308</v>
      </c>
      <c r="T41" t="s">
        <v>308</v>
      </c>
      <c r="U41" t="s">
        <v>308</v>
      </c>
      <c r="V41" t="s">
        <v>308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308</v>
      </c>
      <c r="AC41" t="s">
        <v>308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117" t="str">
        <f t="shared" si="2"/>
        <v>BTG</v>
      </c>
      <c r="AK41" s="117" t="str">
        <f t="shared" si="3"/>
        <v>Margarette Gay Ilagan</v>
      </c>
      <c r="AL41" s="117" t="str">
        <f>_xlfn.XLOOKUP(A41,reference!A:A,reference!D:D)</f>
        <v>AH-SnapHeld-DCAH-Prod</v>
      </c>
      <c r="AM41" s="117" t="str">
        <f>IF(A41="AH-SnapHeld-Special Project - B",_xlfn.XLOOKUP(AK41,BP:BP,BO:BO),IF(_xlfn.XLOOKUP(AL41,reference!D:D,reference!C:C)=0,"",_xlfn.XLOOKUP(AL41,reference!D:D,reference!C:C)))</f>
        <v>DCAH</v>
      </c>
    </row>
    <row r="42" spans="1:39">
      <c r="A42" t="s">
        <v>105</v>
      </c>
      <c r="B42" t="s">
        <v>499</v>
      </c>
      <c r="C42" t="s">
        <v>500</v>
      </c>
      <c r="D42">
        <v>15</v>
      </c>
      <c r="E42">
        <v>7.3489784919896</v>
      </c>
      <c r="F42">
        <v>1.2683</v>
      </c>
      <c r="G42">
        <v>2.3611111111110999E-2</v>
      </c>
      <c r="H42">
        <v>1</v>
      </c>
      <c r="I42">
        <v>6.6666666666666999E-2</v>
      </c>
      <c r="J42">
        <v>0.48993189946596999</v>
      </c>
      <c r="K42">
        <v>1</v>
      </c>
      <c r="L42">
        <v>0.48993189946596999</v>
      </c>
      <c r="M42">
        <v>2.0411000000000001</v>
      </c>
      <c r="N42">
        <v>0.6213806280927</v>
      </c>
      <c r="O42" t="s">
        <v>501</v>
      </c>
      <c r="P42" t="s">
        <v>502</v>
      </c>
      <c r="Q42" t="s">
        <v>503</v>
      </c>
      <c r="R42" t="s">
        <v>504</v>
      </c>
      <c r="S42" t="s">
        <v>308</v>
      </c>
      <c r="T42" t="s">
        <v>308</v>
      </c>
      <c r="U42" t="s">
        <v>308</v>
      </c>
      <c r="V42" t="s">
        <v>308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308</v>
      </c>
      <c r="AC42" t="s">
        <v>308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117" t="str">
        <f t="shared" si="2"/>
        <v>BTG</v>
      </c>
      <c r="AK42" s="117" t="str">
        <f t="shared" si="3"/>
        <v>Maria Fidelis Araja</v>
      </c>
      <c r="AL42" s="117" t="str">
        <f>_xlfn.XLOOKUP(A42,reference!A:A,reference!D:D)</f>
        <v>AH-SnapHeld-DCAH-Prod</v>
      </c>
      <c r="AM42" s="117" t="str">
        <f>IF(A42="AH-SnapHeld-Special Project - B",_xlfn.XLOOKUP(AK42,BP:BP,BO:BO),IF(_xlfn.XLOOKUP(AL42,reference!D:D,reference!C:C)=0,"",_xlfn.XLOOKUP(AL42,reference!D:D,reference!C:C)))</f>
        <v>DCAH</v>
      </c>
    </row>
    <row r="43" spans="1:39">
      <c r="A43" t="s">
        <v>105</v>
      </c>
      <c r="B43" t="s">
        <v>505</v>
      </c>
      <c r="C43" t="s">
        <v>506</v>
      </c>
      <c r="D43">
        <v>15</v>
      </c>
      <c r="E43">
        <v>9.6271099415954993</v>
      </c>
      <c r="F43">
        <v>0.83499999999999996</v>
      </c>
      <c r="G43">
        <v>9.1666666666666997E-3</v>
      </c>
      <c r="H43">
        <v>1</v>
      </c>
      <c r="I43">
        <v>6.6666666666666999E-2</v>
      </c>
      <c r="J43">
        <v>0.64180732943969998</v>
      </c>
      <c r="K43">
        <v>1</v>
      </c>
      <c r="L43">
        <v>0.64180732943969998</v>
      </c>
      <c r="M43">
        <v>1.5581</v>
      </c>
      <c r="N43">
        <v>0.53590912008214997</v>
      </c>
      <c r="O43" t="s">
        <v>507</v>
      </c>
      <c r="P43" t="s">
        <v>508</v>
      </c>
      <c r="Q43" t="s">
        <v>509</v>
      </c>
      <c r="R43" t="s">
        <v>304</v>
      </c>
      <c r="S43" t="s">
        <v>308</v>
      </c>
      <c r="T43" t="s">
        <v>308</v>
      </c>
      <c r="U43" t="s">
        <v>308</v>
      </c>
      <c r="V43" t="s">
        <v>308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308</v>
      </c>
      <c r="AC43" t="s">
        <v>308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17" t="str">
        <f t="shared" si="2"/>
        <v>BTG</v>
      </c>
      <c r="AK43" s="117" t="str">
        <f t="shared" si="3"/>
        <v>Mikee Cryz</v>
      </c>
      <c r="AL43" s="117" t="str">
        <f>_xlfn.XLOOKUP(A43,reference!A:A,reference!D:D)</f>
        <v>AH-SnapHeld-DCAH-Prod</v>
      </c>
      <c r="AM43" s="117" t="str">
        <f>IF(A43="AH-SnapHeld-Special Project - B",_xlfn.XLOOKUP(AK43,BP:BP,BO:BO),IF(_xlfn.XLOOKUP(AL43,reference!D:D,reference!C:C)=0,"",_xlfn.XLOOKUP(AL43,reference!D:D,reference!C:C)))</f>
        <v>DCAH</v>
      </c>
    </row>
    <row r="44" spans="1:39">
      <c r="A44" t="s">
        <v>105</v>
      </c>
      <c r="B44" t="s">
        <v>510</v>
      </c>
      <c r="C44" t="s">
        <v>511</v>
      </c>
      <c r="D44">
        <v>18</v>
      </c>
      <c r="E44">
        <v>10.048007145250001</v>
      </c>
      <c r="F44">
        <v>0.79749999999999999</v>
      </c>
      <c r="G44">
        <v>1.4444444444444E-2</v>
      </c>
      <c r="H44">
        <v>0</v>
      </c>
      <c r="I44">
        <v>0</v>
      </c>
      <c r="J44">
        <v>0</v>
      </c>
      <c r="K44">
        <v>0</v>
      </c>
      <c r="L44">
        <v>0</v>
      </c>
      <c r="M44">
        <v>1.7914000000000001</v>
      </c>
      <c r="N44">
        <v>0.44518253879647002</v>
      </c>
      <c r="O44" t="s">
        <v>319</v>
      </c>
      <c r="P44" t="s">
        <v>512</v>
      </c>
      <c r="Q44" t="s">
        <v>513</v>
      </c>
      <c r="R44" t="s">
        <v>304</v>
      </c>
      <c r="S44" t="s">
        <v>308</v>
      </c>
      <c r="T44" t="s">
        <v>308</v>
      </c>
      <c r="U44" t="s">
        <v>308</v>
      </c>
      <c r="V44" t="s">
        <v>308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308</v>
      </c>
      <c r="AC44" t="s">
        <v>308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117" t="str">
        <f t="shared" si="2"/>
        <v>BTG</v>
      </c>
      <c r="AK44" s="117" t="str">
        <f t="shared" si="3"/>
        <v>Nicko Masangqui</v>
      </c>
      <c r="AL44" s="117" t="str">
        <f>_xlfn.XLOOKUP(A44,reference!A:A,reference!D:D)</f>
        <v>AH-SnapHeld-DCAH-Prod</v>
      </c>
      <c r="AM44" s="117" t="str">
        <f>IF(A44="AH-SnapHeld-Special Project - B",_xlfn.XLOOKUP(AK44,BP:BP,BO:BO),IF(_xlfn.XLOOKUP(AL44,reference!D:D,reference!C:C)=0,"",_xlfn.XLOOKUP(AL44,reference!D:D,reference!C:C)))</f>
        <v>DCAH</v>
      </c>
    </row>
    <row r="45" spans="1:39">
      <c r="A45" t="s">
        <v>105</v>
      </c>
      <c r="B45" t="s">
        <v>514</v>
      </c>
      <c r="C45" t="s">
        <v>515</v>
      </c>
      <c r="D45">
        <v>24</v>
      </c>
      <c r="E45">
        <v>12.726694241171</v>
      </c>
      <c r="F45">
        <v>1.0078</v>
      </c>
      <c r="G45">
        <v>3.3611111111111001E-2</v>
      </c>
      <c r="H45">
        <v>1</v>
      </c>
      <c r="I45">
        <v>4.1666666666666997E-2</v>
      </c>
      <c r="J45">
        <v>0.53027892671544996</v>
      </c>
      <c r="K45">
        <v>1</v>
      </c>
      <c r="L45">
        <v>0.53027892671544996</v>
      </c>
      <c r="M45">
        <v>1.8857999999999999</v>
      </c>
      <c r="N45">
        <v>0.53441510234383005</v>
      </c>
      <c r="O45" t="s">
        <v>516</v>
      </c>
      <c r="P45" t="s">
        <v>517</v>
      </c>
      <c r="Q45" t="s">
        <v>518</v>
      </c>
      <c r="R45" t="s">
        <v>504</v>
      </c>
      <c r="S45" t="s">
        <v>308</v>
      </c>
      <c r="T45" t="s">
        <v>308</v>
      </c>
      <c r="U45" t="s">
        <v>308</v>
      </c>
      <c r="V45" t="s">
        <v>308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308</v>
      </c>
      <c r="AC45" t="s">
        <v>308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17" t="str">
        <f t="shared" si="2"/>
        <v>BTG</v>
      </c>
      <c r="AK45" s="117" t="str">
        <f t="shared" si="3"/>
        <v>Quene Mae Rotoni</v>
      </c>
      <c r="AL45" s="117" t="str">
        <f>_xlfn.XLOOKUP(A45,reference!A:A,reference!D:D)</f>
        <v>AH-SnapHeld-DCAH-Prod</v>
      </c>
      <c r="AM45" s="117" t="str">
        <f>IF(A45="AH-SnapHeld-Special Project - B",_xlfn.XLOOKUP(AK45,BP:BP,BO:BO),IF(_xlfn.XLOOKUP(AL45,reference!D:D,reference!C:C)=0,"",_xlfn.XLOOKUP(AL45,reference!D:D,reference!C:C)))</f>
        <v>DCAH</v>
      </c>
    </row>
    <row r="46" spans="1:39">
      <c r="A46" t="s">
        <v>105</v>
      </c>
      <c r="B46" t="s">
        <v>519</v>
      </c>
      <c r="C46" t="s">
        <v>520</v>
      </c>
      <c r="D46">
        <v>24</v>
      </c>
      <c r="E46">
        <v>12.640893289792</v>
      </c>
      <c r="F46">
        <v>0.68810000000000004</v>
      </c>
      <c r="G46">
        <v>4.5277777777778E-2</v>
      </c>
      <c r="H46">
        <v>0</v>
      </c>
      <c r="I46">
        <v>0</v>
      </c>
      <c r="J46">
        <v>0</v>
      </c>
      <c r="K46">
        <v>0</v>
      </c>
      <c r="L46">
        <v>0</v>
      </c>
      <c r="M46">
        <v>1.8986000000000001</v>
      </c>
      <c r="N46">
        <v>0.36242494469608999</v>
      </c>
      <c r="O46" t="s">
        <v>521</v>
      </c>
      <c r="P46" t="s">
        <v>476</v>
      </c>
      <c r="Q46" t="s">
        <v>522</v>
      </c>
      <c r="R46" t="s">
        <v>315</v>
      </c>
      <c r="S46" t="s">
        <v>308</v>
      </c>
      <c r="T46" t="s">
        <v>308</v>
      </c>
      <c r="U46" t="s">
        <v>308</v>
      </c>
      <c r="V46" t="s">
        <v>308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308</v>
      </c>
      <c r="AC46" t="s">
        <v>308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117" t="str">
        <f t="shared" si="2"/>
        <v>BTG</v>
      </c>
      <c r="AK46" s="117" t="str">
        <f t="shared" si="3"/>
        <v>Ramel Ubana</v>
      </c>
      <c r="AL46" s="117" t="str">
        <f>_xlfn.XLOOKUP(A46,reference!A:A,reference!D:D)</f>
        <v>AH-SnapHeld-DCAH-Prod</v>
      </c>
      <c r="AM46" s="117" t="str">
        <f>IF(A46="AH-SnapHeld-Special Project - B",_xlfn.XLOOKUP(AK46,BP:BP,BO:BO),IF(_xlfn.XLOOKUP(AL46,reference!D:D,reference!C:C)=0,"",_xlfn.XLOOKUP(AL46,reference!D:D,reference!C:C)))</f>
        <v>DCAH</v>
      </c>
    </row>
    <row r="47" spans="1:39">
      <c r="A47" t="s">
        <v>105</v>
      </c>
      <c r="B47" t="s">
        <v>523</v>
      </c>
      <c r="C47" t="s">
        <v>524</v>
      </c>
      <c r="D47">
        <v>5</v>
      </c>
      <c r="E47">
        <v>3.1812686899535998</v>
      </c>
      <c r="F47">
        <v>1.1564000000000001</v>
      </c>
      <c r="G47">
        <v>2.3611111111110999E-2</v>
      </c>
      <c r="H47">
        <v>0</v>
      </c>
      <c r="I47">
        <v>0</v>
      </c>
      <c r="J47">
        <v>0</v>
      </c>
      <c r="K47">
        <v>0</v>
      </c>
      <c r="L47">
        <v>0</v>
      </c>
      <c r="M47">
        <v>1.5717000000000001</v>
      </c>
      <c r="N47">
        <v>0.73576382261245998</v>
      </c>
      <c r="O47" t="s">
        <v>304</v>
      </c>
      <c r="P47" t="s">
        <v>525</v>
      </c>
      <c r="Q47" t="s">
        <v>526</v>
      </c>
      <c r="R47" t="s">
        <v>527</v>
      </c>
      <c r="S47" t="s">
        <v>308</v>
      </c>
      <c r="T47" t="s">
        <v>308</v>
      </c>
      <c r="U47" t="s">
        <v>308</v>
      </c>
      <c r="V47" t="s">
        <v>308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308</v>
      </c>
      <c r="AC47" t="s">
        <v>308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117" t="str">
        <f t="shared" si="2"/>
        <v>BTG</v>
      </c>
      <c r="AK47" s="117" t="str">
        <f t="shared" si="3"/>
        <v>Ruthmabelle Alday</v>
      </c>
      <c r="AL47" s="117" t="str">
        <f>_xlfn.XLOOKUP(A47,reference!A:A,reference!D:D)</f>
        <v>AH-SnapHeld-DCAH-Prod</v>
      </c>
      <c r="AM47" s="117" t="str">
        <f>IF(A47="AH-SnapHeld-Special Project - B",_xlfn.XLOOKUP(AK47,BP:BP,BO:BO),IF(_xlfn.XLOOKUP(AL47,reference!D:D,reference!C:C)=0,"",_xlfn.XLOOKUP(AL47,reference!D:D,reference!C:C)))</f>
        <v>DCAH</v>
      </c>
    </row>
    <row r="48" spans="1:39">
      <c r="A48" t="s">
        <v>105</v>
      </c>
      <c r="B48" t="s">
        <v>528</v>
      </c>
      <c r="C48" t="s">
        <v>529</v>
      </c>
      <c r="D48">
        <v>26</v>
      </c>
      <c r="E48">
        <v>13.724662162162</v>
      </c>
      <c r="F48">
        <v>0.89249999999999996</v>
      </c>
      <c r="G48">
        <v>1.4722222222222E-2</v>
      </c>
      <c r="H48">
        <v>2</v>
      </c>
      <c r="I48">
        <v>7.6923076923076997E-2</v>
      </c>
      <c r="J48">
        <v>1.0557432432431999</v>
      </c>
      <c r="K48">
        <v>2</v>
      </c>
      <c r="L48">
        <v>1.0557432432431999</v>
      </c>
      <c r="M48">
        <v>1.8944000000000001</v>
      </c>
      <c r="N48">
        <v>0.47112542229729998</v>
      </c>
      <c r="O48" t="s">
        <v>530</v>
      </c>
      <c r="P48" t="s">
        <v>531</v>
      </c>
      <c r="Q48" t="s">
        <v>532</v>
      </c>
      <c r="R48" t="s">
        <v>304</v>
      </c>
      <c r="S48" t="s">
        <v>308</v>
      </c>
      <c r="T48" t="s">
        <v>308</v>
      </c>
      <c r="U48" t="s">
        <v>308</v>
      </c>
      <c r="V48" t="s">
        <v>308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308</v>
      </c>
      <c r="AC48" t="s">
        <v>308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117" t="str">
        <f t="shared" si="2"/>
        <v>BTG</v>
      </c>
      <c r="AK48" s="117" t="str">
        <f t="shared" si="3"/>
        <v>Sernad De Silva</v>
      </c>
      <c r="AL48" s="117" t="str">
        <f>_xlfn.XLOOKUP(A48,reference!A:A,reference!D:D)</f>
        <v>AH-SnapHeld-DCAH-Prod</v>
      </c>
      <c r="AM48" s="117" t="str">
        <f>IF(A48="AH-SnapHeld-Special Project - B",_xlfn.XLOOKUP(AK48,BP:BP,BO:BO),IF(_xlfn.XLOOKUP(AL48,reference!D:D,reference!C:C)=0,"",_xlfn.XLOOKUP(AL48,reference!D:D,reference!C:C)))</f>
        <v>DCAH</v>
      </c>
    </row>
    <row r="49" spans="1:39">
      <c r="A49" t="s">
        <v>105</v>
      </c>
      <c r="B49" t="s">
        <v>329</v>
      </c>
      <c r="C49" t="s">
        <v>330</v>
      </c>
      <c r="D49">
        <v>4</v>
      </c>
      <c r="E49">
        <v>5.7695081494303002</v>
      </c>
      <c r="F49">
        <v>0.25330000000000003</v>
      </c>
      <c r="G49">
        <v>2.1666666666667E-2</v>
      </c>
      <c r="H49">
        <v>0</v>
      </c>
      <c r="I49">
        <v>0</v>
      </c>
      <c r="J49">
        <v>0</v>
      </c>
      <c r="K49">
        <v>0</v>
      </c>
      <c r="L49">
        <v>0</v>
      </c>
      <c r="M49">
        <v>0.69330000000000003</v>
      </c>
      <c r="N49">
        <v>0.36535410356267001</v>
      </c>
      <c r="O49" t="s">
        <v>533</v>
      </c>
      <c r="P49" t="s">
        <v>534</v>
      </c>
      <c r="Q49" t="s">
        <v>535</v>
      </c>
      <c r="R49" t="s">
        <v>322</v>
      </c>
      <c r="S49" t="s">
        <v>308</v>
      </c>
      <c r="T49" t="s">
        <v>308</v>
      </c>
      <c r="U49" t="s">
        <v>308</v>
      </c>
      <c r="V49" t="s">
        <v>308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308</v>
      </c>
      <c r="AC49" t="s">
        <v>308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117" t="str">
        <f t="shared" si="2"/>
        <v>ILO</v>
      </c>
      <c r="AK49" s="117" t="str">
        <f t="shared" si="3"/>
        <v xml:space="preserve">	Cherryl Rose Gabinera</v>
      </c>
      <c r="AL49" s="117" t="str">
        <f>_xlfn.XLOOKUP(A49,reference!A:A,reference!D:D)</f>
        <v>AH-SnapHeld-DCAH-Prod</v>
      </c>
      <c r="AM49" s="117" t="str">
        <f>IF(A49="AH-SnapHeld-Special Project - B",_xlfn.XLOOKUP(AK49,BP:BP,BO:BO),IF(_xlfn.XLOOKUP(AL49,reference!D:D,reference!C:C)=0,"",_xlfn.XLOOKUP(AL49,reference!D:D,reference!C:C)))</f>
        <v>DCAH</v>
      </c>
    </row>
    <row r="50" spans="1:39">
      <c r="A50" t="s">
        <v>105</v>
      </c>
      <c r="B50" t="s">
        <v>335</v>
      </c>
      <c r="C50" t="s">
        <v>336</v>
      </c>
      <c r="D50">
        <v>6</v>
      </c>
      <c r="E50">
        <v>6.1205753340814004</v>
      </c>
      <c r="F50">
        <v>0.45689999999999997</v>
      </c>
      <c r="G50">
        <v>1.9444444444444001E-2</v>
      </c>
      <c r="H50">
        <v>1</v>
      </c>
      <c r="I50">
        <v>0.16666666666666999</v>
      </c>
      <c r="J50">
        <v>1.0200958890136</v>
      </c>
      <c r="K50">
        <v>1</v>
      </c>
      <c r="L50">
        <v>1.0200958890136</v>
      </c>
      <c r="M50">
        <v>0.98029999999999995</v>
      </c>
      <c r="N50">
        <v>0.4660818116903</v>
      </c>
      <c r="O50" t="s">
        <v>536</v>
      </c>
      <c r="P50" t="s">
        <v>537</v>
      </c>
      <c r="Q50" t="s">
        <v>343</v>
      </c>
      <c r="R50" t="s">
        <v>409</v>
      </c>
      <c r="S50" t="s">
        <v>308</v>
      </c>
      <c r="T50" t="s">
        <v>308</v>
      </c>
      <c r="U50" t="s">
        <v>308</v>
      </c>
      <c r="V50" t="s">
        <v>308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308</v>
      </c>
      <c r="AC50" t="s">
        <v>308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117" t="str">
        <f t="shared" si="2"/>
        <v>ILO</v>
      </c>
      <c r="AK50" s="117" t="str">
        <f t="shared" si="3"/>
        <v xml:space="preserve">	Geric Perlas</v>
      </c>
      <c r="AL50" s="117" t="str">
        <f>_xlfn.XLOOKUP(A50,reference!A:A,reference!D:D)</f>
        <v>AH-SnapHeld-DCAH-Prod</v>
      </c>
      <c r="AM50" s="117" t="str">
        <f>IF(A50="AH-SnapHeld-Special Project - B",_xlfn.XLOOKUP(AK50,BP:BP,BO:BO),IF(_xlfn.XLOOKUP(AL50,reference!D:D,reference!C:C)=0,"",_xlfn.XLOOKUP(AL50,reference!D:D,reference!C:C)))</f>
        <v>DCAH</v>
      </c>
    </row>
    <row r="51" spans="1:39">
      <c r="A51" t="s">
        <v>105</v>
      </c>
      <c r="B51" t="s">
        <v>538</v>
      </c>
      <c r="C51" t="s">
        <v>539</v>
      </c>
      <c r="D51">
        <v>8</v>
      </c>
      <c r="E51">
        <v>13.340003335001001</v>
      </c>
      <c r="F51">
        <v>9.4700000000000006E-2</v>
      </c>
      <c r="G51">
        <v>7.7777777777778001E-3</v>
      </c>
      <c r="H51">
        <v>0</v>
      </c>
      <c r="I51">
        <v>0</v>
      </c>
      <c r="J51">
        <v>0</v>
      </c>
      <c r="K51">
        <v>0</v>
      </c>
      <c r="L51">
        <v>0</v>
      </c>
      <c r="M51">
        <v>0.59970000000000001</v>
      </c>
      <c r="N51">
        <v>0.15791228947807001</v>
      </c>
      <c r="O51" t="s">
        <v>540</v>
      </c>
      <c r="P51" t="s">
        <v>408</v>
      </c>
      <c r="Q51" t="s">
        <v>415</v>
      </c>
      <c r="R51" t="s">
        <v>312</v>
      </c>
      <c r="S51" t="s">
        <v>308</v>
      </c>
      <c r="T51" t="s">
        <v>308</v>
      </c>
      <c r="U51" t="s">
        <v>308</v>
      </c>
      <c r="V51" t="s">
        <v>308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308</v>
      </c>
      <c r="AC51" t="s">
        <v>308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117" t="str">
        <f t="shared" si="2"/>
        <v>ILO</v>
      </c>
      <c r="AK51" s="117" t="str">
        <f t="shared" si="3"/>
        <v>Aira Plaza</v>
      </c>
      <c r="AL51" s="117" t="str">
        <f>_xlfn.XLOOKUP(A51,reference!A:A,reference!D:D)</f>
        <v>AH-SnapHeld-DCAH-Prod</v>
      </c>
      <c r="AM51" s="117" t="str">
        <f>IF(A51="AH-SnapHeld-Special Project - B",_xlfn.XLOOKUP(AK51,BP:BP,BO:BO),IF(_xlfn.XLOOKUP(AL51,reference!D:D,reference!C:C)=0,"",_xlfn.XLOOKUP(AL51,reference!D:D,reference!C:C)))</f>
        <v>DCAH</v>
      </c>
    </row>
    <row r="52" spans="1:39">
      <c r="A52" t="s">
        <v>105</v>
      </c>
      <c r="B52" t="s">
        <v>351</v>
      </c>
      <c r="C52" t="s">
        <v>352</v>
      </c>
      <c r="D52">
        <v>10</v>
      </c>
      <c r="E52">
        <v>10.998680158380999</v>
      </c>
      <c r="F52">
        <v>0.25469999999999998</v>
      </c>
      <c r="G52">
        <v>1.4722222222222E-2</v>
      </c>
      <c r="H52">
        <v>1</v>
      </c>
      <c r="I52">
        <v>0.1</v>
      </c>
      <c r="J52">
        <v>1.0998680158381</v>
      </c>
      <c r="K52">
        <v>1</v>
      </c>
      <c r="L52">
        <v>1.0998680158381</v>
      </c>
      <c r="M52">
        <v>0.90920000000000001</v>
      </c>
      <c r="N52">
        <v>0.28013638363395998</v>
      </c>
      <c r="O52" t="s">
        <v>541</v>
      </c>
      <c r="P52" t="s">
        <v>542</v>
      </c>
      <c r="Q52" t="s">
        <v>543</v>
      </c>
      <c r="R52" t="s">
        <v>504</v>
      </c>
      <c r="S52" t="s">
        <v>308</v>
      </c>
      <c r="T52" t="s">
        <v>308</v>
      </c>
      <c r="U52" t="s">
        <v>308</v>
      </c>
      <c r="V52" t="s">
        <v>308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308</v>
      </c>
      <c r="AC52" t="s">
        <v>308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117" t="str">
        <f t="shared" si="2"/>
        <v>ILO</v>
      </c>
      <c r="AK52" s="117" t="str">
        <f t="shared" si="3"/>
        <v>Aliyaah Bianca Candoleza</v>
      </c>
      <c r="AL52" s="117" t="str">
        <f>_xlfn.XLOOKUP(A52,reference!A:A,reference!D:D)</f>
        <v>AH-SnapHeld-DCAH-Prod</v>
      </c>
      <c r="AM52" s="117" t="str">
        <f>IF(A52="AH-SnapHeld-Special Project - B",_xlfn.XLOOKUP(AK52,BP:BP,BO:BO),IF(_xlfn.XLOOKUP(AL52,reference!D:D,reference!C:C)=0,"",_xlfn.XLOOKUP(AL52,reference!D:D,reference!C:C)))</f>
        <v>DCAH</v>
      </c>
    </row>
    <row r="53" spans="1:39">
      <c r="A53" t="s">
        <v>105</v>
      </c>
      <c r="B53" t="s">
        <v>357</v>
      </c>
      <c r="C53" t="s">
        <v>358</v>
      </c>
      <c r="D53">
        <v>6</v>
      </c>
      <c r="E53">
        <v>6.7039106145250997</v>
      </c>
      <c r="F53">
        <v>0.2306</v>
      </c>
      <c r="G53">
        <v>5.6388888888889002E-2</v>
      </c>
      <c r="H53">
        <v>0</v>
      </c>
      <c r="I53">
        <v>0</v>
      </c>
      <c r="J53">
        <v>0</v>
      </c>
      <c r="K53">
        <v>0</v>
      </c>
      <c r="L53">
        <v>0</v>
      </c>
      <c r="M53">
        <v>0.89500000000000002</v>
      </c>
      <c r="N53">
        <v>0.25765363128492003</v>
      </c>
      <c r="O53" t="s">
        <v>467</v>
      </c>
      <c r="P53" t="s">
        <v>544</v>
      </c>
      <c r="Q53" t="s">
        <v>545</v>
      </c>
      <c r="R53" t="s">
        <v>424</v>
      </c>
      <c r="S53" t="s">
        <v>308</v>
      </c>
      <c r="T53" t="s">
        <v>308</v>
      </c>
      <c r="U53" t="s">
        <v>308</v>
      </c>
      <c r="V53" t="s">
        <v>308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308</v>
      </c>
      <c r="AC53" t="s">
        <v>308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117" t="str">
        <f t="shared" si="2"/>
        <v>ILO</v>
      </c>
      <c r="AK53" s="117" t="str">
        <f t="shared" si="3"/>
        <v>Deimple Jolo</v>
      </c>
      <c r="AL53" s="117" t="str">
        <f>_xlfn.XLOOKUP(A53,reference!A:A,reference!D:D)</f>
        <v>AH-SnapHeld-DCAH-Prod</v>
      </c>
      <c r="AM53" s="117" t="str">
        <f>IF(A53="AH-SnapHeld-Special Project - B",_xlfn.XLOOKUP(AK53,BP:BP,BO:BO),IF(_xlfn.XLOOKUP(AL53,reference!D:D,reference!C:C)=0,"",_xlfn.XLOOKUP(AL53,reference!D:D,reference!C:C)))</f>
        <v>DCAH</v>
      </c>
    </row>
    <row r="54" spans="1:39">
      <c r="A54" t="s">
        <v>105</v>
      </c>
      <c r="B54" t="s">
        <v>546</v>
      </c>
      <c r="C54" t="s">
        <v>547</v>
      </c>
      <c r="D54">
        <v>7</v>
      </c>
      <c r="E54">
        <v>9.5276983802912998</v>
      </c>
      <c r="F54">
        <v>0.29110000000000003</v>
      </c>
      <c r="G54">
        <v>2.5000000000000001E-3</v>
      </c>
      <c r="H54">
        <v>0</v>
      </c>
      <c r="I54">
        <v>0</v>
      </c>
      <c r="J54">
        <v>0</v>
      </c>
      <c r="K54">
        <v>0</v>
      </c>
      <c r="L54">
        <v>0</v>
      </c>
      <c r="M54">
        <v>0.73470000000000002</v>
      </c>
      <c r="N54">
        <v>0.39621614264325999</v>
      </c>
      <c r="O54" t="s">
        <v>548</v>
      </c>
      <c r="P54" t="s">
        <v>518</v>
      </c>
      <c r="Q54" t="s">
        <v>549</v>
      </c>
      <c r="R54" t="s">
        <v>319</v>
      </c>
      <c r="S54" t="s">
        <v>308</v>
      </c>
      <c r="T54" t="s">
        <v>308</v>
      </c>
      <c r="U54" t="s">
        <v>308</v>
      </c>
      <c r="V54" t="s">
        <v>308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308</v>
      </c>
      <c r="AC54" t="s">
        <v>308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117" t="str">
        <f t="shared" si="2"/>
        <v>ILO</v>
      </c>
      <c r="AK54" s="117" t="str">
        <f t="shared" si="3"/>
        <v>John Lawrence Esteva</v>
      </c>
      <c r="AL54" s="117" t="str">
        <f>_xlfn.XLOOKUP(A54,reference!A:A,reference!D:D)</f>
        <v>AH-SnapHeld-DCAH-Prod</v>
      </c>
      <c r="AM54" s="117" t="str">
        <f>IF(A54="AH-SnapHeld-Special Project - B",_xlfn.XLOOKUP(AK54,BP:BP,BO:BO),IF(_xlfn.XLOOKUP(AL54,reference!D:D,reference!C:C)=0,"",_xlfn.XLOOKUP(AL54,reference!D:D,reference!C:C)))</f>
        <v>DCAH</v>
      </c>
    </row>
    <row r="55" spans="1:39">
      <c r="A55" t="s">
        <v>107</v>
      </c>
      <c r="B55" t="s">
        <v>550</v>
      </c>
      <c r="C55" t="s">
        <v>551</v>
      </c>
      <c r="D55">
        <v>40</v>
      </c>
      <c r="E55">
        <v>10.048231511254</v>
      </c>
      <c r="F55">
        <v>1.6335999999999999</v>
      </c>
      <c r="G55">
        <v>0.91638888888889003</v>
      </c>
      <c r="H55">
        <v>3</v>
      </c>
      <c r="I55">
        <v>7.4999999999999997E-2</v>
      </c>
      <c r="J55">
        <v>0.75361736334405005</v>
      </c>
      <c r="K55">
        <v>3</v>
      </c>
      <c r="L55">
        <v>0.75361736334405005</v>
      </c>
      <c r="M55">
        <v>3.9807999999999999</v>
      </c>
      <c r="N55">
        <v>0.41036977491961002</v>
      </c>
      <c r="O55" t="s">
        <v>319</v>
      </c>
      <c r="P55" t="s">
        <v>552</v>
      </c>
      <c r="Q55" t="s">
        <v>364</v>
      </c>
      <c r="R55" t="s">
        <v>419</v>
      </c>
      <c r="S55" t="s">
        <v>308</v>
      </c>
      <c r="T55" t="s">
        <v>553</v>
      </c>
      <c r="U55" t="s">
        <v>308</v>
      </c>
      <c r="V55" t="s">
        <v>308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308</v>
      </c>
      <c r="AC55" t="s">
        <v>308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117" t="str">
        <f t="shared" si="2"/>
        <v>BCD</v>
      </c>
      <c r="AK55" s="117" t="str">
        <f t="shared" si="3"/>
        <v>Aguijon Antonio Jr</v>
      </c>
      <c r="AL55" s="117" t="str">
        <f>_xlfn.XLOOKUP(A55,reference!A:A,reference!D:D)</f>
        <v>AH-SnapHeld-DCScrubs-Prod</v>
      </c>
      <c r="AM55" s="117" t="str">
        <f>IF(A55="AH-SnapHeld-Special Project - B",_xlfn.XLOOKUP(AK55,BP:BP,BO:BO),IF(_xlfn.XLOOKUP(AL55,reference!D:D,reference!C:C)=0,"",_xlfn.XLOOKUP(AL55,reference!D:D,reference!C:C)))</f>
        <v>DCAH Scrubs</v>
      </c>
    </row>
    <row r="56" spans="1:39">
      <c r="A56" t="s">
        <v>107</v>
      </c>
      <c r="B56" t="s">
        <v>554</v>
      </c>
      <c r="C56" t="s">
        <v>555</v>
      </c>
      <c r="D56">
        <v>52</v>
      </c>
      <c r="E56">
        <v>13.927576601670999</v>
      </c>
      <c r="F56">
        <v>0.76080000000000003</v>
      </c>
      <c r="G56">
        <v>0.78249999999999997</v>
      </c>
      <c r="H56">
        <v>7</v>
      </c>
      <c r="I56">
        <v>0.13461538461538</v>
      </c>
      <c r="J56">
        <v>1.8748660809941999</v>
      </c>
      <c r="K56">
        <v>7</v>
      </c>
      <c r="L56">
        <v>1.8748660809941999</v>
      </c>
      <c r="M56">
        <v>3.7336</v>
      </c>
      <c r="N56">
        <v>0.20377115920291</v>
      </c>
      <c r="O56" t="s">
        <v>319</v>
      </c>
      <c r="P56" t="s">
        <v>556</v>
      </c>
      <c r="Q56" t="s">
        <v>557</v>
      </c>
      <c r="R56" t="s">
        <v>481</v>
      </c>
      <c r="S56" t="s">
        <v>308</v>
      </c>
      <c r="T56" t="s">
        <v>558</v>
      </c>
      <c r="U56" t="s">
        <v>308</v>
      </c>
      <c r="V56" t="s">
        <v>308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308</v>
      </c>
      <c r="AC56" t="s">
        <v>308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117" t="str">
        <f t="shared" si="2"/>
        <v>BCD</v>
      </c>
      <c r="AK56" s="117" t="str">
        <f t="shared" si="3"/>
        <v>Darnel Torres</v>
      </c>
      <c r="AL56" s="117" t="str">
        <f>_xlfn.XLOOKUP(A56,reference!A:A,reference!D:D)</f>
        <v>AH-SnapHeld-DCScrubs-Prod</v>
      </c>
      <c r="AM56" s="117" t="str">
        <f>IF(A56="AH-SnapHeld-Special Project - B",_xlfn.XLOOKUP(AK56,BP:BP,BO:BO),IF(_xlfn.XLOOKUP(AL56,reference!D:D,reference!C:C)=0,"",_xlfn.XLOOKUP(AL56,reference!D:D,reference!C:C)))</f>
        <v>DCAH Scrubs</v>
      </c>
    </row>
    <row r="57" spans="1:39">
      <c r="A57" t="s">
        <v>107</v>
      </c>
      <c r="B57" t="s">
        <v>559</v>
      </c>
      <c r="C57" t="s">
        <v>560</v>
      </c>
      <c r="D57">
        <v>41</v>
      </c>
      <c r="E57">
        <v>11.88612512321</v>
      </c>
      <c r="F57">
        <v>1.4221999999999999</v>
      </c>
      <c r="G57">
        <v>0.94527777777777999</v>
      </c>
      <c r="H57">
        <v>5</v>
      </c>
      <c r="I57">
        <v>0.1219512195122</v>
      </c>
      <c r="J57">
        <v>1.4495274540500001</v>
      </c>
      <c r="K57">
        <v>5</v>
      </c>
      <c r="L57">
        <v>1.4495274540500001</v>
      </c>
      <c r="M57">
        <v>3.4493999999999998</v>
      </c>
      <c r="N57">
        <v>0.41230358902997999</v>
      </c>
      <c r="O57" t="s">
        <v>319</v>
      </c>
      <c r="P57" t="s">
        <v>561</v>
      </c>
      <c r="Q57" t="s">
        <v>348</v>
      </c>
      <c r="R57" t="s">
        <v>418</v>
      </c>
      <c r="S57" t="s">
        <v>308</v>
      </c>
      <c r="T57" t="s">
        <v>562</v>
      </c>
      <c r="U57" t="s">
        <v>308</v>
      </c>
      <c r="V57" t="s">
        <v>308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308</v>
      </c>
      <c r="AC57" t="s">
        <v>308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117" t="str">
        <f t="shared" si="2"/>
        <v>BCD</v>
      </c>
      <c r="AK57" s="117" t="str">
        <f t="shared" si="3"/>
        <v>Karen Joy Canlas</v>
      </c>
      <c r="AL57" s="117" t="str">
        <f>_xlfn.XLOOKUP(A57,reference!A:A,reference!D:D)</f>
        <v>AH-SnapHeld-DCScrubs-Prod</v>
      </c>
      <c r="AM57" s="117" t="str">
        <f>IF(A57="AH-SnapHeld-Special Project - B",_xlfn.XLOOKUP(AK57,BP:BP,BO:BO),IF(_xlfn.XLOOKUP(AL57,reference!D:D,reference!C:C)=0,"",_xlfn.XLOOKUP(AL57,reference!D:D,reference!C:C)))</f>
        <v>DCAH Scrubs</v>
      </c>
    </row>
    <row r="58" spans="1:39">
      <c r="A58" t="s">
        <v>107</v>
      </c>
      <c r="B58" t="s">
        <v>563</v>
      </c>
      <c r="C58" t="s">
        <v>564</v>
      </c>
      <c r="D58">
        <v>6</v>
      </c>
      <c r="E58">
        <v>1.4926487051271999</v>
      </c>
      <c r="F58">
        <v>0.35389999999999999</v>
      </c>
      <c r="G58">
        <v>0.13055555555556</v>
      </c>
      <c r="H58">
        <v>2</v>
      </c>
      <c r="I58">
        <v>0.33333333333332998</v>
      </c>
      <c r="J58">
        <v>0.49754956837574998</v>
      </c>
      <c r="K58">
        <v>2</v>
      </c>
      <c r="L58">
        <v>0.49754956837574998</v>
      </c>
      <c r="M58">
        <v>4.0197000000000003</v>
      </c>
      <c r="N58">
        <v>8.8041396124088997E-2</v>
      </c>
      <c r="O58" t="s">
        <v>304</v>
      </c>
      <c r="P58" t="s">
        <v>565</v>
      </c>
      <c r="Q58" t="s">
        <v>381</v>
      </c>
      <c r="R58" t="s">
        <v>521</v>
      </c>
      <c r="S58" t="s">
        <v>308</v>
      </c>
      <c r="T58" t="s">
        <v>308</v>
      </c>
      <c r="U58" t="s">
        <v>308</v>
      </c>
      <c r="V58" t="s">
        <v>308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308</v>
      </c>
      <c r="AC58" t="s">
        <v>308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17" t="str">
        <f t="shared" si="2"/>
        <v>BTG</v>
      </c>
      <c r="AK58" s="117" t="str">
        <f t="shared" si="3"/>
        <v xml:space="preserve">	Meynard Selera</v>
      </c>
      <c r="AL58" s="117" t="str">
        <f>_xlfn.XLOOKUP(A58,reference!A:A,reference!D:D)</f>
        <v>AH-SnapHeld-DCScrubs-Prod</v>
      </c>
      <c r="AM58" s="117" t="str">
        <f>IF(A58="AH-SnapHeld-Special Project - B",_xlfn.XLOOKUP(AK58,BP:BP,BO:BO),IF(_xlfn.XLOOKUP(AL58,reference!D:D,reference!C:C)=0,"",_xlfn.XLOOKUP(AL58,reference!D:D,reference!C:C)))</f>
        <v>DCAH Scrubs</v>
      </c>
    </row>
    <row r="59" spans="1:39">
      <c r="A59" t="s">
        <v>107</v>
      </c>
      <c r="B59" t="s">
        <v>566</v>
      </c>
      <c r="C59" t="s">
        <v>567</v>
      </c>
      <c r="D59">
        <v>1</v>
      </c>
      <c r="E59">
        <v>0.24660912453761</v>
      </c>
      <c r="F59">
        <v>8.6E-3</v>
      </c>
      <c r="G59">
        <v>1.3888888888889E-3</v>
      </c>
      <c r="H59">
        <v>0</v>
      </c>
      <c r="I59">
        <v>0</v>
      </c>
      <c r="J59">
        <v>0</v>
      </c>
      <c r="K59">
        <v>0</v>
      </c>
      <c r="L59">
        <v>0</v>
      </c>
      <c r="M59">
        <v>4.0549999999999997</v>
      </c>
      <c r="N59">
        <v>2.1208384710233999E-3</v>
      </c>
      <c r="O59" t="s">
        <v>306</v>
      </c>
      <c r="P59" t="s">
        <v>530</v>
      </c>
      <c r="Q59" t="s">
        <v>388</v>
      </c>
      <c r="R59" t="s">
        <v>504</v>
      </c>
      <c r="S59" t="s">
        <v>308</v>
      </c>
      <c r="T59" t="s">
        <v>308</v>
      </c>
      <c r="U59" t="s">
        <v>308</v>
      </c>
      <c r="V59" t="s">
        <v>308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308</v>
      </c>
      <c r="AC59" t="s">
        <v>308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17" t="str">
        <f t="shared" si="2"/>
        <v>BTG</v>
      </c>
      <c r="AK59" s="117" t="str">
        <f t="shared" si="3"/>
        <v>Angela Mae Daluz</v>
      </c>
      <c r="AL59" s="117" t="str">
        <f>_xlfn.XLOOKUP(A59,reference!A:A,reference!D:D)</f>
        <v>AH-SnapHeld-DCScrubs-Prod</v>
      </c>
      <c r="AM59" s="117" t="str">
        <f>IF(A59="AH-SnapHeld-Special Project - B",_xlfn.XLOOKUP(AK59,BP:BP,BO:BO),IF(_xlfn.XLOOKUP(AL59,reference!D:D,reference!C:C)=0,"",_xlfn.XLOOKUP(AL59,reference!D:D,reference!C:C)))</f>
        <v>DCAH Scrubs</v>
      </c>
    </row>
    <row r="60" spans="1:39">
      <c r="A60" t="s">
        <v>107</v>
      </c>
      <c r="B60" t="s">
        <v>568</v>
      </c>
      <c r="C60" t="s">
        <v>569</v>
      </c>
      <c r="D60">
        <v>3</v>
      </c>
      <c r="E60">
        <v>0.64794816414686995</v>
      </c>
      <c r="F60">
        <v>0.1694</v>
      </c>
      <c r="G60">
        <v>7.7777777777778001E-3</v>
      </c>
      <c r="H60">
        <v>0</v>
      </c>
      <c r="I60">
        <v>0</v>
      </c>
      <c r="J60">
        <v>0</v>
      </c>
      <c r="K60">
        <v>0</v>
      </c>
      <c r="L60">
        <v>0</v>
      </c>
      <c r="M60">
        <v>4.63</v>
      </c>
      <c r="N60">
        <v>3.6587473002159997E-2</v>
      </c>
      <c r="O60" t="s">
        <v>395</v>
      </c>
      <c r="P60" t="s">
        <v>381</v>
      </c>
      <c r="Q60" t="s">
        <v>570</v>
      </c>
      <c r="R60" t="s">
        <v>395</v>
      </c>
      <c r="S60" t="s">
        <v>308</v>
      </c>
      <c r="T60" t="s">
        <v>571</v>
      </c>
      <c r="U60" t="s">
        <v>308</v>
      </c>
      <c r="V60" t="s">
        <v>308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308</v>
      </c>
      <c r="AC60" t="s">
        <v>308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17" t="str">
        <f t="shared" si="2"/>
        <v>BTG</v>
      </c>
      <c r="AK60" s="117" t="str">
        <f t="shared" si="3"/>
        <v>Bing Bong Lescano</v>
      </c>
      <c r="AL60" s="117" t="str">
        <f>_xlfn.XLOOKUP(A60,reference!A:A,reference!D:D)</f>
        <v>AH-SnapHeld-DCScrubs-Prod</v>
      </c>
      <c r="AM60" s="117" t="str">
        <f>IF(A60="AH-SnapHeld-Special Project - B",_xlfn.XLOOKUP(AK60,BP:BP,BO:BO),IF(_xlfn.XLOOKUP(AL60,reference!D:D,reference!C:C)=0,"",_xlfn.XLOOKUP(AL60,reference!D:D,reference!C:C)))</f>
        <v>DCAH Scrubs</v>
      </c>
    </row>
    <row r="61" spans="1:39">
      <c r="A61" t="s">
        <v>107</v>
      </c>
      <c r="B61" t="s">
        <v>572</v>
      </c>
      <c r="C61" t="s">
        <v>573</v>
      </c>
      <c r="D61">
        <v>2</v>
      </c>
      <c r="E61">
        <v>0.55944055944056004</v>
      </c>
      <c r="F61">
        <v>5.1400000000000001E-2</v>
      </c>
      <c r="G61">
        <v>6.3888888888888997E-3</v>
      </c>
      <c r="H61">
        <v>0</v>
      </c>
      <c r="I61">
        <v>0</v>
      </c>
      <c r="J61">
        <v>0</v>
      </c>
      <c r="K61">
        <v>0</v>
      </c>
      <c r="L61">
        <v>0</v>
      </c>
      <c r="M61">
        <v>3.5750000000000002</v>
      </c>
      <c r="N61">
        <v>1.4377622377621999E-2</v>
      </c>
      <c r="O61" t="s">
        <v>304</v>
      </c>
      <c r="P61" t="s">
        <v>574</v>
      </c>
      <c r="Q61" t="s">
        <v>366</v>
      </c>
      <c r="R61" t="s">
        <v>409</v>
      </c>
      <c r="S61" t="s">
        <v>308</v>
      </c>
      <c r="T61" t="s">
        <v>575</v>
      </c>
      <c r="U61" t="s">
        <v>308</v>
      </c>
      <c r="V61" t="s">
        <v>308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308</v>
      </c>
      <c r="AC61" t="s">
        <v>308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117" t="str">
        <f t="shared" si="2"/>
        <v>BTG</v>
      </c>
      <c r="AK61" s="117" t="str">
        <f t="shared" si="3"/>
        <v>Erica DeGuzman</v>
      </c>
      <c r="AL61" s="117" t="str">
        <f>_xlfn.XLOOKUP(A61,reference!A:A,reference!D:D)</f>
        <v>AH-SnapHeld-DCScrubs-Prod</v>
      </c>
      <c r="AM61" s="117" t="str">
        <f>IF(A61="AH-SnapHeld-Special Project - B",_xlfn.XLOOKUP(AK61,BP:BP,BO:BO),IF(_xlfn.XLOOKUP(AL61,reference!D:D,reference!C:C)=0,"",_xlfn.XLOOKUP(AL61,reference!D:D,reference!C:C)))</f>
        <v>DCAH Scrubs</v>
      </c>
    </row>
    <row r="62" spans="1:39">
      <c r="A62" t="s">
        <v>107</v>
      </c>
      <c r="B62" t="s">
        <v>576</v>
      </c>
      <c r="C62" t="s">
        <v>577</v>
      </c>
      <c r="D62">
        <v>2</v>
      </c>
      <c r="E62">
        <v>0.43190947177472</v>
      </c>
      <c r="F62">
        <v>0.1817</v>
      </c>
      <c r="G62">
        <v>3.3333333333333002E-3</v>
      </c>
      <c r="H62">
        <v>2</v>
      </c>
      <c r="I62">
        <v>1</v>
      </c>
      <c r="J62">
        <v>0.43190947177472</v>
      </c>
      <c r="K62">
        <v>2</v>
      </c>
      <c r="L62">
        <v>0.43190947177472</v>
      </c>
      <c r="M62">
        <v>4.6306000000000003</v>
      </c>
      <c r="N62">
        <v>3.9238975510733E-2</v>
      </c>
      <c r="O62" t="s">
        <v>578</v>
      </c>
      <c r="P62" t="s">
        <v>579</v>
      </c>
      <c r="Q62" t="s">
        <v>580</v>
      </c>
      <c r="R62" t="s">
        <v>315</v>
      </c>
      <c r="S62" t="s">
        <v>308</v>
      </c>
      <c r="T62" t="s">
        <v>581</v>
      </c>
      <c r="U62" t="s">
        <v>308</v>
      </c>
      <c r="V62" t="s">
        <v>308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308</v>
      </c>
      <c r="AC62" t="s">
        <v>308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117" t="str">
        <f t="shared" si="2"/>
        <v>BTG</v>
      </c>
      <c r="AK62" s="117" t="str">
        <f t="shared" si="3"/>
        <v>Grasie Abanilla</v>
      </c>
      <c r="AL62" s="117" t="str">
        <f>_xlfn.XLOOKUP(A62,reference!A:A,reference!D:D)</f>
        <v>AH-SnapHeld-DCScrubs-Prod</v>
      </c>
      <c r="AM62" s="117" t="str">
        <f>IF(A62="AH-SnapHeld-Special Project - B",_xlfn.XLOOKUP(AK62,BP:BP,BO:BO),IF(_xlfn.XLOOKUP(AL62,reference!D:D,reference!C:C)=0,"",_xlfn.XLOOKUP(AL62,reference!D:D,reference!C:C)))</f>
        <v>DCAH Scrubs</v>
      </c>
    </row>
    <row r="63" spans="1:39">
      <c r="A63" t="s">
        <v>107</v>
      </c>
      <c r="B63" t="s">
        <v>582</v>
      </c>
      <c r="C63" t="s">
        <v>583</v>
      </c>
      <c r="D63">
        <v>9</v>
      </c>
      <c r="E63">
        <v>2.0606754436175998</v>
      </c>
      <c r="F63">
        <v>0.2006</v>
      </c>
      <c r="G63">
        <v>1.9166666666667002E-2</v>
      </c>
      <c r="H63">
        <v>0</v>
      </c>
      <c r="I63">
        <v>0</v>
      </c>
      <c r="J63">
        <v>0</v>
      </c>
      <c r="K63">
        <v>0</v>
      </c>
      <c r="L63">
        <v>0</v>
      </c>
      <c r="M63">
        <v>4.3674999999999997</v>
      </c>
      <c r="N63">
        <v>4.5930165998855001E-2</v>
      </c>
      <c r="O63" t="s">
        <v>319</v>
      </c>
      <c r="P63" t="s">
        <v>584</v>
      </c>
      <c r="Q63" t="s">
        <v>585</v>
      </c>
      <c r="R63" t="s">
        <v>339</v>
      </c>
      <c r="S63" t="s">
        <v>308</v>
      </c>
      <c r="T63" t="s">
        <v>586</v>
      </c>
      <c r="U63" t="s">
        <v>308</v>
      </c>
      <c r="V63" t="s">
        <v>308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308</v>
      </c>
      <c r="AC63" t="s">
        <v>308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17" t="str">
        <f t="shared" si="2"/>
        <v>BTG</v>
      </c>
      <c r="AK63" s="117" t="str">
        <f t="shared" si="3"/>
        <v>Janciel Carandang</v>
      </c>
      <c r="AL63" s="117" t="str">
        <f>_xlfn.XLOOKUP(A63,reference!A:A,reference!D:D)</f>
        <v>AH-SnapHeld-DCScrubs-Prod</v>
      </c>
      <c r="AM63" s="117" t="str">
        <f>IF(A63="AH-SnapHeld-Special Project - B",_xlfn.XLOOKUP(AK63,BP:BP,BO:BO),IF(_xlfn.XLOOKUP(AL63,reference!D:D,reference!C:C)=0,"",_xlfn.XLOOKUP(AL63,reference!D:D,reference!C:C)))</f>
        <v>DCAH Scrubs</v>
      </c>
    </row>
    <row r="64" spans="1:39">
      <c r="A64" t="s">
        <v>107</v>
      </c>
      <c r="B64" t="s">
        <v>587</v>
      </c>
      <c r="C64" t="s">
        <v>588</v>
      </c>
      <c r="D64">
        <v>2</v>
      </c>
      <c r="E64">
        <v>0.43428224002778998</v>
      </c>
      <c r="F64">
        <v>0.1186</v>
      </c>
      <c r="G64">
        <v>4.7222222222221997E-3</v>
      </c>
      <c r="H64">
        <v>1</v>
      </c>
      <c r="I64">
        <v>0.5</v>
      </c>
      <c r="J64">
        <v>0.21714112001390001</v>
      </c>
      <c r="K64">
        <v>1</v>
      </c>
      <c r="L64">
        <v>0.21714112001390001</v>
      </c>
      <c r="M64">
        <v>4.6052999999999997</v>
      </c>
      <c r="N64">
        <v>2.5752936833647998E-2</v>
      </c>
      <c r="O64" t="s">
        <v>304</v>
      </c>
      <c r="P64" t="s">
        <v>589</v>
      </c>
      <c r="Q64" t="s">
        <v>590</v>
      </c>
      <c r="R64" t="s">
        <v>306</v>
      </c>
      <c r="S64" t="s">
        <v>308</v>
      </c>
      <c r="T64" t="s">
        <v>591</v>
      </c>
      <c r="U64" t="s">
        <v>308</v>
      </c>
      <c r="V64" t="s">
        <v>308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308</v>
      </c>
      <c r="AC64" t="s">
        <v>308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17" t="str">
        <f t="shared" si="2"/>
        <v>BTG</v>
      </c>
      <c r="AK64" s="117" t="str">
        <f t="shared" si="3"/>
        <v>Jason De Villa</v>
      </c>
      <c r="AL64" s="117" t="str">
        <f>_xlfn.XLOOKUP(A64,reference!A:A,reference!D:D)</f>
        <v>AH-SnapHeld-DCScrubs-Prod</v>
      </c>
      <c r="AM64" s="117" t="str">
        <f>IF(A64="AH-SnapHeld-Special Project - B",_xlfn.XLOOKUP(AK64,BP:BP,BO:BO),IF(_xlfn.XLOOKUP(AL64,reference!D:D,reference!C:C)=0,"",_xlfn.XLOOKUP(AL64,reference!D:D,reference!C:C)))</f>
        <v>DCAH Scrubs</v>
      </c>
    </row>
    <row r="65" spans="1:39">
      <c r="A65" t="s">
        <v>107</v>
      </c>
      <c r="B65" t="s">
        <v>592</v>
      </c>
      <c r="C65" t="s">
        <v>593</v>
      </c>
      <c r="D65">
        <v>10</v>
      </c>
      <c r="E65">
        <v>2.1480892745903</v>
      </c>
      <c r="F65">
        <v>0.15190000000000001</v>
      </c>
      <c r="G65">
        <v>6.1111111111111002E-3</v>
      </c>
      <c r="H65">
        <v>1</v>
      </c>
      <c r="I65">
        <v>0.1</v>
      </c>
      <c r="J65">
        <v>0.21480892745902999</v>
      </c>
      <c r="K65">
        <v>1</v>
      </c>
      <c r="L65">
        <v>0.21480892745902999</v>
      </c>
      <c r="M65">
        <v>4.6553000000000004</v>
      </c>
      <c r="N65">
        <v>3.2629476081026003E-2</v>
      </c>
      <c r="O65" t="s">
        <v>304</v>
      </c>
      <c r="P65" t="s">
        <v>466</v>
      </c>
      <c r="Q65" t="s">
        <v>481</v>
      </c>
      <c r="R65" t="s">
        <v>304</v>
      </c>
      <c r="S65" t="s">
        <v>308</v>
      </c>
      <c r="T65" t="s">
        <v>594</v>
      </c>
      <c r="U65" t="s">
        <v>308</v>
      </c>
      <c r="V65" t="s">
        <v>308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308</v>
      </c>
      <c r="AC65" t="s">
        <v>308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17" t="str">
        <f t="shared" si="2"/>
        <v>BTG</v>
      </c>
      <c r="AK65" s="117" t="str">
        <f t="shared" si="3"/>
        <v>Loren Villanueva</v>
      </c>
      <c r="AL65" s="117" t="str">
        <f>_xlfn.XLOOKUP(A65,reference!A:A,reference!D:D)</f>
        <v>AH-SnapHeld-DCScrubs-Prod</v>
      </c>
      <c r="AM65" s="117" t="str">
        <f>IF(A65="AH-SnapHeld-Special Project - B",_xlfn.XLOOKUP(AK65,BP:BP,BO:BO),IF(_xlfn.XLOOKUP(AL65,reference!D:D,reference!C:C)=0,"",_xlfn.XLOOKUP(AL65,reference!D:D,reference!C:C)))</f>
        <v>DCAH Scrubs</v>
      </c>
    </row>
    <row r="66" spans="1:39">
      <c r="A66" t="s">
        <v>107</v>
      </c>
      <c r="B66" t="s">
        <v>595</v>
      </c>
      <c r="C66" t="s">
        <v>596</v>
      </c>
      <c r="D66">
        <v>6</v>
      </c>
      <c r="E66">
        <v>1.4888337468982999</v>
      </c>
      <c r="F66">
        <v>0.30499999999999999</v>
      </c>
      <c r="G66">
        <v>3.3333333333333002E-3</v>
      </c>
      <c r="H66">
        <v>0</v>
      </c>
      <c r="I66">
        <v>0</v>
      </c>
      <c r="J66">
        <v>0</v>
      </c>
      <c r="K66">
        <v>0</v>
      </c>
      <c r="L66">
        <v>0</v>
      </c>
      <c r="M66">
        <v>4.03</v>
      </c>
      <c r="N66">
        <v>7.5682382133995002E-2</v>
      </c>
      <c r="O66" t="s">
        <v>355</v>
      </c>
      <c r="P66" t="s">
        <v>597</v>
      </c>
      <c r="Q66" t="s">
        <v>598</v>
      </c>
      <c r="R66" t="s">
        <v>304</v>
      </c>
      <c r="S66" t="s">
        <v>308</v>
      </c>
      <c r="T66" t="s">
        <v>308</v>
      </c>
      <c r="U66" t="s">
        <v>308</v>
      </c>
      <c r="V66" t="s">
        <v>308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308</v>
      </c>
      <c r="AC66" t="s">
        <v>308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17" t="str">
        <f t="shared" ref="AJ66:AJ97" si="4">LEFT(B66,3)</f>
        <v>BTG</v>
      </c>
      <c r="AK66" s="117" t="str">
        <f t="shared" ref="AK66:AK97" si="5">TRIM(RIGHT(B66, LEN(B66)-3))</f>
        <v>Ma. Rustia Camil Denson</v>
      </c>
      <c r="AL66" s="117" t="str">
        <f>_xlfn.XLOOKUP(A66,reference!A:A,reference!D:D)</f>
        <v>AH-SnapHeld-DCScrubs-Prod</v>
      </c>
      <c r="AM66" s="117" t="str">
        <f>IF(A66="AH-SnapHeld-Special Project - B",_xlfn.XLOOKUP(AK66,BP:BP,BO:BO),IF(_xlfn.XLOOKUP(AL66,reference!D:D,reference!C:C)=0,"",_xlfn.XLOOKUP(AL66,reference!D:D,reference!C:C)))</f>
        <v>DCAH Scrubs</v>
      </c>
    </row>
    <row r="67" spans="1:39">
      <c r="A67" t="s">
        <v>107</v>
      </c>
      <c r="B67" t="s">
        <v>599</v>
      </c>
      <c r="C67" t="s">
        <v>600</v>
      </c>
      <c r="D67">
        <v>1</v>
      </c>
      <c r="E67">
        <v>0.27486875017179002</v>
      </c>
      <c r="F67">
        <v>8.3000000000000001E-3</v>
      </c>
      <c r="G67">
        <v>1.3888888888889E-3</v>
      </c>
      <c r="H67">
        <v>0</v>
      </c>
      <c r="I67">
        <v>0</v>
      </c>
      <c r="J67">
        <v>0</v>
      </c>
      <c r="K67">
        <v>0</v>
      </c>
      <c r="L67">
        <v>0</v>
      </c>
      <c r="M67">
        <v>3.6381000000000001</v>
      </c>
      <c r="N67">
        <v>2.2814106264259001E-3</v>
      </c>
      <c r="O67" t="s">
        <v>355</v>
      </c>
      <c r="P67" t="s">
        <v>516</v>
      </c>
      <c r="Q67" t="s">
        <v>389</v>
      </c>
      <c r="R67" t="s">
        <v>504</v>
      </c>
      <c r="S67" t="s">
        <v>308</v>
      </c>
      <c r="T67" t="s">
        <v>601</v>
      </c>
      <c r="U67" t="s">
        <v>308</v>
      </c>
      <c r="V67" t="s">
        <v>308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308</v>
      </c>
      <c r="AC67" t="s">
        <v>308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117" t="str">
        <f t="shared" si="4"/>
        <v>BTG</v>
      </c>
      <c r="AK67" s="117" t="str">
        <f t="shared" si="5"/>
        <v>Renz Irvin Mata</v>
      </c>
      <c r="AL67" s="117" t="str">
        <f>_xlfn.XLOOKUP(A67,reference!A:A,reference!D:D)</f>
        <v>AH-SnapHeld-DCScrubs-Prod</v>
      </c>
      <c r="AM67" s="117" t="str">
        <f>IF(A67="AH-SnapHeld-Special Project - B",_xlfn.XLOOKUP(AK67,BP:BP,BO:BO),IF(_xlfn.XLOOKUP(AL67,reference!D:D,reference!C:C)=0,"",_xlfn.XLOOKUP(AL67,reference!D:D,reference!C:C)))</f>
        <v>DCAH Scrubs</v>
      </c>
    </row>
    <row r="68" spans="1:39">
      <c r="A68" t="s">
        <v>114</v>
      </c>
      <c r="B68" t="s">
        <v>602</v>
      </c>
      <c r="C68" t="s">
        <v>603</v>
      </c>
      <c r="D68">
        <v>15</v>
      </c>
      <c r="E68">
        <v>4.5821114369501004</v>
      </c>
      <c r="F68">
        <v>0.2475</v>
      </c>
      <c r="G68">
        <v>0.68694444444444003</v>
      </c>
      <c r="H68">
        <v>8</v>
      </c>
      <c r="I68">
        <v>0.53333333333333</v>
      </c>
      <c r="J68">
        <v>2.4437927663734</v>
      </c>
      <c r="K68">
        <v>8</v>
      </c>
      <c r="L68">
        <v>2.4437927663734</v>
      </c>
      <c r="M68">
        <v>3.2736000000000001</v>
      </c>
      <c r="N68">
        <v>7.5604838709677005E-2</v>
      </c>
      <c r="O68" t="s">
        <v>604</v>
      </c>
      <c r="P68" t="s">
        <v>605</v>
      </c>
      <c r="Q68" t="s">
        <v>606</v>
      </c>
      <c r="R68" t="s">
        <v>607</v>
      </c>
      <c r="S68" t="s">
        <v>308</v>
      </c>
      <c r="T68" t="s">
        <v>608</v>
      </c>
      <c r="U68" t="s">
        <v>308</v>
      </c>
      <c r="V68" t="s">
        <v>308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308</v>
      </c>
      <c r="AC68" t="s">
        <v>308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117" t="str">
        <f t="shared" si="4"/>
        <v>BCD</v>
      </c>
      <c r="AK68" s="117" t="str">
        <f t="shared" si="5"/>
        <v xml:space="preserve">	Edrian Apillano</v>
      </c>
      <c r="AL68" s="117" t="str">
        <f>_xlfn.XLOOKUP(A68,reference!A:A,reference!D:D)</f>
        <v>AH-SnapHeld-Edocument-Prod</v>
      </c>
      <c r="AM68" s="117" t="str">
        <f>IF(A68="AH-SnapHeld-Special Project - B",_xlfn.XLOOKUP(AK68,BP:BP,BO:BO),IF(_xlfn.XLOOKUP(AL68,reference!D:D,reference!C:C)=0,"",_xlfn.XLOOKUP(AL68,reference!D:D,reference!C:C)))</f>
        <v>Edocument</v>
      </c>
    </row>
    <row r="69" spans="1:39">
      <c r="A69" t="s">
        <v>114</v>
      </c>
      <c r="B69" t="s">
        <v>609</v>
      </c>
      <c r="C69" t="s">
        <v>610</v>
      </c>
      <c r="D69">
        <v>17</v>
      </c>
      <c r="E69">
        <v>5.3543307086613998</v>
      </c>
      <c r="F69">
        <v>1.2017</v>
      </c>
      <c r="G69">
        <v>2.0555555555556E-2</v>
      </c>
      <c r="H69">
        <v>2</v>
      </c>
      <c r="I69">
        <v>0.11764705882353001</v>
      </c>
      <c r="J69">
        <v>0.62992125984252001</v>
      </c>
      <c r="K69">
        <v>2</v>
      </c>
      <c r="L69">
        <v>0.62992125984252001</v>
      </c>
      <c r="M69">
        <v>3.1749999999999998</v>
      </c>
      <c r="N69">
        <v>0.37848818897637998</v>
      </c>
      <c r="O69" t="s">
        <v>473</v>
      </c>
      <c r="P69" t="s">
        <v>611</v>
      </c>
      <c r="Q69" t="s">
        <v>612</v>
      </c>
      <c r="R69" t="s">
        <v>613</v>
      </c>
      <c r="S69" t="s">
        <v>308</v>
      </c>
      <c r="T69" t="s">
        <v>614</v>
      </c>
      <c r="U69" t="s">
        <v>308</v>
      </c>
      <c r="V69" t="s">
        <v>308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308</v>
      </c>
      <c r="AC69" t="s">
        <v>308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117" t="str">
        <f t="shared" si="4"/>
        <v>BCD</v>
      </c>
      <c r="AK69" s="117" t="str">
        <f t="shared" si="5"/>
        <v xml:space="preserve">	Janine Hisita</v>
      </c>
      <c r="AL69" s="117" t="str">
        <f>_xlfn.XLOOKUP(A69,reference!A:A,reference!D:D)</f>
        <v>AH-SnapHeld-Edocument-Prod</v>
      </c>
      <c r="AM69" s="117" t="str">
        <f>IF(A69="AH-SnapHeld-Special Project - B",_xlfn.XLOOKUP(AK69,BP:BP,BO:BO),IF(_xlfn.XLOOKUP(AL69,reference!D:D,reference!C:C)=0,"",_xlfn.XLOOKUP(AL69,reference!D:D,reference!C:C)))</f>
        <v>Edocument</v>
      </c>
    </row>
    <row r="70" spans="1:39">
      <c r="A70" t="s">
        <v>114</v>
      </c>
      <c r="B70" t="s">
        <v>615</v>
      </c>
      <c r="C70" t="s">
        <v>616</v>
      </c>
      <c r="D70">
        <v>10</v>
      </c>
      <c r="E70">
        <v>5.4232875969413001</v>
      </c>
      <c r="F70">
        <v>0.73140000000000005</v>
      </c>
      <c r="G70">
        <v>0.39250000000000002</v>
      </c>
      <c r="H70">
        <v>3</v>
      </c>
      <c r="I70">
        <v>0.3</v>
      </c>
      <c r="J70">
        <v>1.6269862790823999</v>
      </c>
      <c r="K70">
        <v>3</v>
      </c>
      <c r="L70">
        <v>1.6269862790823999</v>
      </c>
      <c r="M70">
        <v>1.8439000000000001</v>
      </c>
      <c r="N70">
        <v>0.39665925484027997</v>
      </c>
      <c r="O70" t="s">
        <v>521</v>
      </c>
      <c r="P70" t="s">
        <v>617</v>
      </c>
      <c r="Q70" t="s">
        <v>618</v>
      </c>
      <c r="R70" t="s">
        <v>619</v>
      </c>
      <c r="S70" t="s">
        <v>308</v>
      </c>
      <c r="T70" t="s">
        <v>308</v>
      </c>
      <c r="U70" t="s">
        <v>308</v>
      </c>
      <c r="V70" t="s">
        <v>308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308</v>
      </c>
      <c r="AC70" t="s">
        <v>308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117" t="str">
        <f t="shared" si="4"/>
        <v>BCD</v>
      </c>
      <c r="AK70" s="117" t="str">
        <f t="shared" si="5"/>
        <v xml:space="preserve">	Nelrose Saguire</v>
      </c>
      <c r="AL70" s="117" t="str">
        <f>_xlfn.XLOOKUP(A70,reference!A:A,reference!D:D)</f>
        <v>AH-SnapHeld-Edocument-Prod</v>
      </c>
      <c r="AM70" s="117" t="str">
        <f>IF(A70="AH-SnapHeld-Special Project - B",_xlfn.XLOOKUP(AK70,BP:BP,BO:BO),IF(_xlfn.XLOOKUP(AL70,reference!D:D,reference!C:C)=0,"",_xlfn.XLOOKUP(AL70,reference!D:D,reference!C:C)))</f>
        <v>Edocument</v>
      </c>
    </row>
    <row r="71" spans="1:39">
      <c r="A71" t="s">
        <v>114</v>
      </c>
      <c r="B71" t="s">
        <v>620</v>
      </c>
      <c r="C71" t="s">
        <v>621</v>
      </c>
      <c r="D71">
        <v>18</v>
      </c>
      <c r="E71">
        <v>4.9205871900713003</v>
      </c>
      <c r="F71">
        <v>0.87639999999999996</v>
      </c>
      <c r="G71">
        <v>0.30194444444444002</v>
      </c>
      <c r="H71">
        <v>3</v>
      </c>
      <c r="I71">
        <v>0.16666666666666999</v>
      </c>
      <c r="J71">
        <v>0.82009786501188997</v>
      </c>
      <c r="K71">
        <v>3</v>
      </c>
      <c r="L71">
        <v>0.82009786501188997</v>
      </c>
      <c r="M71">
        <v>3.6581000000000001</v>
      </c>
      <c r="N71">
        <v>0.23957792296547001</v>
      </c>
      <c r="O71" t="s">
        <v>622</v>
      </c>
      <c r="P71" t="s">
        <v>623</v>
      </c>
      <c r="Q71" t="s">
        <v>624</v>
      </c>
      <c r="R71" t="s">
        <v>314</v>
      </c>
      <c r="S71" t="s">
        <v>308</v>
      </c>
      <c r="T71" t="s">
        <v>308</v>
      </c>
      <c r="U71" t="s">
        <v>308</v>
      </c>
      <c r="V71" t="s">
        <v>308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308</v>
      </c>
      <c r="AC71" t="s">
        <v>308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17" t="str">
        <f t="shared" si="4"/>
        <v>BCD</v>
      </c>
      <c r="AK71" s="117" t="str">
        <f t="shared" si="5"/>
        <v xml:space="preserve">	Rimakezia Margate</v>
      </c>
      <c r="AL71" s="117" t="str">
        <f>_xlfn.XLOOKUP(A71,reference!A:A,reference!D:D)</f>
        <v>AH-SnapHeld-Edocument-Prod</v>
      </c>
      <c r="AM71" s="117" t="str">
        <f>IF(A71="AH-SnapHeld-Special Project - B",_xlfn.XLOOKUP(AK71,BP:BP,BO:BO),IF(_xlfn.XLOOKUP(AL71,reference!D:D,reference!C:C)=0,"",_xlfn.XLOOKUP(AL71,reference!D:D,reference!C:C)))</f>
        <v>Edocument</v>
      </c>
    </row>
    <row r="72" spans="1:39">
      <c r="A72" t="s">
        <v>114</v>
      </c>
      <c r="B72" t="s">
        <v>625</v>
      </c>
      <c r="C72" t="s">
        <v>626</v>
      </c>
      <c r="D72">
        <v>14</v>
      </c>
      <c r="E72">
        <v>3.8742528226699</v>
      </c>
      <c r="F72">
        <v>1.8661000000000001</v>
      </c>
      <c r="G72">
        <v>0.63777777777778</v>
      </c>
      <c r="H72">
        <v>0</v>
      </c>
      <c r="I72">
        <v>0</v>
      </c>
      <c r="J72">
        <v>0</v>
      </c>
      <c r="K72">
        <v>0</v>
      </c>
      <c r="L72">
        <v>0</v>
      </c>
      <c r="M72">
        <v>3.6135999999999999</v>
      </c>
      <c r="N72">
        <v>0.51641022802744996</v>
      </c>
      <c r="O72" t="s">
        <v>627</v>
      </c>
      <c r="P72" t="s">
        <v>628</v>
      </c>
      <c r="Q72" t="s">
        <v>629</v>
      </c>
      <c r="R72" t="s">
        <v>607</v>
      </c>
      <c r="S72" t="s">
        <v>308</v>
      </c>
      <c r="T72" t="s">
        <v>630</v>
      </c>
      <c r="U72" t="s">
        <v>308</v>
      </c>
      <c r="V72" t="s">
        <v>308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308</v>
      </c>
      <c r="AC72" t="s">
        <v>308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17" t="str">
        <f t="shared" si="4"/>
        <v>BCD</v>
      </c>
      <c r="AK72" s="117" t="str">
        <f t="shared" si="5"/>
        <v xml:space="preserve">	Ronnie Alvarez</v>
      </c>
      <c r="AL72" s="117" t="str">
        <f>_xlfn.XLOOKUP(A72,reference!A:A,reference!D:D)</f>
        <v>AH-SnapHeld-Edocument-Prod</v>
      </c>
      <c r="AM72" s="117" t="str">
        <f>IF(A72="AH-SnapHeld-Special Project - B",_xlfn.XLOOKUP(AK72,BP:BP,BO:BO),IF(_xlfn.XLOOKUP(AL72,reference!D:D,reference!C:C)=0,"",_xlfn.XLOOKUP(AL72,reference!D:D,reference!C:C)))</f>
        <v>Edocument</v>
      </c>
    </row>
    <row r="73" spans="1:39">
      <c r="A73" t="s">
        <v>114</v>
      </c>
      <c r="B73" t="s">
        <v>631</v>
      </c>
      <c r="C73" t="s">
        <v>632</v>
      </c>
      <c r="D73">
        <v>18</v>
      </c>
      <c r="E73">
        <v>5.4573568201800997</v>
      </c>
      <c r="F73">
        <v>1.0519000000000001</v>
      </c>
      <c r="G73">
        <v>0.51472222222221997</v>
      </c>
      <c r="H73">
        <v>8</v>
      </c>
      <c r="I73">
        <v>0.44444444444443998</v>
      </c>
      <c r="J73">
        <v>2.4254919200799998</v>
      </c>
      <c r="K73">
        <v>8</v>
      </c>
      <c r="L73">
        <v>2.4254919200799998</v>
      </c>
      <c r="M73">
        <v>3.2982999999999998</v>
      </c>
      <c r="N73">
        <v>0.31892186884152002</v>
      </c>
      <c r="O73" t="s">
        <v>633</v>
      </c>
      <c r="P73" t="s">
        <v>634</v>
      </c>
      <c r="Q73" t="s">
        <v>635</v>
      </c>
      <c r="R73" t="s">
        <v>636</v>
      </c>
      <c r="S73" t="s">
        <v>308</v>
      </c>
      <c r="T73" t="s">
        <v>637</v>
      </c>
      <c r="U73" t="s">
        <v>308</v>
      </c>
      <c r="V73" t="s">
        <v>308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308</v>
      </c>
      <c r="AC73" t="s">
        <v>308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117" t="str">
        <f t="shared" si="4"/>
        <v>BCD</v>
      </c>
      <c r="AK73" s="117" t="str">
        <f t="shared" si="5"/>
        <v xml:space="preserve">	Roter John Espanola</v>
      </c>
      <c r="AL73" s="117" t="str">
        <f>_xlfn.XLOOKUP(A73,reference!A:A,reference!D:D)</f>
        <v>AH-SnapHeld-Edocument-Prod</v>
      </c>
      <c r="AM73" s="117" t="str">
        <f>IF(A73="AH-SnapHeld-Special Project - B",_xlfn.XLOOKUP(AK73,BP:BP,BO:BO),IF(_xlfn.XLOOKUP(AL73,reference!D:D,reference!C:C)=0,"",_xlfn.XLOOKUP(AL73,reference!D:D,reference!C:C)))</f>
        <v>Edocument</v>
      </c>
    </row>
    <row r="74" spans="1:39">
      <c r="A74" t="s">
        <v>114</v>
      </c>
      <c r="B74" t="s">
        <v>638</v>
      </c>
      <c r="C74" t="s">
        <v>639</v>
      </c>
      <c r="D74">
        <v>1</v>
      </c>
      <c r="E74">
        <v>1.1275228323374</v>
      </c>
      <c r="F74">
        <v>0.17249999999999999</v>
      </c>
      <c r="G74">
        <v>2.5000000000000001E-2</v>
      </c>
      <c r="H74">
        <v>0</v>
      </c>
      <c r="I74">
        <v>0</v>
      </c>
      <c r="J74">
        <v>0</v>
      </c>
      <c r="K74">
        <v>0</v>
      </c>
      <c r="L74">
        <v>0</v>
      </c>
      <c r="M74">
        <v>0.88690000000000002</v>
      </c>
      <c r="N74">
        <v>0.19449768857819</v>
      </c>
      <c r="O74" t="s">
        <v>640</v>
      </c>
      <c r="P74" t="s">
        <v>641</v>
      </c>
      <c r="Q74" t="s">
        <v>642</v>
      </c>
      <c r="R74" t="s">
        <v>643</v>
      </c>
      <c r="S74" t="s">
        <v>308</v>
      </c>
      <c r="T74" t="s">
        <v>644</v>
      </c>
      <c r="U74" t="s">
        <v>308</v>
      </c>
      <c r="V74" t="s">
        <v>308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308</v>
      </c>
      <c r="AC74" t="s">
        <v>308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17" t="str">
        <f t="shared" si="4"/>
        <v>BCD</v>
      </c>
      <c r="AK74" s="117" t="str">
        <f t="shared" si="5"/>
        <v xml:space="preserve">	Ryan Francisco</v>
      </c>
      <c r="AL74" s="117" t="str">
        <f>_xlfn.XLOOKUP(A74,reference!A:A,reference!D:D)</f>
        <v>AH-SnapHeld-Edocument-Prod</v>
      </c>
      <c r="AM74" s="117" t="str">
        <f>IF(A74="AH-SnapHeld-Special Project - B",_xlfn.XLOOKUP(AK74,BP:BP,BO:BO),IF(_xlfn.XLOOKUP(AL74,reference!D:D,reference!C:C)=0,"",_xlfn.XLOOKUP(AL74,reference!D:D,reference!C:C)))</f>
        <v>Edocument</v>
      </c>
    </row>
    <row r="75" spans="1:39">
      <c r="A75" t="s">
        <v>114</v>
      </c>
      <c r="B75" t="s">
        <v>645</v>
      </c>
      <c r="C75" t="s">
        <v>646</v>
      </c>
      <c r="D75">
        <v>17</v>
      </c>
      <c r="E75">
        <v>5.0449594919429002</v>
      </c>
      <c r="F75">
        <v>1.2092000000000001</v>
      </c>
      <c r="G75">
        <v>0.57194444444444004</v>
      </c>
      <c r="H75">
        <v>3</v>
      </c>
      <c r="I75">
        <v>0.17647058823528999</v>
      </c>
      <c r="J75">
        <v>0.89028696916639005</v>
      </c>
      <c r="K75">
        <v>3</v>
      </c>
      <c r="L75">
        <v>0.89028696916639005</v>
      </c>
      <c r="M75">
        <v>3.3696999999999999</v>
      </c>
      <c r="N75">
        <v>0.35884500103867001</v>
      </c>
      <c r="O75" t="s">
        <v>589</v>
      </c>
      <c r="P75" t="s">
        <v>647</v>
      </c>
      <c r="Q75" t="s">
        <v>648</v>
      </c>
      <c r="R75" t="s">
        <v>649</v>
      </c>
      <c r="S75" t="s">
        <v>308</v>
      </c>
      <c r="T75" t="s">
        <v>650</v>
      </c>
      <c r="U75" t="s">
        <v>308</v>
      </c>
      <c r="V75" t="s">
        <v>308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308</v>
      </c>
      <c r="AC75" t="s">
        <v>308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117" t="str">
        <f t="shared" si="4"/>
        <v>BCD</v>
      </c>
      <c r="AK75" s="117" t="str">
        <f t="shared" si="5"/>
        <v>Archie Ledesma</v>
      </c>
      <c r="AL75" s="117" t="str">
        <f>_xlfn.XLOOKUP(A75,reference!A:A,reference!D:D)</f>
        <v>AH-SnapHeld-Edocument-Prod</v>
      </c>
      <c r="AM75" s="117" t="str">
        <f>IF(A75="AH-SnapHeld-Special Project - B",_xlfn.XLOOKUP(AK75,BP:BP,BO:BO),IF(_xlfn.XLOOKUP(AL75,reference!D:D,reference!C:C)=0,"",_xlfn.XLOOKUP(AL75,reference!D:D,reference!C:C)))</f>
        <v>Edocument</v>
      </c>
    </row>
    <row r="76" spans="1:39">
      <c r="A76" t="s">
        <v>114</v>
      </c>
      <c r="B76" t="s">
        <v>651</v>
      </c>
      <c r="C76" t="s">
        <v>652</v>
      </c>
      <c r="D76">
        <v>9</v>
      </c>
      <c r="E76">
        <v>2.6840833855238002</v>
      </c>
      <c r="F76">
        <v>0.49</v>
      </c>
      <c r="G76">
        <v>0.43333333333333002</v>
      </c>
      <c r="H76">
        <v>3</v>
      </c>
      <c r="I76">
        <v>0.33333333333332998</v>
      </c>
      <c r="J76">
        <v>0.89469446184127999</v>
      </c>
      <c r="K76">
        <v>3</v>
      </c>
      <c r="L76">
        <v>0.89469446184127999</v>
      </c>
      <c r="M76">
        <v>3.3531</v>
      </c>
      <c r="N76">
        <v>0.14613342876741001</v>
      </c>
      <c r="O76" t="s">
        <v>653</v>
      </c>
      <c r="P76" t="s">
        <v>654</v>
      </c>
      <c r="Q76" t="s">
        <v>655</v>
      </c>
      <c r="R76" t="s">
        <v>656</v>
      </c>
      <c r="S76" t="s">
        <v>308</v>
      </c>
      <c r="T76" t="s">
        <v>657</v>
      </c>
      <c r="U76" t="s">
        <v>308</v>
      </c>
      <c r="V76" t="s">
        <v>308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308</v>
      </c>
      <c r="AC76" t="s">
        <v>308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17" t="str">
        <f t="shared" si="4"/>
        <v>BCD</v>
      </c>
      <c r="AK76" s="117" t="str">
        <f t="shared" si="5"/>
        <v>Carejun Umbao</v>
      </c>
      <c r="AL76" s="117" t="str">
        <f>_xlfn.XLOOKUP(A76,reference!A:A,reference!D:D)</f>
        <v>AH-SnapHeld-Edocument-Prod</v>
      </c>
      <c r="AM76" s="117" t="str">
        <f>IF(A76="AH-SnapHeld-Special Project - B",_xlfn.XLOOKUP(AK76,BP:BP,BO:BO),IF(_xlfn.XLOOKUP(AL76,reference!D:D,reference!C:C)=0,"",_xlfn.XLOOKUP(AL76,reference!D:D,reference!C:C)))</f>
        <v>Edocument</v>
      </c>
    </row>
    <row r="77" spans="1:39">
      <c r="A77" t="s">
        <v>114</v>
      </c>
      <c r="B77" t="s">
        <v>658</v>
      </c>
      <c r="C77" t="s">
        <v>659</v>
      </c>
      <c r="D77">
        <v>12</v>
      </c>
      <c r="E77">
        <v>4.2890842805061</v>
      </c>
      <c r="F77">
        <v>0.89219999999999999</v>
      </c>
      <c r="G77">
        <v>0.13694444444444001</v>
      </c>
      <c r="H77">
        <v>5</v>
      </c>
      <c r="I77">
        <v>0.41666666666667002</v>
      </c>
      <c r="J77">
        <v>1.7871184502109001</v>
      </c>
      <c r="K77">
        <v>5</v>
      </c>
      <c r="L77">
        <v>1.7871184502109001</v>
      </c>
      <c r="M77">
        <v>2.7978000000000001</v>
      </c>
      <c r="N77">
        <v>0.31889341625563</v>
      </c>
      <c r="O77" t="s">
        <v>647</v>
      </c>
      <c r="P77" t="s">
        <v>473</v>
      </c>
      <c r="Q77" t="s">
        <v>660</v>
      </c>
      <c r="R77" t="s">
        <v>321</v>
      </c>
      <c r="S77" t="s">
        <v>308</v>
      </c>
      <c r="T77" t="s">
        <v>661</v>
      </c>
      <c r="U77" t="s">
        <v>308</v>
      </c>
      <c r="V77" t="s">
        <v>308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308</v>
      </c>
      <c r="AC77" t="s">
        <v>308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117" t="str">
        <f t="shared" si="4"/>
        <v>BCD</v>
      </c>
      <c r="AK77" s="117" t="str">
        <f t="shared" si="5"/>
        <v>Divine Grace Benignos</v>
      </c>
      <c r="AL77" s="117" t="str">
        <f>_xlfn.XLOOKUP(A77,reference!A:A,reference!D:D)</f>
        <v>AH-SnapHeld-Edocument-Prod</v>
      </c>
      <c r="AM77" s="117" t="str">
        <f>IF(A77="AH-SnapHeld-Special Project - B",_xlfn.XLOOKUP(AK77,BP:BP,BO:BO),IF(_xlfn.XLOOKUP(AL77,reference!D:D,reference!C:C)=0,"",_xlfn.XLOOKUP(AL77,reference!D:D,reference!C:C)))</f>
        <v>Edocument</v>
      </c>
    </row>
    <row r="78" spans="1:39">
      <c r="A78" t="s">
        <v>114</v>
      </c>
      <c r="B78" t="s">
        <v>662</v>
      </c>
      <c r="C78" t="s">
        <v>663</v>
      </c>
      <c r="D78">
        <v>12</v>
      </c>
      <c r="E78">
        <v>5.8260911783268998</v>
      </c>
      <c r="F78">
        <v>1.1103000000000001</v>
      </c>
      <c r="G78">
        <v>0.38638888888889</v>
      </c>
      <c r="H78">
        <v>1</v>
      </c>
      <c r="I78">
        <v>8.3333333333332996E-2</v>
      </c>
      <c r="J78">
        <v>0.48550759819390998</v>
      </c>
      <c r="K78">
        <v>1</v>
      </c>
      <c r="L78">
        <v>0.48550759819390998</v>
      </c>
      <c r="M78">
        <v>2.0596999999999999</v>
      </c>
      <c r="N78">
        <v>0.53905908627470001</v>
      </c>
      <c r="O78" t="s">
        <v>482</v>
      </c>
      <c r="P78" t="s">
        <v>664</v>
      </c>
      <c r="Q78" t="s">
        <v>579</v>
      </c>
      <c r="R78" t="s">
        <v>665</v>
      </c>
      <c r="S78" t="s">
        <v>308</v>
      </c>
      <c r="T78" t="s">
        <v>308</v>
      </c>
      <c r="U78" t="s">
        <v>308</v>
      </c>
      <c r="V78" t="s">
        <v>308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308</v>
      </c>
      <c r="AC78" t="s">
        <v>308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17" t="str">
        <f t="shared" si="4"/>
        <v>BCD</v>
      </c>
      <c r="AK78" s="117" t="str">
        <f t="shared" si="5"/>
        <v>LA Blessed Ann Gonzales</v>
      </c>
      <c r="AL78" s="117" t="str">
        <f>_xlfn.XLOOKUP(A78,reference!A:A,reference!D:D)</f>
        <v>AH-SnapHeld-Edocument-Prod</v>
      </c>
      <c r="AM78" s="117" t="str">
        <f>IF(A78="AH-SnapHeld-Special Project - B",_xlfn.XLOOKUP(AK78,BP:BP,BO:BO),IF(_xlfn.XLOOKUP(AL78,reference!D:D,reference!C:C)=0,"",_xlfn.XLOOKUP(AL78,reference!D:D,reference!C:C)))</f>
        <v>Edocument</v>
      </c>
    </row>
    <row r="79" spans="1:39">
      <c r="A79" t="s">
        <v>114</v>
      </c>
      <c r="B79" t="s">
        <v>666</v>
      </c>
      <c r="C79" t="s">
        <v>667</v>
      </c>
      <c r="D79">
        <v>19</v>
      </c>
      <c r="E79">
        <v>6.3955836811633002</v>
      </c>
      <c r="F79">
        <v>0.2369</v>
      </c>
      <c r="G79">
        <v>0.75083333333333013</v>
      </c>
      <c r="H79">
        <v>5</v>
      </c>
      <c r="I79">
        <v>0.26315789473683998</v>
      </c>
      <c r="J79">
        <v>1.6830483371481999</v>
      </c>
      <c r="K79">
        <v>5</v>
      </c>
      <c r="L79">
        <v>1.6830483371481999</v>
      </c>
      <c r="M79">
        <v>2.9708000000000001</v>
      </c>
      <c r="N79">
        <v>7.9742830214084001E-2</v>
      </c>
      <c r="O79" t="s">
        <v>668</v>
      </c>
      <c r="P79" t="s">
        <v>468</v>
      </c>
      <c r="Q79" t="s">
        <v>440</v>
      </c>
      <c r="R79" t="s">
        <v>541</v>
      </c>
      <c r="S79" t="s">
        <v>308</v>
      </c>
      <c r="T79" t="s">
        <v>669</v>
      </c>
      <c r="U79" t="s">
        <v>308</v>
      </c>
      <c r="V79" t="s">
        <v>308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308</v>
      </c>
      <c r="AC79" t="s">
        <v>308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117" t="str">
        <f t="shared" si="4"/>
        <v>BCD</v>
      </c>
      <c r="AK79" s="117" t="str">
        <f t="shared" si="5"/>
        <v>Narciso Aguilar</v>
      </c>
      <c r="AL79" s="117" t="str">
        <f>_xlfn.XLOOKUP(A79,reference!A:A,reference!D:D)</f>
        <v>AH-SnapHeld-Edocument-Prod</v>
      </c>
      <c r="AM79" s="117" t="str">
        <f>IF(A79="AH-SnapHeld-Special Project - B",_xlfn.XLOOKUP(AK79,BP:BP,BO:BO),IF(_xlfn.XLOOKUP(AL79,reference!D:D,reference!C:C)=0,"",_xlfn.XLOOKUP(AL79,reference!D:D,reference!C:C)))</f>
        <v>Edocument</v>
      </c>
    </row>
    <row r="80" spans="1:39">
      <c r="A80" t="s">
        <v>125</v>
      </c>
      <c r="B80" t="s">
        <v>670</v>
      </c>
      <c r="C80" t="s">
        <v>671</v>
      </c>
      <c r="D80">
        <v>52</v>
      </c>
      <c r="E80">
        <v>18.102697998259</v>
      </c>
      <c r="F80">
        <v>0.68610000000000004</v>
      </c>
      <c r="G80">
        <v>0.35083333333333</v>
      </c>
      <c r="H80">
        <v>10</v>
      </c>
      <c r="I80">
        <v>0.19230769230768999</v>
      </c>
      <c r="J80">
        <v>3.4812880765882999</v>
      </c>
      <c r="K80">
        <v>10</v>
      </c>
      <c r="L80">
        <v>3.4812880765882999</v>
      </c>
      <c r="M80">
        <v>2.8725000000000001</v>
      </c>
      <c r="N80">
        <v>0.23885117493472999</v>
      </c>
      <c r="O80" t="s">
        <v>319</v>
      </c>
      <c r="P80" t="s">
        <v>501</v>
      </c>
      <c r="Q80" t="s">
        <v>672</v>
      </c>
      <c r="R80" t="s">
        <v>463</v>
      </c>
      <c r="S80" t="s">
        <v>308</v>
      </c>
      <c r="T80" t="s">
        <v>673</v>
      </c>
      <c r="U80" t="s">
        <v>308</v>
      </c>
      <c r="V80" t="s">
        <v>308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308</v>
      </c>
      <c r="AC80" t="s">
        <v>308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117" t="str">
        <f t="shared" si="4"/>
        <v>BTG</v>
      </c>
      <c r="AK80" s="117" t="str">
        <f t="shared" si="5"/>
        <v>Aljon Maranan</v>
      </c>
      <c r="AL80" s="117" t="str">
        <f>_xlfn.XLOOKUP(A80,reference!A:A,reference!D:D)</f>
        <v>AH-SnapHeld-PTCall-Prod</v>
      </c>
      <c r="AM80" s="117" t="str">
        <f>IF(A80="AH-SnapHeld-Special Project - B",_xlfn.XLOOKUP(AK80,BP:BP,BO:BO),IF(_xlfn.XLOOKUP(AL80,reference!D:D,reference!C:C)=0,"",_xlfn.XLOOKUP(AL80,reference!D:D,reference!C:C)))</f>
        <v>PCAH</v>
      </c>
    </row>
    <row r="81" spans="1:39">
      <c r="A81" t="s">
        <v>125</v>
      </c>
      <c r="B81" t="s">
        <v>674</v>
      </c>
      <c r="C81" t="s">
        <v>675</v>
      </c>
      <c r="D81">
        <v>56</v>
      </c>
      <c r="E81">
        <v>16.199485087795001</v>
      </c>
      <c r="F81">
        <v>1.4447000000000001</v>
      </c>
      <c r="G81">
        <v>3.0277777777778001E-2</v>
      </c>
      <c r="H81">
        <v>3</v>
      </c>
      <c r="I81">
        <v>5.3571428571428999E-2</v>
      </c>
      <c r="J81">
        <v>0.86782955827474995</v>
      </c>
      <c r="K81">
        <v>3</v>
      </c>
      <c r="L81">
        <v>0.86782955827474995</v>
      </c>
      <c r="M81">
        <v>3.4569000000000001</v>
      </c>
      <c r="N81">
        <v>0.41791778761317999</v>
      </c>
      <c r="O81" t="s">
        <v>319</v>
      </c>
      <c r="P81" t="s">
        <v>676</v>
      </c>
      <c r="Q81" t="s">
        <v>366</v>
      </c>
      <c r="R81" t="s">
        <v>319</v>
      </c>
      <c r="S81" t="s">
        <v>308</v>
      </c>
      <c r="T81" t="s">
        <v>677</v>
      </c>
      <c r="U81" t="s">
        <v>308</v>
      </c>
      <c r="V81" t="s">
        <v>308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308</v>
      </c>
      <c r="AC81" t="s">
        <v>308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117" t="str">
        <f t="shared" si="4"/>
        <v>BTG</v>
      </c>
      <c r="AK81" s="117" t="str">
        <f t="shared" si="5"/>
        <v>Jayvee Recinto</v>
      </c>
      <c r="AL81" s="117" t="str">
        <f>_xlfn.XLOOKUP(A81,reference!A:A,reference!D:D)</f>
        <v>AH-SnapHeld-PTCall-Prod</v>
      </c>
      <c r="AM81" s="117" t="str">
        <f>IF(A81="AH-SnapHeld-Special Project - B",_xlfn.XLOOKUP(AK81,BP:BP,BO:BO),IF(_xlfn.XLOOKUP(AL81,reference!D:D,reference!C:C)=0,"",_xlfn.XLOOKUP(AL81,reference!D:D,reference!C:C)))</f>
        <v>PCAH</v>
      </c>
    </row>
    <row r="82" spans="1:39">
      <c r="A82" t="s">
        <v>125</v>
      </c>
      <c r="B82" t="s">
        <v>678</v>
      </c>
      <c r="C82" t="s">
        <v>679</v>
      </c>
      <c r="D82">
        <v>47</v>
      </c>
      <c r="E82">
        <v>13.118231550741999</v>
      </c>
      <c r="F82">
        <v>2.1671999999999998</v>
      </c>
      <c r="G82">
        <v>0.12638888888888999</v>
      </c>
      <c r="H82">
        <v>8</v>
      </c>
      <c r="I82">
        <v>0.17021276595745</v>
      </c>
      <c r="J82">
        <v>2.2328904767220998</v>
      </c>
      <c r="K82">
        <v>8</v>
      </c>
      <c r="L82">
        <v>2.2328904767220998</v>
      </c>
      <c r="M82">
        <v>3.5828000000000002</v>
      </c>
      <c r="N82">
        <v>0.60489003014401999</v>
      </c>
      <c r="O82" t="s">
        <v>319</v>
      </c>
      <c r="P82" t="s">
        <v>624</v>
      </c>
      <c r="Q82" t="s">
        <v>354</v>
      </c>
      <c r="R82" t="s">
        <v>395</v>
      </c>
      <c r="S82" t="s">
        <v>308</v>
      </c>
      <c r="T82" t="s">
        <v>680</v>
      </c>
      <c r="U82" t="s">
        <v>308</v>
      </c>
      <c r="V82" t="s">
        <v>308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308</v>
      </c>
      <c r="AC82" t="s">
        <v>308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117" t="str">
        <f t="shared" si="4"/>
        <v>BTG</v>
      </c>
      <c r="AK82" s="117" t="str">
        <f t="shared" si="5"/>
        <v>Joshua Tiquis</v>
      </c>
      <c r="AL82" s="117" t="str">
        <f>_xlfn.XLOOKUP(A82,reference!A:A,reference!D:D)</f>
        <v>AH-SnapHeld-PTCall-Prod</v>
      </c>
      <c r="AM82" s="117" t="str">
        <f>IF(A82="AH-SnapHeld-Special Project - B",_xlfn.XLOOKUP(AK82,BP:BP,BO:BO),IF(_xlfn.XLOOKUP(AL82,reference!D:D,reference!C:C)=0,"",_xlfn.XLOOKUP(AL82,reference!D:D,reference!C:C)))</f>
        <v>PCAH</v>
      </c>
    </row>
    <row r="83" spans="1:39">
      <c r="A83" t="s">
        <v>125</v>
      </c>
      <c r="B83" t="s">
        <v>681</v>
      </c>
      <c r="C83" t="s">
        <v>682</v>
      </c>
      <c r="D83">
        <v>18</v>
      </c>
      <c r="E83">
        <v>13.16559391457</v>
      </c>
      <c r="F83">
        <v>0.44330000000000003</v>
      </c>
      <c r="G83">
        <v>2.2499999999999999E-2</v>
      </c>
      <c r="H83">
        <v>2</v>
      </c>
      <c r="I83">
        <v>0.11111111111110999</v>
      </c>
      <c r="J83">
        <v>1.4628437682855</v>
      </c>
      <c r="K83">
        <v>2</v>
      </c>
      <c r="L83">
        <v>1.4628437682855</v>
      </c>
      <c r="M83">
        <v>1.3672</v>
      </c>
      <c r="N83">
        <v>0.32423932124048999</v>
      </c>
      <c r="O83" t="s">
        <v>304</v>
      </c>
      <c r="P83" t="s">
        <v>683</v>
      </c>
      <c r="Q83" t="s">
        <v>684</v>
      </c>
      <c r="R83" t="s">
        <v>613</v>
      </c>
      <c r="S83" t="s">
        <v>308</v>
      </c>
      <c r="T83" t="s">
        <v>685</v>
      </c>
      <c r="U83" t="s">
        <v>308</v>
      </c>
      <c r="V83" t="s">
        <v>308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308</v>
      </c>
      <c r="AC83" t="s">
        <v>308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117" t="str">
        <f t="shared" si="4"/>
        <v>BTG</v>
      </c>
      <c r="AK83" s="117" t="str">
        <f t="shared" si="5"/>
        <v>Richard John Reyes</v>
      </c>
      <c r="AL83" s="117" t="str">
        <f>_xlfn.XLOOKUP(A83,reference!A:A,reference!D:D)</f>
        <v>AH-SnapHeld-PTCall-Prod</v>
      </c>
      <c r="AM83" s="117" t="str">
        <f>IF(A83="AH-SnapHeld-Special Project - B",_xlfn.XLOOKUP(AK83,BP:BP,BO:BO),IF(_xlfn.XLOOKUP(AL83,reference!D:D,reference!C:C)=0,"",_xlfn.XLOOKUP(AL83,reference!D:D,reference!C:C)))</f>
        <v>PCAH</v>
      </c>
    </row>
    <row r="84" spans="1:39">
      <c r="A84" t="s">
        <v>125</v>
      </c>
      <c r="B84" t="s">
        <v>386</v>
      </c>
      <c r="C84" t="s">
        <v>387</v>
      </c>
      <c r="D84">
        <v>30</v>
      </c>
      <c r="E84">
        <v>17.413512885999999</v>
      </c>
      <c r="F84">
        <v>0.70250000000000001</v>
      </c>
      <c r="G84">
        <v>3.6111111111110997E-2</v>
      </c>
      <c r="H84">
        <v>0</v>
      </c>
      <c r="I84">
        <v>0</v>
      </c>
      <c r="J84">
        <v>0</v>
      </c>
      <c r="K84">
        <v>0</v>
      </c>
      <c r="L84">
        <v>0</v>
      </c>
      <c r="M84">
        <v>1.7228000000000001</v>
      </c>
      <c r="N84">
        <v>0.40776642674716002</v>
      </c>
      <c r="O84" t="s">
        <v>319</v>
      </c>
      <c r="P84" t="s">
        <v>684</v>
      </c>
      <c r="Q84" t="s">
        <v>327</v>
      </c>
      <c r="R84" t="s">
        <v>613</v>
      </c>
      <c r="S84" t="s">
        <v>308</v>
      </c>
      <c r="T84" t="s">
        <v>686</v>
      </c>
      <c r="U84" t="s">
        <v>308</v>
      </c>
      <c r="V84" t="s">
        <v>308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308</v>
      </c>
      <c r="AC84" t="s">
        <v>308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117" t="str">
        <f t="shared" si="4"/>
        <v>BTG</v>
      </c>
      <c r="AK84" s="117" t="str">
        <f t="shared" si="5"/>
        <v>Angelo Jade Garcia</v>
      </c>
      <c r="AL84" s="117" t="str">
        <f>_xlfn.XLOOKUP(A84,reference!A:A,reference!D:D)</f>
        <v>AH-SnapHeld-PTCall-Prod</v>
      </c>
      <c r="AM84" s="117" t="str">
        <f>IF(A84="AH-SnapHeld-Special Project - B",_xlfn.XLOOKUP(AK84,BP:BP,BO:BO),IF(_xlfn.XLOOKUP(AL84,reference!D:D,reference!C:C)=0,"",_xlfn.XLOOKUP(AL84,reference!D:D,reference!C:C)))</f>
        <v>PCAH</v>
      </c>
    </row>
    <row r="85" spans="1:39">
      <c r="A85" t="s">
        <v>125</v>
      </c>
      <c r="B85" t="s">
        <v>416</v>
      </c>
      <c r="C85" t="s">
        <v>417</v>
      </c>
      <c r="D85">
        <v>16</v>
      </c>
      <c r="E85">
        <v>10.083821768449999</v>
      </c>
      <c r="F85">
        <v>0.25530000000000003</v>
      </c>
      <c r="G85">
        <v>7.4999999999999997E-3</v>
      </c>
      <c r="H85">
        <v>0</v>
      </c>
      <c r="I85">
        <v>0</v>
      </c>
      <c r="J85">
        <v>0</v>
      </c>
      <c r="K85">
        <v>0</v>
      </c>
      <c r="L85">
        <v>0</v>
      </c>
      <c r="M85">
        <v>1.5867</v>
      </c>
      <c r="N85">
        <v>0.16089998109282999</v>
      </c>
      <c r="O85" t="s">
        <v>613</v>
      </c>
      <c r="P85" t="s">
        <v>606</v>
      </c>
      <c r="Q85" t="s">
        <v>687</v>
      </c>
      <c r="R85" t="s">
        <v>319</v>
      </c>
      <c r="S85" t="s">
        <v>308</v>
      </c>
      <c r="T85" t="s">
        <v>688</v>
      </c>
      <c r="U85" t="s">
        <v>308</v>
      </c>
      <c r="V85" t="s">
        <v>308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308</v>
      </c>
      <c r="AC85" t="s">
        <v>308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117" t="str">
        <f t="shared" si="4"/>
        <v>BTG</v>
      </c>
      <c r="AK85" s="117" t="str">
        <f t="shared" si="5"/>
        <v>Christian Sulabo</v>
      </c>
      <c r="AL85" s="117" t="str">
        <f>_xlfn.XLOOKUP(A85,reference!A:A,reference!D:D)</f>
        <v>AH-SnapHeld-PTCall-Prod</v>
      </c>
      <c r="AM85" s="117" t="str">
        <f>IF(A85="AH-SnapHeld-Special Project - B",_xlfn.XLOOKUP(AK85,BP:BP,BO:BO),IF(_xlfn.XLOOKUP(AL85,reference!D:D,reference!C:C)=0,"",_xlfn.XLOOKUP(AL85,reference!D:D,reference!C:C)))</f>
        <v>PCAH</v>
      </c>
    </row>
    <row r="86" spans="1:39">
      <c r="A86" t="s">
        <v>125</v>
      </c>
      <c r="B86" t="s">
        <v>438</v>
      </c>
      <c r="C86" t="s">
        <v>439</v>
      </c>
      <c r="D86">
        <v>12</v>
      </c>
      <c r="E86">
        <v>7.5920536505124989</v>
      </c>
      <c r="F86">
        <v>0.88109999999999999</v>
      </c>
      <c r="G86">
        <v>6.25E-2</v>
      </c>
      <c r="H86">
        <v>4</v>
      </c>
      <c r="I86">
        <v>0.33333333333332998</v>
      </c>
      <c r="J86">
        <v>2.5306845501708</v>
      </c>
      <c r="K86">
        <v>4</v>
      </c>
      <c r="L86">
        <v>2.5306845501708</v>
      </c>
      <c r="M86">
        <v>1.5806</v>
      </c>
      <c r="N86">
        <v>0.55744653928887999</v>
      </c>
      <c r="O86" t="s">
        <v>319</v>
      </c>
      <c r="P86" t="s">
        <v>689</v>
      </c>
      <c r="Q86" t="s">
        <v>690</v>
      </c>
      <c r="R86" t="s">
        <v>578</v>
      </c>
      <c r="S86" t="s">
        <v>308</v>
      </c>
      <c r="T86" t="s">
        <v>691</v>
      </c>
      <c r="U86" t="s">
        <v>308</v>
      </c>
      <c r="V86" t="s">
        <v>308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308</v>
      </c>
      <c r="AC86" t="s">
        <v>308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117" t="str">
        <f t="shared" si="4"/>
        <v>BTG</v>
      </c>
      <c r="AK86" s="117" t="str">
        <f t="shared" si="5"/>
        <v>Jerimo Dave Reyes</v>
      </c>
      <c r="AL86" s="117" t="str">
        <f>_xlfn.XLOOKUP(A86,reference!A:A,reference!D:D)</f>
        <v>AH-SnapHeld-PTCall-Prod</v>
      </c>
      <c r="AM86" s="117" t="str">
        <f>IF(A86="AH-SnapHeld-Special Project - B",_xlfn.XLOOKUP(AK86,BP:BP,BO:BO),IF(_xlfn.XLOOKUP(AL86,reference!D:D,reference!C:C)=0,"",_xlfn.XLOOKUP(AL86,reference!D:D,reference!C:C)))</f>
        <v>PCAH</v>
      </c>
    </row>
    <row r="87" spans="1:39">
      <c r="A87" t="s">
        <v>125</v>
      </c>
      <c r="B87" t="s">
        <v>443</v>
      </c>
      <c r="C87" t="s">
        <v>444</v>
      </c>
      <c r="D87">
        <v>16</v>
      </c>
      <c r="E87">
        <v>10.590415673815</v>
      </c>
      <c r="F87">
        <v>0.65749999999999997</v>
      </c>
      <c r="G87">
        <v>1.7500000000000002E-2</v>
      </c>
      <c r="H87">
        <v>6</v>
      </c>
      <c r="I87">
        <v>0.375</v>
      </c>
      <c r="J87">
        <v>3.9714058776807</v>
      </c>
      <c r="K87">
        <v>6</v>
      </c>
      <c r="L87">
        <v>3.9714058776807</v>
      </c>
      <c r="M87">
        <v>1.5107999999999999</v>
      </c>
      <c r="N87">
        <v>0.43519989409583998</v>
      </c>
      <c r="O87" t="s">
        <v>319</v>
      </c>
      <c r="P87" t="s">
        <v>518</v>
      </c>
      <c r="Q87" t="s">
        <v>364</v>
      </c>
      <c r="R87" t="s">
        <v>312</v>
      </c>
      <c r="S87" t="s">
        <v>308</v>
      </c>
      <c r="T87" t="s">
        <v>692</v>
      </c>
      <c r="U87" t="s">
        <v>308</v>
      </c>
      <c r="V87" t="s">
        <v>308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308</v>
      </c>
      <c r="AC87" t="s">
        <v>308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117" t="str">
        <f t="shared" si="4"/>
        <v>BTG</v>
      </c>
      <c r="AK87" s="117" t="str">
        <f t="shared" si="5"/>
        <v>Jerlyn Albiso</v>
      </c>
      <c r="AL87" s="117" t="str">
        <f>_xlfn.XLOOKUP(A87,reference!A:A,reference!D:D)</f>
        <v>AH-SnapHeld-PTCall-Prod</v>
      </c>
      <c r="AM87" s="117" t="str">
        <f>IF(A87="AH-SnapHeld-Special Project - B",_xlfn.XLOOKUP(AK87,BP:BP,BO:BO),IF(_xlfn.XLOOKUP(AL87,reference!D:D,reference!C:C)=0,"",_xlfn.XLOOKUP(AL87,reference!D:D,reference!C:C)))</f>
        <v>PCAH</v>
      </c>
    </row>
    <row r="88" spans="1:39">
      <c r="A88" t="s">
        <v>125</v>
      </c>
      <c r="B88" t="s">
        <v>447</v>
      </c>
      <c r="C88" t="s">
        <v>448</v>
      </c>
      <c r="D88">
        <v>17</v>
      </c>
      <c r="E88">
        <v>11.247849675796999</v>
      </c>
      <c r="F88">
        <v>0.61919999999999997</v>
      </c>
      <c r="G88">
        <v>0.16194444444444001</v>
      </c>
      <c r="H88">
        <v>5</v>
      </c>
      <c r="I88">
        <v>0.29411764705881999</v>
      </c>
      <c r="J88">
        <v>3.3081910811167998</v>
      </c>
      <c r="K88">
        <v>5</v>
      </c>
      <c r="L88">
        <v>3.3081910811167998</v>
      </c>
      <c r="M88">
        <v>1.5114000000000001</v>
      </c>
      <c r="N88">
        <v>0.40968638348551001</v>
      </c>
      <c r="O88" t="s">
        <v>319</v>
      </c>
      <c r="P88" t="s">
        <v>533</v>
      </c>
      <c r="Q88" t="s">
        <v>693</v>
      </c>
      <c r="R88" t="s">
        <v>437</v>
      </c>
      <c r="S88" t="s">
        <v>308</v>
      </c>
      <c r="T88" t="s">
        <v>694</v>
      </c>
      <c r="U88" t="s">
        <v>308</v>
      </c>
      <c r="V88" t="s">
        <v>308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308</v>
      </c>
      <c r="AC88" t="s">
        <v>308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117" t="str">
        <f t="shared" si="4"/>
        <v>BTG</v>
      </c>
      <c r="AK88" s="117" t="str">
        <f t="shared" si="5"/>
        <v>Jershey Macaraig</v>
      </c>
      <c r="AL88" s="117" t="str">
        <f>_xlfn.XLOOKUP(A88,reference!A:A,reference!D:D)</f>
        <v>AH-SnapHeld-PTCall-Prod</v>
      </c>
      <c r="AM88" s="117" t="str">
        <f>IF(A88="AH-SnapHeld-Special Project - B",_xlfn.XLOOKUP(AK88,BP:BP,BO:BO),IF(_xlfn.XLOOKUP(AL88,reference!D:D,reference!C:C)=0,"",_xlfn.XLOOKUP(AL88,reference!D:D,reference!C:C)))</f>
        <v>PCAH</v>
      </c>
    </row>
    <row r="89" spans="1:39">
      <c r="A89" t="s">
        <v>125</v>
      </c>
      <c r="B89" t="s">
        <v>452</v>
      </c>
      <c r="C89" t="s">
        <v>453</v>
      </c>
      <c r="D89">
        <v>19</v>
      </c>
      <c r="E89">
        <v>12.068089430894</v>
      </c>
      <c r="F89">
        <v>0.59140000000000004</v>
      </c>
      <c r="G89">
        <v>7.4999999999999997E-2</v>
      </c>
      <c r="H89">
        <v>2</v>
      </c>
      <c r="I89">
        <v>0.10526315789474</v>
      </c>
      <c r="J89">
        <v>1.270325203252</v>
      </c>
      <c r="K89">
        <v>2</v>
      </c>
      <c r="L89">
        <v>1.270325203252</v>
      </c>
      <c r="M89">
        <v>1.5744</v>
      </c>
      <c r="N89">
        <v>0.37563516260162999</v>
      </c>
      <c r="O89" t="s">
        <v>319</v>
      </c>
      <c r="P89" t="s">
        <v>695</v>
      </c>
      <c r="Q89" t="s">
        <v>488</v>
      </c>
      <c r="R89" t="s">
        <v>307</v>
      </c>
      <c r="S89" t="s">
        <v>308</v>
      </c>
      <c r="T89" t="s">
        <v>696</v>
      </c>
      <c r="U89" t="s">
        <v>308</v>
      </c>
      <c r="V89" t="s">
        <v>308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308</v>
      </c>
      <c r="AC89" t="s">
        <v>308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117" t="str">
        <f t="shared" si="4"/>
        <v>BTG</v>
      </c>
      <c r="AK89" s="117" t="str">
        <f t="shared" si="5"/>
        <v>Jhessusa Andal</v>
      </c>
      <c r="AL89" s="117" t="str">
        <f>_xlfn.XLOOKUP(A89,reference!A:A,reference!D:D)</f>
        <v>AH-SnapHeld-PTCall-Prod</v>
      </c>
      <c r="AM89" s="117" t="str">
        <f>IF(A89="AH-SnapHeld-Special Project - B",_xlfn.XLOOKUP(AK89,BP:BP,BO:BO),IF(_xlfn.XLOOKUP(AL89,reference!D:D,reference!C:C)=0,"",_xlfn.XLOOKUP(AL89,reference!D:D,reference!C:C)))</f>
        <v>PCAH</v>
      </c>
    </row>
    <row r="90" spans="1:39">
      <c r="A90" t="s">
        <v>125</v>
      </c>
      <c r="B90" t="s">
        <v>456</v>
      </c>
      <c r="C90" t="s">
        <v>457</v>
      </c>
      <c r="D90">
        <v>20</v>
      </c>
      <c r="E90">
        <v>10.942116205274001</v>
      </c>
      <c r="F90">
        <v>0.75190000000000001</v>
      </c>
      <c r="G90">
        <v>0.19194444444444</v>
      </c>
      <c r="H90">
        <v>1</v>
      </c>
      <c r="I90">
        <v>0.05</v>
      </c>
      <c r="J90">
        <v>0.54710581026369998</v>
      </c>
      <c r="K90">
        <v>1</v>
      </c>
      <c r="L90">
        <v>0.54710581026369998</v>
      </c>
      <c r="M90">
        <v>1.8278000000000001</v>
      </c>
      <c r="N90">
        <v>0.41136885873728002</v>
      </c>
      <c r="O90" t="s">
        <v>319</v>
      </c>
      <c r="P90" t="s">
        <v>451</v>
      </c>
      <c r="Q90" t="s">
        <v>697</v>
      </c>
      <c r="R90" t="s">
        <v>437</v>
      </c>
      <c r="S90" t="s">
        <v>308</v>
      </c>
      <c r="T90" t="s">
        <v>308</v>
      </c>
      <c r="U90" t="s">
        <v>308</v>
      </c>
      <c r="V90" t="s">
        <v>308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308</v>
      </c>
      <c r="AC90" t="s">
        <v>308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117" t="str">
        <f t="shared" si="4"/>
        <v>BTG</v>
      </c>
      <c r="AK90" s="117" t="str">
        <f t="shared" si="5"/>
        <v>John Lloyd Violante</v>
      </c>
      <c r="AL90" s="117" t="str">
        <f>_xlfn.XLOOKUP(A90,reference!A:A,reference!D:D)</f>
        <v>AH-SnapHeld-PTCall-Prod</v>
      </c>
      <c r="AM90" s="117" t="str">
        <f>IF(A90="AH-SnapHeld-Special Project - B",_xlfn.XLOOKUP(AK90,BP:BP,BO:BO),IF(_xlfn.XLOOKUP(AL90,reference!D:D,reference!C:C)=0,"",_xlfn.XLOOKUP(AL90,reference!D:D,reference!C:C)))</f>
        <v>PCAH</v>
      </c>
    </row>
    <row r="91" spans="1:39">
      <c r="A91" t="s">
        <v>125</v>
      </c>
      <c r="B91" t="s">
        <v>464</v>
      </c>
      <c r="C91" t="s">
        <v>465</v>
      </c>
      <c r="D91">
        <v>19</v>
      </c>
      <c r="E91">
        <v>11.046511627907</v>
      </c>
      <c r="F91">
        <v>0.78059999999999996</v>
      </c>
      <c r="G91">
        <v>0.10111111111111</v>
      </c>
      <c r="H91">
        <v>7</v>
      </c>
      <c r="I91">
        <v>0.36842105263157998</v>
      </c>
      <c r="J91">
        <v>4.0697674418604999</v>
      </c>
      <c r="K91">
        <v>9</v>
      </c>
      <c r="L91">
        <v>5.2325581395349001</v>
      </c>
      <c r="M91">
        <v>1.72</v>
      </c>
      <c r="N91">
        <v>0.45383720930233001</v>
      </c>
      <c r="O91" t="s">
        <v>319</v>
      </c>
      <c r="P91" t="s">
        <v>698</v>
      </c>
      <c r="Q91" t="s">
        <v>364</v>
      </c>
      <c r="R91" t="s">
        <v>322</v>
      </c>
      <c r="S91" t="s">
        <v>308</v>
      </c>
      <c r="T91" t="s">
        <v>699</v>
      </c>
      <c r="U91" t="s">
        <v>308</v>
      </c>
      <c r="V91" t="s">
        <v>308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308</v>
      </c>
      <c r="AC91" t="s">
        <v>308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117" t="str">
        <f t="shared" si="4"/>
        <v>BTG</v>
      </c>
      <c r="AK91" s="117" t="str">
        <f t="shared" si="5"/>
        <v>Joshua James Maranan</v>
      </c>
      <c r="AL91" s="117" t="str">
        <f>_xlfn.XLOOKUP(A91,reference!A:A,reference!D:D)</f>
        <v>AH-SnapHeld-PTCall-Prod</v>
      </c>
      <c r="AM91" s="117" t="str">
        <f>IF(A91="AH-SnapHeld-Special Project - B",_xlfn.XLOOKUP(AK91,BP:BP,BO:BO),IF(_xlfn.XLOOKUP(AL91,reference!D:D,reference!C:C)=0,"",_xlfn.XLOOKUP(AL91,reference!D:D,reference!C:C)))</f>
        <v>PCAH</v>
      </c>
    </row>
    <row r="92" spans="1:39">
      <c r="A92" t="s">
        <v>125</v>
      </c>
      <c r="B92" t="s">
        <v>474</v>
      </c>
      <c r="C92" t="s">
        <v>475</v>
      </c>
      <c r="D92">
        <v>6</v>
      </c>
      <c r="E92">
        <v>4.1291032964007996</v>
      </c>
      <c r="F92">
        <v>0.72750000000000004</v>
      </c>
      <c r="G92">
        <v>0.15555555555556</v>
      </c>
      <c r="H92">
        <v>1</v>
      </c>
      <c r="I92">
        <v>0.16666666666666999</v>
      </c>
      <c r="J92">
        <v>0.68818388273346998</v>
      </c>
      <c r="K92">
        <v>1</v>
      </c>
      <c r="L92">
        <v>0.68818388273346998</v>
      </c>
      <c r="M92">
        <v>1.4531000000000001</v>
      </c>
      <c r="N92">
        <v>0.50065377468859995</v>
      </c>
      <c r="O92" t="s">
        <v>312</v>
      </c>
      <c r="P92" t="s">
        <v>700</v>
      </c>
      <c r="Q92" t="s">
        <v>701</v>
      </c>
      <c r="R92" t="s">
        <v>683</v>
      </c>
      <c r="S92" t="s">
        <v>308</v>
      </c>
      <c r="T92" t="s">
        <v>308</v>
      </c>
      <c r="U92" t="s">
        <v>308</v>
      </c>
      <c r="V92" t="s">
        <v>308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308</v>
      </c>
      <c r="AC92" t="s">
        <v>308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117" t="str">
        <f t="shared" si="4"/>
        <v>BTG</v>
      </c>
      <c r="AK92" s="117" t="str">
        <f t="shared" si="5"/>
        <v>Kean Jezzel Papa</v>
      </c>
      <c r="AL92" s="117" t="str">
        <f>_xlfn.XLOOKUP(A92,reference!A:A,reference!D:D)</f>
        <v>AH-SnapHeld-PTCall-Prod</v>
      </c>
      <c r="AM92" s="117" t="str">
        <f>IF(A92="AH-SnapHeld-Special Project - B",_xlfn.XLOOKUP(AK92,BP:BP,BO:BO),IF(_xlfn.XLOOKUP(AL92,reference!D:D,reference!C:C)=0,"",_xlfn.XLOOKUP(AL92,reference!D:D,reference!C:C)))</f>
        <v>PCAH</v>
      </c>
    </row>
    <row r="93" spans="1:39">
      <c r="A93" t="s">
        <v>125</v>
      </c>
      <c r="B93" t="s">
        <v>479</v>
      </c>
      <c r="C93" t="s">
        <v>480</v>
      </c>
      <c r="D93">
        <v>10</v>
      </c>
      <c r="E93">
        <v>6.0302719652655998</v>
      </c>
      <c r="F93">
        <v>0.98280000000000001</v>
      </c>
      <c r="G93">
        <v>4.7777777777778002E-2</v>
      </c>
      <c r="H93">
        <v>1</v>
      </c>
      <c r="I93">
        <v>0.1</v>
      </c>
      <c r="J93">
        <v>0.60302719652656001</v>
      </c>
      <c r="K93">
        <v>1</v>
      </c>
      <c r="L93">
        <v>0.60302719652656001</v>
      </c>
      <c r="M93">
        <v>1.6583000000000001</v>
      </c>
      <c r="N93">
        <v>0.59265512874630999</v>
      </c>
      <c r="O93" t="s">
        <v>304</v>
      </c>
      <c r="P93" t="s">
        <v>702</v>
      </c>
      <c r="Q93" t="s">
        <v>703</v>
      </c>
      <c r="R93" t="s">
        <v>527</v>
      </c>
      <c r="S93" t="s">
        <v>308</v>
      </c>
      <c r="T93" t="s">
        <v>704</v>
      </c>
      <c r="U93" t="s">
        <v>308</v>
      </c>
      <c r="V93" t="s">
        <v>308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308</v>
      </c>
      <c r="AC93" t="s">
        <v>308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117" t="str">
        <f t="shared" si="4"/>
        <v>BTG</v>
      </c>
      <c r="AK93" s="117" t="str">
        <f t="shared" si="5"/>
        <v>Kia Delizo</v>
      </c>
      <c r="AL93" s="117" t="str">
        <f>_xlfn.XLOOKUP(A93,reference!A:A,reference!D:D)</f>
        <v>AH-SnapHeld-PTCall-Prod</v>
      </c>
      <c r="AM93" s="117" t="str">
        <f>IF(A93="AH-SnapHeld-Special Project - B",_xlfn.XLOOKUP(AK93,BP:BP,BO:BO),IF(_xlfn.XLOOKUP(AL93,reference!D:D,reference!C:C)=0,"",_xlfn.XLOOKUP(AL93,reference!D:D,reference!C:C)))</f>
        <v>PCAH</v>
      </c>
    </row>
    <row r="94" spans="1:39">
      <c r="A94" t="s">
        <v>125</v>
      </c>
      <c r="B94" t="s">
        <v>484</v>
      </c>
      <c r="C94" t="s">
        <v>485</v>
      </c>
      <c r="D94">
        <v>18</v>
      </c>
      <c r="E94">
        <v>11.164867882396999</v>
      </c>
      <c r="F94">
        <v>0.70169999999999999</v>
      </c>
      <c r="G94">
        <v>1.8055555555556001E-2</v>
      </c>
      <c r="H94">
        <v>0</v>
      </c>
      <c r="I94">
        <v>0</v>
      </c>
      <c r="J94">
        <v>0</v>
      </c>
      <c r="K94">
        <v>0</v>
      </c>
      <c r="L94">
        <v>0</v>
      </c>
      <c r="M94">
        <v>1.6122000000000001</v>
      </c>
      <c r="N94">
        <v>0.43524376628209999</v>
      </c>
      <c r="O94" t="s">
        <v>319</v>
      </c>
      <c r="P94" t="s">
        <v>705</v>
      </c>
      <c r="Q94" t="s">
        <v>706</v>
      </c>
      <c r="R94" t="s">
        <v>312</v>
      </c>
      <c r="S94" t="s">
        <v>308</v>
      </c>
      <c r="T94" t="s">
        <v>707</v>
      </c>
      <c r="U94" t="s">
        <v>308</v>
      </c>
      <c r="V94" t="s">
        <v>308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308</v>
      </c>
      <c r="AC94" t="s">
        <v>308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117" t="str">
        <f t="shared" si="4"/>
        <v>BTG</v>
      </c>
      <c r="AK94" s="117" t="str">
        <f t="shared" si="5"/>
        <v>Liemund Laquerez</v>
      </c>
      <c r="AL94" s="117" t="str">
        <f>_xlfn.XLOOKUP(A94,reference!A:A,reference!D:D)</f>
        <v>AH-SnapHeld-PTCall-Prod</v>
      </c>
      <c r="AM94" s="117" t="str">
        <f>IF(A94="AH-SnapHeld-Special Project - B",_xlfn.XLOOKUP(AK94,BP:BP,BO:BO),IF(_xlfn.XLOOKUP(AL94,reference!D:D,reference!C:C)=0,"",_xlfn.XLOOKUP(AL94,reference!D:D,reference!C:C)))</f>
        <v>PCAH</v>
      </c>
    </row>
    <row r="95" spans="1:39">
      <c r="A95" t="s">
        <v>125</v>
      </c>
      <c r="B95" t="s">
        <v>493</v>
      </c>
      <c r="C95" t="s">
        <v>494</v>
      </c>
      <c r="D95">
        <v>21</v>
      </c>
      <c r="E95">
        <v>13.286093888397</v>
      </c>
      <c r="F95">
        <v>0.56469999999999998</v>
      </c>
      <c r="G95">
        <v>9.1666666666666997E-3</v>
      </c>
      <c r="H95">
        <v>2</v>
      </c>
      <c r="I95">
        <v>9.5238095238094997E-2</v>
      </c>
      <c r="J95">
        <v>1.2653422750854</v>
      </c>
      <c r="K95">
        <v>2</v>
      </c>
      <c r="L95">
        <v>1.2653422750854</v>
      </c>
      <c r="M95">
        <v>1.5806</v>
      </c>
      <c r="N95">
        <v>0.35726939137037</v>
      </c>
      <c r="O95" t="s">
        <v>319</v>
      </c>
      <c r="P95" t="s">
        <v>708</v>
      </c>
      <c r="Q95" t="s">
        <v>709</v>
      </c>
      <c r="R95" t="s">
        <v>319</v>
      </c>
      <c r="S95" t="s">
        <v>308</v>
      </c>
      <c r="T95" t="s">
        <v>710</v>
      </c>
      <c r="U95" t="s">
        <v>308</v>
      </c>
      <c r="V95" t="s">
        <v>308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308</v>
      </c>
      <c r="AC95" t="s">
        <v>308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117" t="str">
        <f t="shared" si="4"/>
        <v>BTG</v>
      </c>
      <c r="AK95" s="117" t="str">
        <f t="shared" si="5"/>
        <v>Maila Donisa</v>
      </c>
      <c r="AL95" s="117" t="str">
        <f>_xlfn.XLOOKUP(A95,reference!A:A,reference!D:D)</f>
        <v>AH-SnapHeld-PTCall-Prod</v>
      </c>
      <c r="AM95" s="117" t="str">
        <f>IF(A95="AH-SnapHeld-Special Project - B",_xlfn.XLOOKUP(AK95,BP:BP,BO:BO),IF(_xlfn.XLOOKUP(AL95,reference!D:D,reference!C:C)=0,"",_xlfn.XLOOKUP(AL95,reference!D:D,reference!C:C)))</f>
        <v>PCAH</v>
      </c>
    </row>
    <row r="96" spans="1:39">
      <c r="A96" t="s">
        <v>125</v>
      </c>
      <c r="B96" t="s">
        <v>499</v>
      </c>
      <c r="C96" t="s">
        <v>500</v>
      </c>
      <c r="D96">
        <v>8</v>
      </c>
      <c r="E96">
        <v>5.3781512605042003</v>
      </c>
      <c r="F96">
        <v>0.89139999999999997</v>
      </c>
      <c r="G96">
        <v>0.18833333333332999</v>
      </c>
      <c r="H96">
        <v>0</v>
      </c>
      <c r="I96">
        <v>0</v>
      </c>
      <c r="J96">
        <v>0</v>
      </c>
      <c r="K96">
        <v>0</v>
      </c>
      <c r="L96">
        <v>0</v>
      </c>
      <c r="M96">
        <v>1.4875</v>
      </c>
      <c r="N96">
        <v>0.59926050420167998</v>
      </c>
      <c r="O96" t="s">
        <v>319</v>
      </c>
      <c r="P96" t="s">
        <v>711</v>
      </c>
      <c r="Q96" t="s">
        <v>712</v>
      </c>
      <c r="R96" t="s">
        <v>327</v>
      </c>
      <c r="S96" t="s">
        <v>308</v>
      </c>
      <c r="T96" t="s">
        <v>713</v>
      </c>
      <c r="U96" t="s">
        <v>308</v>
      </c>
      <c r="V96" t="s">
        <v>308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308</v>
      </c>
      <c r="AC96" t="s">
        <v>308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s="117" t="str">
        <f t="shared" si="4"/>
        <v>BTG</v>
      </c>
      <c r="AK96" s="117" t="str">
        <f t="shared" si="5"/>
        <v>Maria Fidelis Araja</v>
      </c>
      <c r="AL96" s="117" t="str">
        <f>_xlfn.XLOOKUP(A96,reference!A:A,reference!D:D)</f>
        <v>AH-SnapHeld-PTCall-Prod</v>
      </c>
      <c r="AM96" s="117" t="str">
        <f>IF(A96="AH-SnapHeld-Special Project - B",_xlfn.XLOOKUP(AK96,BP:BP,BO:BO),IF(_xlfn.XLOOKUP(AL96,reference!D:D,reference!C:C)=0,"",_xlfn.XLOOKUP(AL96,reference!D:D,reference!C:C)))</f>
        <v>PCAH</v>
      </c>
    </row>
    <row r="97" spans="1:39">
      <c r="A97" t="s">
        <v>125</v>
      </c>
      <c r="B97" t="s">
        <v>505</v>
      </c>
      <c r="C97" t="s">
        <v>506</v>
      </c>
      <c r="D97">
        <v>14</v>
      </c>
      <c r="E97">
        <v>8.9680353596823004</v>
      </c>
      <c r="F97">
        <v>0.71689999999999998</v>
      </c>
      <c r="G97">
        <v>1.3611111111110999E-2</v>
      </c>
      <c r="H97">
        <v>0</v>
      </c>
      <c r="I97">
        <v>0</v>
      </c>
      <c r="J97">
        <v>0</v>
      </c>
      <c r="K97">
        <v>0</v>
      </c>
      <c r="L97">
        <v>0</v>
      </c>
      <c r="M97">
        <v>1.5610999999999999</v>
      </c>
      <c r="N97">
        <v>0.45922746781115997</v>
      </c>
      <c r="O97" t="s">
        <v>304</v>
      </c>
      <c r="P97" t="s">
        <v>468</v>
      </c>
      <c r="Q97" t="s">
        <v>714</v>
      </c>
      <c r="R97" t="s">
        <v>312</v>
      </c>
      <c r="S97" t="s">
        <v>308</v>
      </c>
      <c r="T97" t="s">
        <v>715</v>
      </c>
      <c r="U97" t="s">
        <v>308</v>
      </c>
      <c r="V97" t="s">
        <v>308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308</v>
      </c>
      <c r="AC97" t="s">
        <v>308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117" t="str">
        <f t="shared" si="4"/>
        <v>BTG</v>
      </c>
      <c r="AK97" s="117" t="str">
        <f t="shared" si="5"/>
        <v>Mikee Cryz</v>
      </c>
      <c r="AL97" s="117" t="str">
        <f>_xlfn.XLOOKUP(A97,reference!A:A,reference!D:D)</f>
        <v>AH-SnapHeld-PTCall-Prod</v>
      </c>
      <c r="AM97" s="117" t="str">
        <f>IF(A97="AH-SnapHeld-Special Project - B",_xlfn.XLOOKUP(AK97,BP:BP,BO:BO),IF(_xlfn.XLOOKUP(AL97,reference!D:D,reference!C:C)=0,"",_xlfn.XLOOKUP(AL97,reference!D:D,reference!C:C)))</f>
        <v>PCAH</v>
      </c>
    </row>
    <row r="98" spans="1:39">
      <c r="A98" t="s">
        <v>125</v>
      </c>
      <c r="B98" t="s">
        <v>514</v>
      </c>
      <c r="C98" t="s">
        <v>515</v>
      </c>
      <c r="D98">
        <v>11</v>
      </c>
      <c r="E98">
        <v>6.6077972006968002</v>
      </c>
      <c r="F98">
        <v>1.0758000000000001</v>
      </c>
      <c r="G98">
        <v>3.3888888888889003E-2</v>
      </c>
      <c r="H98">
        <v>2</v>
      </c>
      <c r="I98">
        <v>0.18181818181817999</v>
      </c>
      <c r="J98">
        <v>1.201417672854</v>
      </c>
      <c r="K98">
        <v>2</v>
      </c>
      <c r="L98">
        <v>1.201417672854</v>
      </c>
      <c r="M98">
        <v>1.6647000000000001</v>
      </c>
      <c r="N98">
        <v>0.64624256622815002</v>
      </c>
      <c r="O98" t="s">
        <v>319</v>
      </c>
      <c r="P98" t="s">
        <v>716</v>
      </c>
      <c r="Q98" t="s">
        <v>717</v>
      </c>
      <c r="R98" t="s">
        <v>409</v>
      </c>
      <c r="S98" t="s">
        <v>308</v>
      </c>
      <c r="T98" t="s">
        <v>718</v>
      </c>
      <c r="U98" t="s">
        <v>308</v>
      </c>
      <c r="V98" t="s">
        <v>308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308</v>
      </c>
      <c r="AC98" t="s">
        <v>308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117" t="str">
        <f t="shared" ref="AJ98:AJ129" si="6">LEFT(B98,3)</f>
        <v>BTG</v>
      </c>
      <c r="AK98" s="117" t="str">
        <f t="shared" ref="AK98:AK129" si="7">TRIM(RIGHT(B98, LEN(B98)-3))</f>
        <v>Quene Mae Rotoni</v>
      </c>
      <c r="AL98" s="117" t="str">
        <f>_xlfn.XLOOKUP(A98,reference!A:A,reference!D:D)</f>
        <v>AH-SnapHeld-PTCall-Prod</v>
      </c>
      <c r="AM98" s="117" t="str">
        <f>IF(A98="AH-SnapHeld-Special Project - B",_xlfn.XLOOKUP(AK98,BP:BP,BO:BO),IF(_xlfn.XLOOKUP(AL98,reference!D:D,reference!C:C)=0,"",_xlfn.XLOOKUP(AL98,reference!D:D,reference!C:C)))</f>
        <v>PCAH</v>
      </c>
    </row>
    <row r="99" spans="1:39">
      <c r="A99" t="s">
        <v>125</v>
      </c>
      <c r="B99" t="s">
        <v>519</v>
      </c>
      <c r="C99" t="s">
        <v>520</v>
      </c>
      <c r="D99">
        <v>12</v>
      </c>
      <c r="E99">
        <v>7.804878048780501</v>
      </c>
      <c r="F99">
        <v>0.79169999999999996</v>
      </c>
      <c r="G99">
        <v>4.3611111111111003E-2</v>
      </c>
      <c r="H99">
        <v>1</v>
      </c>
      <c r="I99">
        <v>8.3333333333332996E-2</v>
      </c>
      <c r="J99">
        <v>0.65040650406503997</v>
      </c>
      <c r="K99">
        <v>1</v>
      </c>
      <c r="L99">
        <v>0.65040650406503997</v>
      </c>
      <c r="M99">
        <v>1.5375000000000001</v>
      </c>
      <c r="N99">
        <v>0.51492682926829003</v>
      </c>
      <c r="O99" t="s">
        <v>319</v>
      </c>
      <c r="P99" t="s">
        <v>719</v>
      </c>
      <c r="Q99" t="s">
        <v>720</v>
      </c>
      <c r="R99" t="s">
        <v>721</v>
      </c>
      <c r="S99" t="s">
        <v>308</v>
      </c>
      <c r="T99" t="s">
        <v>722</v>
      </c>
      <c r="U99" t="s">
        <v>308</v>
      </c>
      <c r="V99" t="s">
        <v>308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308</v>
      </c>
      <c r="AC99" t="s">
        <v>308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s="117" t="str">
        <f t="shared" si="6"/>
        <v>BTG</v>
      </c>
      <c r="AK99" s="117" t="str">
        <f t="shared" si="7"/>
        <v>Ramel Ubana</v>
      </c>
      <c r="AL99" s="117" t="str">
        <f>_xlfn.XLOOKUP(A99,reference!A:A,reference!D:D)</f>
        <v>AH-SnapHeld-PTCall-Prod</v>
      </c>
      <c r="AM99" s="117" t="str">
        <f>IF(A99="AH-SnapHeld-Special Project - B",_xlfn.XLOOKUP(AK99,BP:BP,BO:BO),IF(_xlfn.XLOOKUP(AL99,reference!D:D,reference!C:C)=0,"",_xlfn.XLOOKUP(AL99,reference!D:D,reference!C:C)))</f>
        <v>PCAH</v>
      </c>
    </row>
    <row r="100" spans="1:39">
      <c r="A100" t="s">
        <v>125</v>
      </c>
      <c r="B100" t="s">
        <v>528</v>
      </c>
      <c r="C100" t="s">
        <v>529</v>
      </c>
      <c r="D100">
        <v>24</v>
      </c>
      <c r="E100">
        <v>13.257471137381</v>
      </c>
      <c r="F100">
        <v>0.65639999999999998</v>
      </c>
      <c r="G100">
        <v>6.4444444444443999E-2</v>
      </c>
      <c r="H100">
        <v>1</v>
      </c>
      <c r="I100">
        <v>4.1666666666666997E-2</v>
      </c>
      <c r="J100">
        <v>0.55239463072419004</v>
      </c>
      <c r="K100">
        <v>1</v>
      </c>
      <c r="L100">
        <v>0.55239463072419004</v>
      </c>
      <c r="M100">
        <v>1.8103</v>
      </c>
      <c r="N100">
        <v>0.36259183560736002</v>
      </c>
      <c r="O100" t="s">
        <v>319</v>
      </c>
      <c r="P100" t="s">
        <v>723</v>
      </c>
      <c r="Q100" t="s">
        <v>708</v>
      </c>
      <c r="R100" t="s">
        <v>395</v>
      </c>
      <c r="S100" t="s">
        <v>308</v>
      </c>
      <c r="T100" t="s">
        <v>724</v>
      </c>
      <c r="U100" t="s">
        <v>308</v>
      </c>
      <c r="V100" t="s">
        <v>308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308</v>
      </c>
      <c r="AC100" t="s">
        <v>308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117" t="str">
        <f t="shared" si="6"/>
        <v>BTG</v>
      </c>
      <c r="AK100" s="117" t="str">
        <f t="shared" si="7"/>
        <v>Sernad De Silva</v>
      </c>
      <c r="AL100" s="117" t="str">
        <f>_xlfn.XLOOKUP(A100,reference!A:A,reference!D:D)</f>
        <v>AH-SnapHeld-PTCall-Prod</v>
      </c>
      <c r="AM100" s="117" t="str">
        <f>IF(A100="AH-SnapHeld-Special Project - B",_xlfn.XLOOKUP(AK100,BP:BP,BO:BO),IF(_xlfn.XLOOKUP(AL100,reference!D:D,reference!C:C)=0,"",_xlfn.XLOOKUP(AL100,reference!D:D,reference!C:C)))</f>
        <v>PCAH</v>
      </c>
    </row>
    <row r="101" spans="1:39">
      <c r="A101" t="s">
        <v>125</v>
      </c>
      <c r="B101" t="s">
        <v>725</v>
      </c>
      <c r="C101" t="s">
        <v>726</v>
      </c>
      <c r="D101">
        <v>44</v>
      </c>
      <c r="E101">
        <v>13.759459628495</v>
      </c>
      <c r="F101">
        <v>1.4225000000000001</v>
      </c>
      <c r="G101">
        <v>9.5833333333333007E-2</v>
      </c>
      <c r="H101">
        <v>7</v>
      </c>
      <c r="I101">
        <v>0.15909090909091</v>
      </c>
      <c r="J101">
        <v>2.1890049408969001</v>
      </c>
      <c r="K101">
        <v>7</v>
      </c>
      <c r="L101">
        <v>2.1890049408969001</v>
      </c>
      <c r="M101">
        <v>3.1978</v>
      </c>
      <c r="N101">
        <v>0.44483707548939999</v>
      </c>
      <c r="O101" t="s">
        <v>304</v>
      </c>
      <c r="P101" t="s">
        <v>348</v>
      </c>
      <c r="Q101" t="s">
        <v>487</v>
      </c>
      <c r="R101" t="s">
        <v>339</v>
      </c>
      <c r="S101" t="s">
        <v>308</v>
      </c>
      <c r="T101" t="s">
        <v>727</v>
      </c>
      <c r="U101" t="s">
        <v>308</v>
      </c>
      <c r="V101" t="s">
        <v>308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308</v>
      </c>
      <c r="AC101" t="s">
        <v>308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117" t="str">
        <f t="shared" si="6"/>
        <v>ILO</v>
      </c>
      <c r="AK101" s="117" t="str">
        <f t="shared" si="7"/>
        <v xml:space="preserve">	Argelyn Agudo</v>
      </c>
      <c r="AL101" s="117" t="str">
        <f>_xlfn.XLOOKUP(A101,reference!A:A,reference!D:D)</f>
        <v>AH-SnapHeld-PTCall-Prod</v>
      </c>
      <c r="AM101" s="117" t="str">
        <f>IF(A101="AH-SnapHeld-Special Project - B",_xlfn.XLOOKUP(AK101,BP:BP,BO:BO),IF(_xlfn.XLOOKUP(AL101,reference!D:D,reference!C:C)=0,"",_xlfn.XLOOKUP(AL101,reference!D:D,reference!C:C)))</f>
        <v>PCAH</v>
      </c>
    </row>
    <row r="102" spans="1:39">
      <c r="A102" t="s">
        <v>125</v>
      </c>
      <c r="B102" t="s">
        <v>728</v>
      </c>
      <c r="C102" t="s">
        <v>729</v>
      </c>
      <c r="D102">
        <v>53</v>
      </c>
      <c r="E102">
        <v>15.276416671471001</v>
      </c>
      <c r="F102">
        <v>0.93640000000000001</v>
      </c>
      <c r="G102">
        <v>0.48083333333333</v>
      </c>
      <c r="H102">
        <v>7</v>
      </c>
      <c r="I102">
        <v>0.13207547169810999</v>
      </c>
      <c r="J102">
        <v>2.0176399377414</v>
      </c>
      <c r="K102">
        <v>7</v>
      </c>
      <c r="L102">
        <v>2.0176399377414</v>
      </c>
      <c r="M102">
        <v>3.4693999999999998</v>
      </c>
      <c r="N102">
        <v>0.26990257681442997</v>
      </c>
      <c r="O102" t="s">
        <v>319</v>
      </c>
      <c r="P102" t="s">
        <v>709</v>
      </c>
      <c r="Q102" t="s">
        <v>730</v>
      </c>
      <c r="R102" t="s">
        <v>498</v>
      </c>
      <c r="S102" t="s">
        <v>308</v>
      </c>
      <c r="T102" t="s">
        <v>731</v>
      </c>
      <c r="U102" t="s">
        <v>308</v>
      </c>
      <c r="V102" t="s">
        <v>308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308</v>
      </c>
      <c r="AC102" t="s">
        <v>308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s="117" t="str">
        <f t="shared" si="6"/>
        <v>ILO</v>
      </c>
      <c r="AK102" s="117" t="str">
        <f t="shared" si="7"/>
        <v xml:space="preserve">	Daryl Bullo</v>
      </c>
      <c r="AL102" s="117" t="str">
        <f>_xlfn.XLOOKUP(A102,reference!A:A,reference!D:D)</f>
        <v>AH-SnapHeld-PTCall-Prod</v>
      </c>
      <c r="AM102" s="117" t="str">
        <f>IF(A102="AH-SnapHeld-Special Project - B",_xlfn.XLOOKUP(AK102,BP:BP,BO:BO),IF(_xlfn.XLOOKUP(AL102,reference!D:D,reference!C:C)=0,"",_xlfn.XLOOKUP(AL102,reference!D:D,reference!C:C)))</f>
        <v>PCAH</v>
      </c>
    </row>
    <row r="103" spans="1:39">
      <c r="A103" t="s">
        <v>125</v>
      </c>
      <c r="B103" t="s">
        <v>732</v>
      </c>
      <c r="C103" t="s">
        <v>733</v>
      </c>
      <c r="D103">
        <v>24</v>
      </c>
      <c r="E103">
        <v>13.708019191227001</v>
      </c>
      <c r="F103">
        <v>1.2978000000000001</v>
      </c>
      <c r="G103">
        <v>6.5000000000000002E-2</v>
      </c>
      <c r="H103">
        <v>9</v>
      </c>
      <c r="I103">
        <v>0.375</v>
      </c>
      <c r="J103">
        <v>5.1405071967101001</v>
      </c>
      <c r="K103">
        <v>9</v>
      </c>
      <c r="L103">
        <v>5.1405071967101001</v>
      </c>
      <c r="M103">
        <v>1.7507999999999999</v>
      </c>
      <c r="N103">
        <v>0.74126113776558988</v>
      </c>
      <c r="O103" t="s">
        <v>319</v>
      </c>
      <c r="P103" t="s">
        <v>382</v>
      </c>
      <c r="Q103" t="s">
        <v>372</v>
      </c>
      <c r="R103" t="s">
        <v>395</v>
      </c>
      <c r="S103" t="s">
        <v>308</v>
      </c>
      <c r="T103" t="s">
        <v>734</v>
      </c>
      <c r="U103" t="s">
        <v>308</v>
      </c>
      <c r="V103" t="s">
        <v>308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308</v>
      </c>
      <c r="AC103" t="s">
        <v>308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s="117" t="str">
        <f t="shared" si="6"/>
        <v>ILO</v>
      </c>
      <c r="AK103" s="117" t="str">
        <f t="shared" si="7"/>
        <v xml:space="preserve">	Ena Angela Puray</v>
      </c>
      <c r="AL103" s="117" t="str">
        <f>_xlfn.XLOOKUP(A103,reference!A:A,reference!D:D)</f>
        <v>AH-SnapHeld-PTCall-Prod</v>
      </c>
      <c r="AM103" s="117" t="str">
        <f>IF(A103="AH-SnapHeld-Special Project - B",_xlfn.XLOOKUP(AK103,BP:BP,BO:BO),IF(_xlfn.XLOOKUP(AL103,reference!D:D,reference!C:C)=0,"",_xlfn.XLOOKUP(AL103,reference!D:D,reference!C:C)))</f>
        <v>PCAH</v>
      </c>
    </row>
    <row r="104" spans="1:39">
      <c r="A104" t="s">
        <v>125</v>
      </c>
      <c r="B104" t="s">
        <v>341</v>
      </c>
      <c r="C104" t="s">
        <v>342</v>
      </c>
      <c r="D104">
        <v>21</v>
      </c>
      <c r="E104">
        <v>13.775911834164001</v>
      </c>
      <c r="F104">
        <v>0.87329999999999997</v>
      </c>
      <c r="G104">
        <v>0.14555555555555999</v>
      </c>
      <c r="H104">
        <v>5</v>
      </c>
      <c r="I104">
        <v>0.23809523809524</v>
      </c>
      <c r="J104">
        <v>3.2799790081342999</v>
      </c>
      <c r="K104">
        <v>5</v>
      </c>
      <c r="L104">
        <v>3.2799790081342999</v>
      </c>
      <c r="M104">
        <v>1.5244</v>
      </c>
      <c r="N104">
        <v>0.57288113356074999</v>
      </c>
      <c r="O104" t="s">
        <v>319</v>
      </c>
      <c r="P104" t="s">
        <v>735</v>
      </c>
      <c r="Q104" t="s">
        <v>549</v>
      </c>
      <c r="R104" t="s">
        <v>463</v>
      </c>
      <c r="S104" t="s">
        <v>308</v>
      </c>
      <c r="T104" t="s">
        <v>736</v>
      </c>
      <c r="U104" t="s">
        <v>308</v>
      </c>
      <c r="V104" t="s">
        <v>308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308</v>
      </c>
      <c r="AC104" t="s">
        <v>308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s="117" t="str">
        <f t="shared" si="6"/>
        <v>ILO</v>
      </c>
      <c r="AK104" s="117" t="str">
        <f t="shared" si="7"/>
        <v xml:space="preserve">	Kaixen Gail Arceta</v>
      </c>
      <c r="AL104" s="117" t="str">
        <f>_xlfn.XLOOKUP(A104,reference!A:A,reference!D:D)</f>
        <v>AH-SnapHeld-PTCall-Prod</v>
      </c>
      <c r="AM104" s="117" t="str">
        <f>IF(A104="AH-SnapHeld-Special Project - B",_xlfn.XLOOKUP(AK104,BP:BP,BO:BO),IF(_xlfn.XLOOKUP(AL104,reference!D:D,reference!C:C)=0,"",_xlfn.XLOOKUP(AL104,reference!D:D,reference!C:C)))</f>
        <v>PCAH</v>
      </c>
    </row>
    <row r="105" spans="1:39">
      <c r="A105" t="s">
        <v>125</v>
      </c>
      <c r="B105" t="s">
        <v>737</v>
      </c>
      <c r="C105" t="s">
        <v>738</v>
      </c>
      <c r="D105">
        <v>6</v>
      </c>
      <c r="E105">
        <v>11.446012972148001</v>
      </c>
      <c r="F105">
        <v>0.18440000000000001</v>
      </c>
      <c r="G105">
        <v>1.6944444444443998E-2</v>
      </c>
      <c r="H105">
        <v>1</v>
      </c>
      <c r="I105">
        <v>0.16666666666666999</v>
      </c>
      <c r="J105">
        <v>1.9076688286912999</v>
      </c>
      <c r="K105">
        <v>1</v>
      </c>
      <c r="L105">
        <v>1.9076688286912999</v>
      </c>
      <c r="M105">
        <v>0.5242</v>
      </c>
      <c r="N105">
        <v>0.35177413201067997</v>
      </c>
      <c r="O105" t="s">
        <v>319</v>
      </c>
      <c r="P105" t="s">
        <v>739</v>
      </c>
      <c r="Q105" t="s">
        <v>476</v>
      </c>
      <c r="R105" t="s">
        <v>355</v>
      </c>
      <c r="S105" t="s">
        <v>308</v>
      </c>
      <c r="T105" t="s">
        <v>308</v>
      </c>
      <c r="U105" t="s">
        <v>308</v>
      </c>
      <c r="V105" t="s">
        <v>308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308</v>
      </c>
      <c r="AC105" t="s">
        <v>308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s="117" t="str">
        <f t="shared" si="6"/>
        <v>ILO</v>
      </c>
      <c r="AK105" s="117" t="str">
        <f t="shared" si="7"/>
        <v xml:space="preserve">	Laika Resco</v>
      </c>
      <c r="AL105" s="117" t="str">
        <f>_xlfn.XLOOKUP(A105,reference!A:A,reference!D:D)</f>
        <v>AH-SnapHeld-PTCall-Prod</v>
      </c>
      <c r="AM105" s="117" t="str">
        <f>IF(A105="AH-SnapHeld-Special Project - B",_xlfn.XLOOKUP(AK105,BP:BP,BO:BO),IF(_xlfn.XLOOKUP(AL105,reference!D:D,reference!C:C)=0,"",_xlfn.XLOOKUP(AL105,reference!D:D,reference!C:C)))</f>
        <v>PCAH</v>
      </c>
    </row>
    <row r="106" spans="1:39">
      <c r="A106" t="s">
        <v>125</v>
      </c>
      <c r="B106" t="s">
        <v>740</v>
      </c>
      <c r="C106" t="s">
        <v>741</v>
      </c>
      <c r="D106">
        <v>23</v>
      </c>
      <c r="E106">
        <v>11.404770169088</v>
      </c>
      <c r="F106">
        <v>0.71640000000000004</v>
      </c>
      <c r="G106">
        <v>0.16777777777778</v>
      </c>
      <c r="H106">
        <v>3</v>
      </c>
      <c r="I106">
        <v>0.13043478260870001</v>
      </c>
      <c r="J106">
        <v>1.4875787177071</v>
      </c>
      <c r="K106">
        <v>3</v>
      </c>
      <c r="L106">
        <v>1.4875787177071</v>
      </c>
      <c r="M106">
        <v>2.0167000000000002</v>
      </c>
      <c r="N106">
        <v>0.35523379778846997</v>
      </c>
      <c r="O106" t="s">
        <v>319</v>
      </c>
      <c r="P106" t="s">
        <v>545</v>
      </c>
      <c r="Q106" t="s">
        <v>488</v>
      </c>
      <c r="R106" t="s">
        <v>742</v>
      </c>
      <c r="S106" t="s">
        <v>308</v>
      </c>
      <c r="T106" t="s">
        <v>743</v>
      </c>
      <c r="U106" t="s">
        <v>308</v>
      </c>
      <c r="V106" t="s">
        <v>308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308</v>
      </c>
      <c r="AC106" t="s">
        <v>308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s="117" t="str">
        <f t="shared" si="6"/>
        <v>ILO</v>
      </c>
      <c r="AK106" s="117" t="str">
        <f t="shared" si="7"/>
        <v xml:space="preserve">	Ricky Mendiro</v>
      </c>
      <c r="AL106" s="117" t="str">
        <f>_xlfn.XLOOKUP(A106,reference!A:A,reference!D:D)</f>
        <v>AH-SnapHeld-PTCall-Prod</v>
      </c>
      <c r="AM106" s="117" t="str">
        <f>IF(A106="AH-SnapHeld-Special Project - B",_xlfn.XLOOKUP(AK106,BP:BP,BO:BO),IF(_xlfn.XLOOKUP(AL106,reference!D:D,reference!C:C)=0,"",_xlfn.XLOOKUP(AL106,reference!D:D,reference!C:C)))</f>
        <v>PCAH</v>
      </c>
    </row>
    <row r="107" spans="1:39">
      <c r="A107" t="s">
        <v>125</v>
      </c>
      <c r="B107" t="s">
        <v>744</v>
      </c>
      <c r="C107" t="s">
        <v>745</v>
      </c>
      <c r="D107">
        <v>48</v>
      </c>
      <c r="E107">
        <v>15.635179153094001</v>
      </c>
      <c r="F107">
        <v>1.0249999999999999</v>
      </c>
      <c r="G107">
        <v>8.7499999999999994E-2</v>
      </c>
      <c r="H107">
        <v>11</v>
      </c>
      <c r="I107">
        <v>0.22916666666666999</v>
      </c>
      <c r="J107">
        <v>3.5830618892507999</v>
      </c>
      <c r="K107">
        <v>11</v>
      </c>
      <c r="L107">
        <v>3.5830618892507999</v>
      </c>
      <c r="M107">
        <v>3.07</v>
      </c>
      <c r="N107">
        <v>0.33387622149836998</v>
      </c>
      <c r="O107" t="s">
        <v>304</v>
      </c>
      <c r="P107" t="s">
        <v>418</v>
      </c>
      <c r="Q107" t="s">
        <v>746</v>
      </c>
      <c r="R107" t="s">
        <v>315</v>
      </c>
      <c r="S107" t="s">
        <v>308</v>
      </c>
      <c r="T107" t="s">
        <v>747</v>
      </c>
      <c r="U107" t="s">
        <v>308</v>
      </c>
      <c r="V107" t="s">
        <v>308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308</v>
      </c>
      <c r="AC107" t="s">
        <v>308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s="117" t="str">
        <f t="shared" si="6"/>
        <v>ILO</v>
      </c>
      <c r="AK107" s="117" t="str">
        <f t="shared" si="7"/>
        <v xml:space="preserve">	Wellyn Grace Cayme</v>
      </c>
      <c r="AL107" s="117" t="str">
        <f>_xlfn.XLOOKUP(A107,reference!A:A,reference!D:D)</f>
        <v>AH-SnapHeld-PTCall-Prod</v>
      </c>
      <c r="AM107" s="117" t="str">
        <f>IF(A107="AH-SnapHeld-Special Project - B",_xlfn.XLOOKUP(AK107,BP:BP,BO:BO),IF(_xlfn.XLOOKUP(AL107,reference!D:D,reference!C:C)=0,"",_xlfn.XLOOKUP(AL107,reference!D:D,reference!C:C)))</f>
        <v>PCAH</v>
      </c>
    </row>
    <row r="108" spans="1:39">
      <c r="A108" t="s">
        <v>125</v>
      </c>
      <c r="B108" t="s">
        <v>538</v>
      </c>
      <c r="C108" t="s">
        <v>539</v>
      </c>
      <c r="D108">
        <v>61</v>
      </c>
      <c r="E108">
        <v>19.390933943671001</v>
      </c>
      <c r="F108">
        <v>0.75139999999999996</v>
      </c>
      <c r="G108">
        <v>0.21861111111111001</v>
      </c>
      <c r="H108">
        <v>1</v>
      </c>
      <c r="I108">
        <v>1.6393442622951001E-2</v>
      </c>
      <c r="J108">
        <v>0.31788416301099998</v>
      </c>
      <c r="K108">
        <v>1</v>
      </c>
      <c r="L108">
        <v>0.31788416301099998</v>
      </c>
      <c r="M108">
        <v>3.1457999999999999</v>
      </c>
      <c r="N108">
        <v>0.23885816008645999</v>
      </c>
      <c r="O108" t="s">
        <v>319</v>
      </c>
      <c r="P108" t="s">
        <v>687</v>
      </c>
      <c r="Q108" t="s">
        <v>440</v>
      </c>
      <c r="R108" t="s">
        <v>404</v>
      </c>
      <c r="S108" t="s">
        <v>308</v>
      </c>
      <c r="T108" t="s">
        <v>308</v>
      </c>
      <c r="U108" t="s">
        <v>308</v>
      </c>
      <c r="V108" t="s">
        <v>308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308</v>
      </c>
      <c r="AC108" t="s">
        <v>308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s="117" t="str">
        <f t="shared" si="6"/>
        <v>ILO</v>
      </c>
      <c r="AK108" s="117" t="str">
        <f t="shared" si="7"/>
        <v>Aira Plaza</v>
      </c>
      <c r="AL108" s="117" t="str">
        <f>_xlfn.XLOOKUP(A108,reference!A:A,reference!D:D)</f>
        <v>AH-SnapHeld-PTCall-Prod</v>
      </c>
      <c r="AM108" s="117" t="str">
        <f>IF(A108="AH-SnapHeld-Special Project - B",_xlfn.XLOOKUP(AK108,BP:BP,BO:BO),IF(_xlfn.XLOOKUP(AL108,reference!D:D,reference!C:C)=0,"",_xlfn.XLOOKUP(AL108,reference!D:D,reference!C:C)))</f>
        <v>PCAH</v>
      </c>
    </row>
    <row r="109" spans="1:39">
      <c r="A109" t="s">
        <v>125</v>
      </c>
      <c r="B109" t="s">
        <v>748</v>
      </c>
      <c r="C109" t="s">
        <v>749</v>
      </c>
      <c r="D109">
        <v>15</v>
      </c>
      <c r="E109">
        <v>12.048192771084</v>
      </c>
      <c r="F109">
        <v>0.46029999999999999</v>
      </c>
      <c r="G109">
        <v>0.14388888888889001</v>
      </c>
      <c r="H109">
        <v>2</v>
      </c>
      <c r="I109">
        <v>0.13333333333333</v>
      </c>
      <c r="J109">
        <v>1.6064257028111999</v>
      </c>
      <c r="K109">
        <v>2</v>
      </c>
      <c r="L109">
        <v>1.6064257028111999</v>
      </c>
      <c r="M109">
        <v>1.2450000000000001</v>
      </c>
      <c r="N109">
        <v>0.36971887550200999</v>
      </c>
      <c r="O109" t="s">
        <v>319</v>
      </c>
      <c r="P109" t="s">
        <v>455</v>
      </c>
      <c r="Q109" t="s">
        <v>476</v>
      </c>
      <c r="R109" t="s">
        <v>437</v>
      </c>
      <c r="S109" t="s">
        <v>308</v>
      </c>
      <c r="T109" t="s">
        <v>750</v>
      </c>
      <c r="U109" t="s">
        <v>308</v>
      </c>
      <c r="V109" t="s">
        <v>308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308</v>
      </c>
      <c r="AC109" t="s">
        <v>308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s="117" t="str">
        <f t="shared" si="6"/>
        <v>ILO</v>
      </c>
      <c r="AK109" s="117" t="str">
        <f t="shared" si="7"/>
        <v>Gabriel Anthony Astrologo</v>
      </c>
      <c r="AL109" s="117" t="str">
        <f>_xlfn.XLOOKUP(A109,reference!A:A,reference!D:D)</f>
        <v>AH-SnapHeld-PTCall-Prod</v>
      </c>
      <c r="AM109" s="117" t="str">
        <f>IF(A109="AH-SnapHeld-Special Project - B",_xlfn.XLOOKUP(AK109,BP:BP,BO:BO),IF(_xlfn.XLOOKUP(AL109,reference!D:D,reference!C:C)=0,"",_xlfn.XLOOKUP(AL109,reference!D:D,reference!C:C)))</f>
        <v>PCAH</v>
      </c>
    </row>
    <row r="110" spans="1:39">
      <c r="A110" t="s">
        <v>125</v>
      </c>
      <c r="B110" t="s">
        <v>546</v>
      </c>
      <c r="C110" t="s">
        <v>547</v>
      </c>
      <c r="D110">
        <v>35</v>
      </c>
      <c r="E110">
        <v>12.778852824126</v>
      </c>
      <c r="F110">
        <v>1.0758000000000001</v>
      </c>
      <c r="G110">
        <v>1.8611111111110999E-2</v>
      </c>
      <c r="H110">
        <v>2</v>
      </c>
      <c r="I110">
        <v>5.7142857142857002E-2</v>
      </c>
      <c r="J110">
        <v>0.73022016137865997</v>
      </c>
      <c r="K110">
        <v>2</v>
      </c>
      <c r="L110">
        <v>0.73022016137865997</v>
      </c>
      <c r="M110">
        <v>2.7389000000000001</v>
      </c>
      <c r="N110">
        <v>0.39278542480557999</v>
      </c>
      <c r="O110" t="s">
        <v>319</v>
      </c>
      <c r="P110" t="s">
        <v>488</v>
      </c>
      <c r="Q110" t="s">
        <v>476</v>
      </c>
      <c r="R110" t="s">
        <v>319</v>
      </c>
      <c r="S110" t="s">
        <v>308</v>
      </c>
      <c r="T110" t="s">
        <v>751</v>
      </c>
      <c r="U110" t="s">
        <v>308</v>
      </c>
      <c r="V110" t="s">
        <v>308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308</v>
      </c>
      <c r="AC110" t="s">
        <v>308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s="117" t="str">
        <f t="shared" si="6"/>
        <v>ILO</v>
      </c>
      <c r="AK110" s="117" t="str">
        <f t="shared" si="7"/>
        <v>John Lawrence Esteva</v>
      </c>
      <c r="AL110" s="117" t="str">
        <f>_xlfn.XLOOKUP(A110,reference!A:A,reference!D:D)</f>
        <v>AH-SnapHeld-PTCall-Prod</v>
      </c>
      <c r="AM110" s="117" t="str">
        <f>IF(A110="AH-SnapHeld-Special Project - B",_xlfn.XLOOKUP(AK110,BP:BP,BO:BO),IF(_xlfn.XLOOKUP(AL110,reference!D:D,reference!C:C)=0,"",_xlfn.XLOOKUP(AL110,reference!D:D,reference!C:C)))</f>
        <v>PCAH</v>
      </c>
    </row>
    <row r="111" spans="1:39">
      <c r="A111" t="s">
        <v>125</v>
      </c>
      <c r="B111" t="s">
        <v>752</v>
      </c>
      <c r="C111" t="s">
        <v>753</v>
      </c>
      <c r="D111">
        <v>21</v>
      </c>
      <c r="E111">
        <v>11.652424814115999</v>
      </c>
      <c r="F111">
        <v>0.87309999999999999</v>
      </c>
      <c r="G111">
        <v>1.2777777777778001E-2</v>
      </c>
      <c r="H111">
        <v>3</v>
      </c>
      <c r="I111">
        <v>0.14285714285713999</v>
      </c>
      <c r="J111">
        <v>1.6646321163022999</v>
      </c>
      <c r="K111">
        <v>3</v>
      </c>
      <c r="L111">
        <v>1.6646321163022999</v>
      </c>
      <c r="M111">
        <v>1.8022</v>
      </c>
      <c r="N111">
        <v>0.48446343358117999</v>
      </c>
      <c r="O111" t="s">
        <v>319</v>
      </c>
      <c r="P111" t="s">
        <v>518</v>
      </c>
      <c r="Q111" t="s">
        <v>549</v>
      </c>
      <c r="R111" t="s">
        <v>304</v>
      </c>
      <c r="S111" t="s">
        <v>308</v>
      </c>
      <c r="T111" t="s">
        <v>754</v>
      </c>
      <c r="U111" t="s">
        <v>308</v>
      </c>
      <c r="V111" t="s">
        <v>308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308</v>
      </c>
      <c r="AC111" t="s">
        <v>308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s="117" t="str">
        <f t="shared" si="6"/>
        <v>ILO</v>
      </c>
      <c r="AK111" s="117" t="str">
        <f t="shared" si="7"/>
        <v>Mikaela Judith Jacela</v>
      </c>
      <c r="AL111" s="117" t="str">
        <f>_xlfn.XLOOKUP(A111,reference!A:A,reference!D:D)</f>
        <v>AH-SnapHeld-PTCall-Prod</v>
      </c>
      <c r="AM111" s="117" t="str">
        <f>IF(A111="AH-SnapHeld-Special Project - B",_xlfn.XLOOKUP(AK111,BP:BP,BO:BO),IF(_xlfn.XLOOKUP(AL111,reference!D:D,reference!C:C)=0,"",_xlfn.XLOOKUP(AL111,reference!D:D,reference!C:C)))</f>
        <v>PCAH</v>
      </c>
    </row>
    <row r="112" spans="1:39">
      <c r="A112" t="s">
        <v>125</v>
      </c>
      <c r="B112" t="s">
        <v>755</v>
      </c>
      <c r="C112" t="s">
        <v>756</v>
      </c>
      <c r="D112">
        <v>49</v>
      </c>
      <c r="E112">
        <v>13.477088948786999</v>
      </c>
      <c r="F112">
        <v>2.6732999999999998</v>
      </c>
      <c r="G112">
        <v>3.2777777777778003E-2</v>
      </c>
      <c r="H112">
        <v>5</v>
      </c>
      <c r="I112">
        <v>0.10204081632653</v>
      </c>
      <c r="J112">
        <v>1.3752131580394999</v>
      </c>
      <c r="K112">
        <v>5</v>
      </c>
      <c r="L112">
        <v>1.3752131580394999</v>
      </c>
      <c r="M112">
        <v>3.6358000000000001</v>
      </c>
      <c r="N112">
        <v>0.73527146707739999</v>
      </c>
      <c r="O112" t="s">
        <v>319</v>
      </c>
      <c r="P112" t="s">
        <v>757</v>
      </c>
      <c r="Q112" t="s">
        <v>655</v>
      </c>
      <c r="R112" t="s">
        <v>304</v>
      </c>
      <c r="S112" t="s">
        <v>308</v>
      </c>
      <c r="T112" t="s">
        <v>308</v>
      </c>
      <c r="U112" t="s">
        <v>308</v>
      </c>
      <c r="V112" t="s">
        <v>308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308</v>
      </c>
      <c r="AC112" t="s">
        <v>308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s="117" t="str">
        <f t="shared" si="6"/>
        <v>ILO</v>
      </c>
      <c r="AK112" s="117" t="str">
        <f t="shared" si="7"/>
        <v>Ricksie Jean DelaCruz</v>
      </c>
      <c r="AL112" s="117" t="str">
        <f>_xlfn.XLOOKUP(A112,reference!A:A,reference!D:D)</f>
        <v>AH-SnapHeld-PTCall-Prod</v>
      </c>
      <c r="AM112" s="117" t="str">
        <f>IF(A112="AH-SnapHeld-Special Project - B",_xlfn.XLOOKUP(AK112,BP:BP,BO:BO),IF(_xlfn.XLOOKUP(AL112,reference!D:D,reference!C:C)=0,"",_xlfn.XLOOKUP(AL112,reference!D:D,reference!C:C)))</f>
        <v>PCAH</v>
      </c>
    </row>
    <row r="113" spans="1:39">
      <c r="A113" t="s">
        <v>128</v>
      </c>
      <c r="B113" t="s">
        <v>758</v>
      </c>
      <c r="C113" t="s">
        <v>759</v>
      </c>
      <c r="D113">
        <v>22</v>
      </c>
      <c r="E113">
        <v>10.25641025641</v>
      </c>
      <c r="F113">
        <v>0.72750000000000004</v>
      </c>
      <c r="G113">
        <v>9.4722222222221999E-2</v>
      </c>
      <c r="H113">
        <v>4</v>
      </c>
      <c r="I113">
        <v>0.18181818181817999</v>
      </c>
      <c r="J113">
        <v>1.8648018648019</v>
      </c>
      <c r="K113">
        <v>4</v>
      </c>
      <c r="L113">
        <v>1.8648018648019</v>
      </c>
      <c r="M113">
        <v>2.145</v>
      </c>
      <c r="N113">
        <v>0.33916083916084</v>
      </c>
      <c r="O113" t="s">
        <v>536</v>
      </c>
      <c r="P113" t="s">
        <v>760</v>
      </c>
      <c r="Q113" t="s">
        <v>761</v>
      </c>
      <c r="R113" t="s">
        <v>333</v>
      </c>
      <c r="S113" t="s">
        <v>308</v>
      </c>
      <c r="T113" t="s">
        <v>762</v>
      </c>
      <c r="U113" t="s">
        <v>308</v>
      </c>
      <c r="V113" t="s">
        <v>308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308</v>
      </c>
      <c r="AC113" t="s">
        <v>308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s="117" t="str">
        <f t="shared" si="6"/>
        <v>ILO</v>
      </c>
      <c r="AK113" s="117" t="str">
        <f t="shared" si="7"/>
        <v xml:space="preserve">	Christine Joy Lanzarote</v>
      </c>
      <c r="AL113" s="117" t="str">
        <f>_xlfn.XLOOKUP(A113,reference!A:A,reference!D:D)</f>
        <v>AH-SnapHeld-Rework-Prod</v>
      </c>
      <c r="AM113" s="117" t="str">
        <f>IF(A113="AH-SnapHeld-Special Project - B",_xlfn.XLOOKUP(AK113,BP:BP,BO:BO),IF(_xlfn.XLOOKUP(AL113,reference!D:D,reference!C:C)=0,"",_xlfn.XLOOKUP(AL113,reference!D:D,reference!C:C)))</f>
        <v>Rework</v>
      </c>
    </row>
    <row r="114" spans="1:39">
      <c r="A114" t="s">
        <v>134</v>
      </c>
      <c r="B114" t="s">
        <v>763</v>
      </c>
      <c r="C114" t="s">
        <v>764</v>
      </c>
      <c r="D114">
        <v>88</v>
      </c>
      <c r="E114">
        <v>26.490863662361999</v>
      </c>
      <c r="F114">
        <v>0.39250000000000002</v>
      </c>
      <c r="G114">
        <v>0.15</v>
      </c>
      <c r="H114">
        <v>48</v>
      </c>
      <c r="I114">
        <v>0.54545454545454997</v>
      </c>
      <c r="J114">
        <v>14.449561997651999</v>
      </c>
      <c r="K114">
        <v>50</v>
      </c>
      <c r="L114">
        <v>15.051627080887</v>
      </c>
      <c r="M114">
        <v>3.3218999999999999</v>
      </c>
      <c r="N114">
        <v>0.11815527258496999</v>
      </c>
      <c r="O114" t="s">
        <v>308</v>
      </c>
      <c r="P114" t="s">
        <v>765</v>
      </c>
      <c r="Q114" t="s">
        <v>766</v>
      </c>
      <c r="R114" t="s">
        <v>315</v>
      </c>
      <c r="S114" t="s">
        <v>308</v>
      </c>
      <c r="T114" t="s">
        <v>767</v>
      </c>
      <c r="U114" t="s">
        <v>308</v>
      </c>
      <c r="V114" t="s">
        <v>308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308</v>
      </c>
      <c r="AC114" t="s">
        <v>308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s="117" t="str">
        <f t="shared" si="6"/>
        <v>BCD</v>
      </c>
      <c r="AK114" s="117" t="str">
        <f t="shared" si="7"/>
        <v xml:space="preserve">	Nino Bruno Soluta</v>
      </c>
      <c r="AL114" s="117" t="str">
        <f>_xlfn.XLOOKUP(A114,reference!A:A,reference!D:D)</f>
        <v>AH-SnapHeld-VSA-Prod</v>
      </c>
      <c r="AM114" s="117" t="str">
        <f>IF(A114="AH-SnapHeld-Special Project - B",_xlfn.XLOOKUP(AK114,BP:BP,BO:BO),IF(_xlfn.XLOOKUP(AL114,reference!D:D,reference!C:C)=0,"",_xlfn.XLOOKUP(AL114,reference!D:D,reference!C:C)))</f>
        <v>VSA</v>
      </c>
    </row>
    <row r="115" spans="1:39">
      <c r="A115" t="s">
        <v>134</v>
      </c>
      <c r="B115" t="s">
        <v>768</v>
      </c>
      <c r="C115" t="s">
        <v>769</v>
      </c>
      <c r="D115">
        <v>77</v>
      </c>
      <c r="E115">
        <v>22.894181310023001</v>
      </c>
      <c r="F115">
        <v>0.1353</v>
      </c>
      <c r="G115">
        <v>0.1875</v>
      </c>
      <c r="H115">
        <v>50</v>
      </c>
      <c r="I115">
        <v>0.64935064935065001</v>
      </c>
      <c r="J115">
        <v>14.866351500015</v>
      </c>
      <c r="K115">
        <v>57</v>
      </c>
      <c r="L115">
        <v>16.947640710017001</v>
      </c>
      <c r="M115">
        <v>3.3633000000000002</v>
      </c>
      <c r="N115">
        <v>4.0228347159040001E-2</v>
      </c>
      <c r="O115" t="s">
        <v>308</v>
      </c>
      <c r="P115" t="s">
        <v>333</v>
      </c>
      <c r="Q115" t="s">
        <v>315</v>
      </c>
      <c r="R115" t="s">
        <v>306</v>
      </c>
      <c r="S115" t="s">
        <v>308</v>
      </c>
      <c r="T115" t="s">
        <v>770</v>
      </c>
      <c r="U115" t="s">
        <v>308</v>
      </c>
      <c r="V115" t="s">
        <v>308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308</v>
      </c>
      <c r="AC115" t="s">
        <v>308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s="117" t="str">
        <f t="shared" si="6"/>
        <v>BCD</v>
      </c>
      <c r="AK115" s="117" t="str">
        <f t="shared" si="7"/>
        <v>Joyce Altamera</v>
      </c>
      <c r="AL115" s="117" t="str">
        <f>_xlfn.XLOOKUP(A115,reference!A:A,reference!D:D)</f>
        <v>AH-SnapHeld-VSA-Prod</v>
      </c>
      <c r="AM115" s="117" t="str">
        <f>IF(A115="AH-SnapHeld-Special Project - B",_xlfn.XLOOKUP(AK115,BP:BP,BO:BO),IF(_xlfn.XLOOKUP(AL115,reference!D:D,reference!C:C)=0,"",_xlfn.XLOOKUP(AL115,reference!D:D,reference!C:C)))</f>
        <v>VSA</v>
      </c>
    </row>
    <row r="116" spans="1:39">
      <c r="A116" t="s">
        <v>134</v>
      </c>
      <c r="B116" t="s">
        <v>771</v>
      </c>
      <c r="C116" t="s">
        <v>772</v>
      </c>
      <c r="D116">
        <v>23</v>
      </c>
      <c r="E116">
        <v>15.192549045511999</v>
      </c>
      <c r="F116">
        <v>2.06E-2</v>
      </c>
      <c r="G116">
        <v>3.7222222222221997E-2</v>
      </c>
      <c r="H116">
        <v>3</v>
      </c>
      <c r="I116">
        <v>0.13043478260870001</v>
      </c>
      <c r="J116">
        <v>1.9816368320233</v>
      </c>
      <c r="K116">
        <v>3</v>
      </c>
      <c r="L116">
        <v>1.9816368320233</v>
      </c>
      <c r="M116">
        <v>1.5139</v>
      </c>
      <c r="N116">
        <v>1.3607239579893E-2</v>
      </c>
      <c r="O116" t="s">
        <v>308</v>
      </c>
      <c r="P116" t="s">
        <v>395</v>
      </c>
      <c r="Q116" t="s">
        <v>312</v>
      </c>
      <c r="R116" t="s">
        <v>504</v>
      </c>
      <c r="S116" t="s">
        <v>308</v>
      </c>
      <c r="T116" t="s">
        <v>308</v>
      </c>
      <c r="U116" t="s">
        <v>308</v>
      </c>
      <c r="V116" t="s">
        <v>308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308</v>
      </c>
      <c r="AC116" t="s">
        <v>308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117" t="str">
        <f t="shared" si="6"/>
        <v>BTG</v>
      </c>
      <c r="AK116" s="117" t="str">
        <f t="shared" si="7"/>
        <v>Rose Respecia</v>
      </c>
      <c r="AL116" s="117" t="str">
        <f>_xlfn.XLOOKUP(A116,reference!A:A,reference!D:D)</f>
        <v>AH-SnapHeld-VSA-Prod</v>
      </c>
      <c r="AM116" s="117" t="str">
        <f>IF(A116="AH-SnapHeld-Special Project - B",_xlfn.XLOOKUP(AK116,BP:BP,BO:BO),IF(_xlfn.XLOOKUP(AL116,reference!D:D,reference!C:C)=0,"",_xlfn.XLOOKUP(AL116,reference!D:D,reference!C:C)))</f>
        <v>VSA</v>
      </c>
    </row>
    <row r="117" spans="1:39">
      <c r="A117" t="s">
        <v>134</v>
      </c>
      <c r="B117" t="s">
        <v>773</v>
      </c>
      <c r="C117" t="s">
        <v>774</v>
      </c>
      <c r="D117">
        <v>58</v>
      </c>
      <c r="E117">
        <v>20.755797308904</v>
      </c>
      <c r="F117">
        <v>0.1208</v>
      </c>
      <c r="G117">
        <v>0.24249999999999999</v>
      </c>
      <c r="H117">
        <v>4</v>
      </c>
      <c r="I117">
        <v>6.8965517241379004E-2</v>
      </c>
      <c r="J117">
        <v>1.4314342971658001</v>
      </c>
      <c r="K117">
        <v>4</v>
      </c>
      <c r="L117">
        <v>1.4314342971658001</v>
      </c>
      <c r="M117">
        <v>2.7944</v>
      </c>
      <c r="N117">
        <v>4.3229315774406002E-2</v>
      </c>
      <c r="O117" t="s">
        <v>308</v>
      </c>
      <c r="P117" t="s">
        <v>765</v>
      </c>
      <c r="Q117" t="s">
        <v>339</v>
      </c>
      <c r="R117" t="s">
        <v>333</v>
      </c>
      <c r="S117" t="s">
        <v>308</v>
      </c>
      <c r="T117" t="s">
        <v>762</v>
      </c>
      <c r="U117" t="s">
        <v>308</v>
      </c>
      <c r="V117" t="s">
        <v>308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308</v>
      </c>
      <c r="AC117" t="s">
        <v>308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s="117" t="str">
        <f t="shared" si="6"/>
        <v>ILO</v>
      </c>
      <c r="AK117" s="117" t="str">
        <f t="shared" si="7"/>
        <v xml:space="preserve">	Abegail Casipe</v>
      </c>
      <c r="AL117" s="117" t="str">
        <f>_xlfn.XLOOKUP(A117,reference!A:A,reference!D:D)</f>
        <v>AH-SnapHeld-VSA-Prod</v>
      </c>
      <c r="AM117" s="117" t="str">
        <f>IF(A117="AH-SnapHeld-Special Project - B",_xlfn.XLOOKUP(AK117,BP:BP,BO:BO),IF(_xlfn.XLOOKUP(AL117,reference!D:D,reference!C:C)=0,"",_xlfn.XLOOKUP(AL117,reference!D:D,reference!C:C)))</f>
        <v>VSA</v>
      </c>
    </row>
    <row r="118" spans="1:39">
      <c r="A118" t="s">
        <v>134</v>
      </c>
      <c r="B118" t="s">
        <v>775</v>
      </c>
      <c r="C118" t="s">
        <v>776</v>
      </c>
      <c r="D118">
        <v>76</v>
      </c>
      <c r="E118">
        <v>20.439448134900001</v>
      </c>
      <c r="F118">
        <v>8.6699999999999999E-2</v>
      </c>
      <c r="G118">
        <v>8.6388888888889001E-2</v>
      </c>
      <c r="H118">
        <v>2</v>
      </c>
      <c r="I118">
        <v>2.6315789473684001E-2</v>
      </c>
      <c r="J118">
        <v>0.53788021407633002</v>
      </c>
      <c r="K118">
        <v>5</v>
      </c>
      <c r="L118">
        <v>1.3447005351907999</v>
      </c>
      <c r="M118">
        <v>3.7183000000000002</v>
      </c>
      <c r="N118">
        <v>2.3317107280208998E-2</v>
      </c>
      <c r="O118" t="s">
        <v>304</v>
      </c>
      <c r="P118" t="s">
        <v>306</v>
      </c>
      <c r="Q118" t="s">
        <v>613</v>
      </c>
      <c r="R118" t="s">
        <v>613</v>
      </c>
      <c r="S118" t="s">
        <v>308</v>
      </c>
      <c r="T118" t="s">
        <v>777</v>
      </c>
      <c r="U118" t="s">
        <v>308</v>
      </c>
      <c r="V118" t="s">
        <v>308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308</v>
      </c>
      <c r="AC118" t="s">
        <v>308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s="117" t="str">
        <f t="shared" si="6"/>
        <v>ILO</v>
      </c>
      <c r="AK118" s="117" t="str">
        <f t="shared" si="7"/>
        <v xml:space="preserve">	Eljan Estanol</v>
      </c>
      <c r="AL118" s="117" t="str">
        <f>_xlfn.XLOOKUP(A118,reference!A:A,reference!D:D)</f>
        <v>AH-SnapHeld-VSA-Prod</v>
      </c>
      <c r="AM118" s="117" t="str">
        <f>IF(A118="AH-SnapHeld-Special Project - B",_xlfn.XLOOKUP(AK118,BP:BP,BO:BO),IF(_xlfn.XLOOKUP(AL118,reference!D:D,reference!C:C)=0,"",_xlfn.XLOOKUP(AL118,reference!D:D,reference!C:C)))</f>
        <v>VSA</v>
      </c>
    </row>
    <row r="119" spans="1:39">
      <c r="A119" t="s">
        <v>134</v>
      </c>
      <c r="B119" t="s">
        <v>778</v>
      </c>
      <c r="C119" t="s">
        <v>779</v>
      </c>
      <c r="D119">
        <v>78</v>
      </c>
      <c r="E119">
        <v>25.451104512676999</v>
      </c>
      <c r="F119">
        <v>1.0307999999999999</v>
      </c>
      <c r="G119">
        <v>9.9722222222222004E-2</v>
      </c>
      <c r="H119">
        <v>3</v>
      </c>
      <c r="I119">
        <v>3.8461538461537999E-2</v>
      </c>
      <c r="J119">
        <v>0.97888863510294988</v>
      </c>
      <c r="K119">
        <v>3</v>
      </c>
      <c r="L119">
        <v>0.97888863510294988</v>
      </c>
      <c r="M119">
        <v>3.0647000000000002</v>
      </c>
      <c r="N119">
        <v>0.33634613502137001</v>
      </c>
      <c r="O119" t="s">
        <v>308</v>
      </c>
      <c r="P119" t="s">
        <v>557</v>
      </c>
      <c r="Q119" t="s">
        <v>672</v>
      </c>
      <c r="R119" t="s">
        <v>613</v>
      </c>
      <c r="S119" t="s">
        <v>308</v>
      </c>
      <c r="T119" t="s">
        <v>780</v>
      </c>
      <c r="U119" t="s">
        <v>308</v>
      </c>
      <c r="V119" t="s">
        <v>308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308</v>
      </c>
      <c r="AC119" t="s">
        <v>308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s="117" t="str">
        <f t="shared" si="6"/>
        <v>ILO</v>
      </c>
      <c r="AK119" s="117" t="str">
        <f t="shared" si="7"/>
        <v xml:space="preserve">	Kent John Sajonia</v>
      </c>
      <c r="AL119" s="117" t="str">
        <f>_xlfn.XLOOKUP(A119,reference!A:A,reference!D:D)</f>
        <v>AH-SnapHeld-VSA-Prod</v>
      </c>
      <c r="AM119" s="117" t="str">
        <f>IF(A119="AH-SnapHeld-Special Project - B",_xlfn.XLOOKUP(AK119,BP:BP,BO:BO),IF(_xlfn.XLOOKUP(AL119,reference!D:D,reference!C:C)=0,"",_xlfn.XLOOKUP(AL119,reference!D:D,reference!C:C)))</f>
        <v>VSA</v>
      </c>
    </row>
    <row r="120" spans="1:39">
      <c r="A120" t="s">
        <v>134</v>
      </c>
      <c r="B120" t="s">
        <v>781</v>
      </c>
      <c r="C120" t="s">
        <v>782</v>
      </c>
      <c r="D120">
        <v>57</v>
      </c>
      <c r="E120">
        <v>21.235377393636998</v>
      </c>
      <c r="F120">
        <v>0.42559999999999998</v>
      </c>
      <c r="G120">
        <v>0.10222222222221999</v>
      </c>
      <c r="H120">
        <v>4</v>
      </c>
      <c r="I120">
        <v>7.0175438596491002E-2</v>
      </c>
      <c r="J120">
        <v>1.4902019223605001</v>
      </c>
      <c r="K120">
        <v>4</v>
      </c>
      <c r="L120">
        <v>1.4902019223605001</v>
      </c>
      <c r="M120">
        <v>2.6842000000000001</v>
      </c>
      <c r="N120">
        <v>0.15855748453915999</v>
      </c>
      <c r="O120" t="s">
        <v>319</v>
      </c>
      <c r="P120" t="s">
        <v>424</v>
      </c>
      <c r="Q120" t="s">
        <v>742</v>
      </c>
      <c r="R120" t="s">
        <v>315</v>
      </c>
      <c r="S120" t="s">
        <v>308</v>
      </c>
      <c r="T120" t="s">
        <v>783</v>
      </c>
      <c r="U120" t="s">
        <v>308</v>
      </c>
      <c r="V120" t="s">
        <v>308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308</v>
      </c>
      <c r="AC120" t="s">
        <v>308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s="117" t="str">
        <f t="shared" si="6"/>
        <v>ILO</v>
      </c>
      <c r="AK120" s="117" t="str">
        <f t="shared" si="7"/>
        <v xml:space="preserve">	Kirk Daniel Cautivar</v>
      </c>
      <c r="AL120" s="117" t="str">
        <f>_xlfn.XLOOKUP(A120,reference!A:A,reference!D:D)</f>
        <v>AH-SnapHeld-VSA-Prod</v>
      </c>
      <c r="AM120" s="117" t="str">
        <f>IF(A120="AH-SnapHeld-Special Project - B",_xlfn.XLOOKUP(AK120,BP:BP,BO:BO),IF(_xlfn.XLOOKUP(AL120,reference!D:D,reference!C:C)=0,"",_xlfn.XLOOKUP(AL120,reference!D:D,reference!C:C)))</f>
        <v>VSA</v>
      </c>
    </row>
    <row r="121" spans="1:39">
      <c r="A121" t="s">
        <v>134</v>
      </c>
      <c r="B121" t="s">
        <v>784</v>
      </c>
      <c r="C121" t="s">
        <v>785</v>
      </c>
      <c r="D121">
        <v>51</v>
      </c>
      <c r="E121">
        <v>19.769740667518999</v>
      </c>
      <c r="F121">
        <v>0.2792</v>
      </c>
      <c r="G121">
        <v>0.13027777777777999</v>
      </c>
      <c r="H121">
        <v>18</v>
      </c>
      <c r="I121">
        <v>0.35294117647058998</v>
      </c>
      <c r="J121">
        <v>6.9775555297127996</v>
      </c>
      <c r="K121">
        <v>19</v>
      </c>
      <c r="L121">
        <v>7.3651975035856996</v>
      </c>
      <c r="M121">
        <v>2.5796999999999999</v>
      </c>
      <c r="N121">
        <v>0.10822963910532001</v>
      </c>
      <c r="O121" t="s">
        <v>308</v>
      </c>
      <c r="P121" t="s">
        <v>390</v>
      </c>
      <c r="Q121" t="s">
        <v>322</v>
      </c>
      <c r="R121" t="s">
        <v>395</v>
      </c>
      <c r="S121" t="s">
        <v>308</v>
      </c>
      <c r="T121" t="s">
        <v>786</v>
      </c>
      <c r="U121" t="s">
        <v>308</v>
      </c>
      <c r="V121" t="s">
        <v>308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308</v>
      </c>
      <c r="AC121" t="s">
        <v>308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s="117" t="str">
        <f t="shared" si="6"/>
        <v>ILO</v>
      </c>
      <c r="AK121" s="117" t="str">
        <f t="shared" si="7"/>
        <v xml:space="preserve">	Krishna Tolentino</v>
      </c>
      <c r="AL121" s="117" t="str">
        <f>_xlfn.XLOOKUP(A121,reference!A:A,reference!D:D)</f>
        <v>AH-SnapHeld-VSA-Prod</v>
      </c>
      <c r="AM121" s="117" t="str">
        <f>IF(A121="AH-SnapHeld-Special Project - B",_xlfn.XLOOKUP(AK121,BP:BP,BO:BO),IF(_xlfn.XLOOKUP(AL121,reference!D:D,reference!C:C)=0,"",_xlfn.XLOOKUP(AL121,reference!D:D,reference!C:C)))</f>
        <v>VSA</v>
      </c>
    </row>
    <row r="122" spans="1:39">
      <c r="A122" t="s">
        <v>134</v>
      </c>
      <c r="B122" t="s">
        <v>787</v>
      </c>
      <c r="C122" t="s">
        <v>788</v>
      </c>
      <c r="D122">
        <v>39</v>
      </c>
      <c r="E122">
        <v>14.589802102427999</v>
      </c>
      <c r="F122">
        <v>1.0706</v>
      </c>
      <c r="G122">
        <v>8.9444444444443993E-2</v>
      </c>
      <c r="H122">
        <v>28</v>
      </c>
      <c r="I122">
        <v>0.71794871794871995</v>
      </c>
      <c r="J122">
        <v>10.474729714564001</v>
      </c>
      <c r="K122">
        <v>28</v>
      </c>
      <c r="L122">
        <v>10.474729714564001</v>
      </c>
      <c r="M122">
        <v>2.6730999999999998</v>
      </c>
      <c r="N122">
        <v>0.40050877258613998</v>
      </c>
      <c r="O122" t="s">
        <v>319</v>
      </c>
      <c r="P122" t="s">
        <v>789</v>
      </c>
      <c r="Q122" t="s">
        <v>708</v>
      </c>
      <c r="R122" t="s">
        <v>306</v>
      </c>
      <c r="S122" t="s">
        <v>308</v>
      </c>
      <c r="T122" t="s">
        <v>308</v>
      </c>
      <c r="U122" t="s">
        <v>308</v>
      </c>
      <c r="V122" t="s">
        <v>308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308</v>
      </c>
      <c r="AC122" t="s">
        <v>308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s="117" t="str">
        <f t="shared" si="6"/>
        <v>ILO</v>
      </c>
      <c r="AK122" s="117" t="str">
        <f t="shared" si="7"/>
        <v>Shine Sarceno</v>
      </c>
      <c r="AL122" s="117" t="str">
        <f>_xlfn.XLOOKUP(A122,reference!A:A,reference!D:D)</f>
        <v>AH-SnapHeld-VSA-Prod</v>
      </c>
      <c r="AM122" s="117" t="str">
        <f>IF(A122="AH-SnapHeld-Special Project - B",_xlfn.XLOOKUP(AK122,BP:BP,BO:BO),IF(_xlfn.XLOOKUP(AL122,reference!D:D,reference!C:C)=0,"",_xlfn.XLOOKUP(AL122,reference!D:D,reference!C:C)))</f>
        <v>VSA</v>
      </c>
    </row>
    <row r="123" spans="1:39">
      <c r="A123" t="s">
        <v>112</v>
      </c>
      <c r="B123" t="s">
        <v>790</v>
      </c>
      <c r="C123" t="s">
        <v>791</v>
      </c>
      <c r="D123">
        <v>22</v>
      </c>
      <c r="E123">
        <v>6.5029115308445</v>
      </c>
      <c r="F123">
        <v>9.6699999999999994E-2</v>
      </c>
      <c r="G123">
        <v>4.3611111111111003E-2</v>
      </c>
      <c r="H123">
        <v>9</v>
      </c>
      <c r="I123">
        <v>0.40909090909091</v>
      </c>
      <c r="J123">
        <v>2.6602819898908998</v>
      </c>
      <c r="K123">
        <v>22</v>
      </c>
      <c r="L123">
        <v>6.5029115308445</v>
      </c>
      <c r="M123">
        <v>3.3831000000000002</v>
      </c>
      <c r="N123">
        <v>2.8583252046939001E-2</v>
      </c>
      <c r="O123" t="s">
        <v>792</v>
      </c>
      <c r="P123" t="s">
        <v>765</v>
      </c>
      <c r="Q123" t="s">
        <v>333</v>
      </c>
      <c r="R123" t="s">
        <v>339</v>
      </c>
      <c r="S123" t="s">
        <v>308</v>
      </c>
      <c r="T123" t="s">
        <v>793</v>
      </c>
      <c r="U123" t="s">
        <v>308</v>
      </c>
      <c r="V123" t="s">
        <v>308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308</v>
      </c>
      <c r="AC123" t="s">
        <v>308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s="117" t="str">
        <f t="shared" si="6"/>
        <v>BCD</v>
      </c>
      <c r="AK123" s="117" t="str">
        <f t="shared" si="7"/>
        <v xml:space="preserve">	Don Ceasar</v>
      </c>
      <c r="AL123" s="117" t="str">
        <f>_xlfn.XLOOKUP(A123,reference!A:A,reference!D:D)</f>
        <v>HBOSS Portal Doctor Research</v>
      </c>
      <c r="AM123" s="117" t="str">
        <f>IF(A123="AH-SnapHeld-Special Project - B",_xlfn.XLOOKUP(AK123,BP:BP,BO:BO),IF(_xlfn.XLOOKUP(AL123,reference!D:D,reference!C:C)=0,"",_xlfn.XLOOKUP(AL123,reference!D:D,reference!C:C)))</f>
        <v>Doctor Research</v>
      </c>
    </row>
    <row r="124" spans="1:39">
      <c r="A124" t="s">
        <v>112</v>
      </c>
      <c r="B124" t="s">
        <v>737</v>
      </c>
      <c r="C124" t="s">
        <v>738</v>
      </c>
      <c r="D124">
        <v>30</v>
      </c>
      <c r="E124">
        <v>9.3767581421517008</v>
      </c>
      <c r="F124">
        <v>8.0299999999999996E-2</v>
      </c>
      <c r="G124">
        <v>3.9444444444443998E-2</v>
      </c>
      <c r="H124">
        <v>22</v>
      </c>
      <c r="I124">
        <v>0.73333333333332995</v>
      </c>
      <c r="J124">
        <v>6.8762893042444997</v>
      </c>
      <c r="K124">
        <v>30</v>
      </c>
      <c r="L124">
        <v>9.3767581421517008</v>
      </c>
      <c r="M124">
        <v>3.1993999999999998</v>
      </c>
      <c r="N124">
        <v>2.5098455960493E-2</v>
      </c>
      <c r="O124" t="s">
        <v>766</v>
      </c>
      <c r="P124" t="s">
        <v>307</v>
      </c>
      <c r="Q124" t="s">
        <v>395</v>
      </c>
      <c r="R124" t="s">
        <v>613</v>
      </c>
      <c r="S124" t="s">
        <v>308</v>
      </c>
      <c r="T124" t="s">
        <v>794</v>
      </c>
      <c r="U124" t="s">
        <v>308</v>
      </c>
      <c r="V124" t="s">
        <v>308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308</v>
      </c>
      <c r="AC124" t="s">
        <v>308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s="117" t="str">
        <f t="shared" si="6"/>
        <v>ILO</v>
      </c>
      <c r="AK124" s="117" t="str">
        <f t="shared" si="7"/>
        <v xml:space="preserve">	Laika Resco</v>
      </c>
      <c r="AL124" s="117" t="str">
        <f>_xlfn.XLOOKUP(A124,reference!A:A,reference!D:D)</f>
        <v>HBOSS Portal Doctor Research</v>
      </c>
      <c r="AM124" s="117" t="str">
        <f>IF(A124="AH-SnapHeld-Special Project - B",_xlfn.XLOOKUP(AK124,BP:BP,BO:BO),IF(_xlfn.XLOOKUP(AL124,reference!D:D,reference!C:C)=0,"",_xlfn.XLOOKUP(AL124,reference!D:D,reference!C:C)))</f>
        <v>Doctor Research</v>
      </c>
    </row>
    <row r="125" spans="1:39">
      <c r="A125" t="s">
        <v>112</v>
      </c>
      <c r="B125" t="s">
        <v>795</v>
      </c>
      <c r="C125" t="s">
        <v>796</v>
      </c>
      <c r="D125">
        <v>37</v>
      </c>
      <c r="E125">
        <v>13.246929934481001</v>
      </c>
      <c r="F125">
        <v>0.24690000000000001</v>
      </c>
      <c r="G125">
        <v>8.2222222222222002E-2</v>
      </c>
      <c r="H125">
        <v>16</v>
      </c>
      <c r="I125">
        <v>0.43243243243243001</v>
      </c>
      <c r="J125">
        <v>5.7284021338297997</v>
      </c>
      <c r="K125">
        <v>37</v>
      </c>
      <c r="L125">
        <v>13.246929934481001</v>
      </c>
      <c r="M125">
        <v>2.7930999999999999</v>
      </c>
      <c r="N125">
        <v>8.8396405427661001E-2</v>
      </c>
      <c r="O125" t="s">
        <v>590</v>
      </c>
      <c r="P125" t="s">
        <v>498</v>
      </c>
      <c r="Q125" t="s">
        <v>463</v>
      </c>
      <c r="R125" t="s">
        <v>306</v>
      </c>
      <c r="S125" t="s">
        <v>308</v>
      </c>
      <c r="T125" t="s">
        <v>797</v>
      </c>
      <c r="U125" t="s">
        <v>308</v>
      </c>
      <c r="V125" t="s">
        <v>308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308</v>
      </c>
      <c r="AC125" t="s">
        <v>308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s="117" t="str">
        <f t="shared" si="6"/>
        <v>ILO</v>
      </c>
      <c r="AK125" s="117" t="str">
        <f t="shared" si="7"/>
        <v>Reymar Brunda</v>
      </c>
      <c r="AL125" s="117" t="str">
        <f>_xlfn.XLOOKUP(A125,reference!A:A,reference!D:D)</f>
        <v>HBOSS Portal Doctor Research</v>
      </c>
      <c r="AM125" s="117" t="str">
        <f>IF(A125="AH-SnapHeld-Special Project - B",_xlfn.XLOOKUP(AK125,BP:BP,BO:BO),IF(_xlfn.XLOOKUP(AL125,reference!D:D,reference!C:C)=0,"",_xlfn.XLOOKUP(AL125,reference!D:D,reference!C:C)))</f>
        <v>Doctor Research</v>
      </c>
    </row>
    <row r="126" spans="1:39">
      <c r="A126" t="s">
        <v>109</v>
      </c>
      <c r="B126" t="s">
        <v>798</v>
      </c>
      <c r="C126" t="s">
        <v>799</v>
      </c>
      <c r="D126">
        <v>11</v>
      </c>
      <c r="E126">
        <v>2.8314028314028001</v>
      </c>
      <c r="F126">
        <v>4.1099999999999998E-2</v>
      </c>
      <c r="G126">
        <v>1.5833333333333002E-2</v>
      </c>
      <c r="H126">
        <v>11</v>
      </c>
      <c r="I126">
        <v>1</v>
      </c>
      <c r="J126">
        <v>2.8314028314028001</v>
      </c>
      <c r="K126">
        <v>102</v>
      </c>
      <c r="L126">
        <v>26.254826254826</v>
      </c>
      <c r="M126">
        <v>3.8849999999999998</v>
      </c>
      <c r="N126">
        <v>1.0579150579151E-2</v>
      </c>
      <c r="O126" t="s">
        <v>800</v>
      </c>
      <c r="P126" t="s">
        <v>578</v>
      </c>
      <c r="Q126" t="s">
        <v>721</v>
      </c>
      <c r="R126" t="s">
        <v>504</v>
      </c>
      <c r="S126" t="s">
        <v>308</v>
      </c>
      <c r="T126" t="s">
        <v>308</v>
      </c>
      <c r="U126" t="s">
        <v>308</v>
      </c>
      <c r="V126" t="s">
        <v>308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308</v>
      </c>
      <c r="AC126" t="s">
        <v>308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117" t="str">
        <f t="shared" si="6"/>
        <v>BCD</v>
      </c>
      <c r="AK126" s="117" t="str">
        <f t="shared" si="7"/>
        <v xml:space="preserve">	Jeshurun Corpus</v>
      </c>
      <c r="AL126" s="117" t="str">
        <f>_xlfn.XLOOKUP(A126,reference!A:A,reference!D:D)</f>
        <v>HBOSS Portal Fax MappingAH-SnapHeld-DM-Prod</v>
      </c>
      <c r="AM126" s="117" t="str">
        <f>IF(A126="AH-SnapHeld-Special Project - B",_xlfn.XLOOKUP(AK126,BP:BP,BO:BO),IF(_xlfn.XLOOKUP(AL126,reference!D:D,reference!C:C)=0,"",_xlfn.XLOOKUP(AL126,reference!D:D,reference!C:C)))</f>
        <v>Doctor Match</v>
      </c>
    </row>
    <row r="127" spans="1:39">
      <c r="A127" t="s">
        <v>109</v>
      </c>
      <c r="B127" t="s">
        <v>801</v>
      </c>
      <c r="C127" t="s">
        <v>802</v>
      </c>
      <c r="D127">
        <v>6</v>
      </c>
      <c r="E127">
        <v>1.4857737166630001</v>
      </c>
      <c r="F127">
        <v>3.3599999999999998E-2</v>
      </c>
      <c r="G127">
        <v>7.4999999999999997E-2</v>
      </c>
      <c r="H127">
        <v>6</v>
      </c>
      <c r="I127">
        <v>1</v>
      </c>
      <c r="J127">
        <v>1.4857737166630001</v>
      </c>
      <c r="K127">
        <v>57</v>
      </c>
      <c r="L127">
        <v>14.114850308297999</v>
      </c>
      <c r="M127">
        <v>4.0382999999999996</v>
      </c>
      <c r="N127">
        <v>8.3203328133125004E-3</v>
      </c>
      <c r="O127" t="s">
        <v>803</v>
      </c>
      <c r="P127" t="s">
        <v>804</v>
      </c>
      <c r="Q127" t="s">
        <v>805</v>
      </c>
      <c r="R127" t="s">
        <v>445</v>
      </c>
      <c r="S127" t="s">
        <v>308</v>
      </c>
      <c r="T127" t="s">
        <v>308</v>
      </c>
      <c r="U127" t="s">
        <v>308</v>
      </c>
      <c r="V127" t="s">
        <v>308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308</v>
      </c>
      <c r="AC127" t="s">
        <v>308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s="117" t="str">
        <f t="shared" si="6"/>
        <v>BCD</v>
      </c>
      <c r="AK127" s="117" t="str">
        <f t="shared" si="7"/>
        <v>Gabrielle Angela Alcala</v>
      </c>
      <c r="AL127" s="117" t="str">
        <f>_xlfn.XLOOKUP(A127,reference!A:A,reference!D:D)</f>
        <v>HBOSS Portal Fax MappingAH-SnapHeld-DM-Prod</v>
      </c>
      <c r="AM127" s="117" t="str">
        <f>IF(A127="AH-SnapHeld-Special Project - B",_xlfn.XLOOKUP(AK127,BP:BP,BO:BO),IF(_xlfn.XLOOKUP(AL127,reference!D:D,reference!C:C)=0,"",_xlfn.XLOOKUP(AL127,reference!D:D,reference!C:C)))</f>
        <v>Doctor Match</v>
      </c>
    </row>
    <row r="128" spans="1:39">
      <c r="A128" t="s">
        <v>109</v>
      </c>
      <c r="B128" t="s">
        <v>806</v>
      </c>
      <c r="C128" t="s">
        <v>807</v>
      </c>
      <c r="D128">
        <v>2</v>
      </c>
      <c r="E128">
        <v>0.65359477124182996</v>
      </c>
      <c r="F128">
        <v>3.0999999999999999E-3</v>
      </c>
      <c r="G128">
        <v>1.0833333333333001E-2</v>
      </c>
      <c r="H128">
        <v>2</v>
      </c>
      <c r="I128">
        <v>1</v>
      </c>
      <c r="J128">
        <v>0.65359477124182996</v>
      </c>
      <c r="K128">
        <v>19</v>
      </c>
      <c r="L128">
        <v>6.2091503267974</v>
      </c>
      <c r="M128">
        <v>3.06</v>
      </c>
      <c r="N128">
        <v>1.0130718954248E-3</v>
      </c>
      <c r="O128" t="s">
        <v>808</v>
      </c>
      <c r="P128" t="s">
        <v>809</v>
      </c>
      <c r="Q128" t="s">
        <v>504</v>
      </c>
      <c r="R128" t="s">
        <v>322</v>
      </c>
      <c r="S128" t="s">
        <v>308</v>
      </c>
      <c r="T128" t="s">
        <v>613</v>
      </c>
      <c r="U128" t="s">
        <v>308</v>
      </c>
      <c r="V128" t="s">
        <v>308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308</v>
      </c>
      <c r="AC128" t="s">
        <v>308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s="117" t="str">
        <f t="shared" si="6"/>
        <v>BCD</v>
      </c>
      <c r="AK128" s="117" t="str">
        <f t="shared" si="7"/>
        <v>Julius Canasares</v>
      </c>
      <c r="AL128" s="117" t="str">
        <f>_xlfn.XLOOKUP(A128,reference!A:A,reference!D:D)</f>
        <v>HBOSS Portal Fax MappingAH-SnapHeld-DM-Prod</v>
      </c>
      <c r="AM128" s="117" t="str">
        <f>IF(A128="AH-SnapHeld-Special Project - B",_xlfn.XLOOKUP(AK128,BP:BP,BO:BO),IF(_xlfn.XLOOKUP(AL128,reference!D:D,reference!C:C)=0,"",_xlfn.XLOOKUP(AL128,reference!D:D,reference!C:C)))</f>
        <v>Doctor Match</v>
      </c>
    </row>
    <row r="129" spans="1:39">
      <c r="A129" t="s">
        <v>109</v>
      </c>
      <c r="B129" t="s">
        <v>810</v>
      </c>
      <c r="C129" t="s">
        <v>811</v>
      </c>
      <c r="D129">
        <v>1</v>
      </c>
      <c r="E129">
        <v>0.17147658487233999</v>
      </c>
      <c r="F129">
        <v>0.67279999999999995</v>
      </c>
      <c r="G129">
        <v>2.5000000000000001E-3</v>
      </c>
      <c r="H129">
        <v>1</v>
      </c>
      <c r="I129">
        <v>1</v>
      </c>
      <c r="J129">
        <v>0.17147658487233999</v>
      </c>
      <c r="K129">
        <v>5</v>
      </c>
      <c r="L129">
        <v>0.85738292436167995</v>
      </c>
      <c r="M129">
        <v>5.8316999999999997</v>
      </c>
      <c r="N129">
        <v>0.11536944630211</v>
      </c>
      <c r="O129" t="s">
        <v>812</v>
      </c>
      <c r="P129" t="s">
        <v>813</v>
      </c>
      <c r="Q129" t="s">
        <v>767</v>
      </c>
      <c r="R129" t="s">
        <v>395</v>
      </c>
      <c r="S129" t="s">
        <v>308</v>
      </c>
      <c r="T129" t="s">
        <v>655</v>
      </c>
      <c r="U129" t="s">
        <v>308</v>
      </c>
      <c r="V129" t="s">
        <v>308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308</v>
      </c>
      <c r="AC129" t="s">
        <v>308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s="117" t="str">
        <f t="shared" si="6"/>
        <v>BCD</v>
      </c>
      <c r="AK129" s="117" t="str">
        <f t="shared" si="7"/>
        <v>LA Rezhebel Loraine Belloso</v>
      </c>
      <c r="AL129" s="117" t="str">
        <f>_xlfn.XLOOKUP(A129,reference!A:A,reference!D:D)</f>
        <v>HBOSS Portal Fax MappingAH-SnapHeld-DM-Prod</v>
      </c>
      <c r="AM129" s="117" t="str">
        <f>IF(A129="AH-SnapHeld-Special Project - B",_xlfn.XLOOKUP(AK129,BP:BP,BO:BO),IF(_xlfn.XLOOKUP(AL129,reference!D:D,reference!C:C)=0,"",_xlfn.XLOOKUP(AL129,reference!D:D,reference!C:C)))</f>
        <v>Doctor Match</v>
      </c>
    </row>
    <row r="130" spans="1:39">
      <c r="A130" t="s">
        <v>109</v>
      </c>
      <c r="B130" t="s">
        <v>814</v>
      </c>
      <c r="C130" t="s">
        <v>815</v>
      </c>
      <c r="D130">
        <v>7</v>
      </c>
      <c r="E130">
        <v>2.0970012881578999</v>
      </c>
      <c r="F130">
        <v>2.47E-2</v>
      </c>
      <c r="G130">
        <v>1.1666666666667E-2</v>
      </c>
      <c r="H130">
        <v>7</v>
      </c>
      <c r="I130">
        <v>1</v>
      </c>
      <c r="J130">
        <v>2.0970012881578999</v>
      </c>
      <c r="K130">
        <v>36</v>
      </c>
      <c r="L130">
        <v>10.784578053383999</v>
      </c>
      <c r="M130">
        <v>3.3380999999999998</v>
      </c>
      <c r="N130">
        <v>7.3994188310716E-3</v>
      </c>
      <c r="O130" t="s">
        <v>816</v>
      </c>
      <c r="P130" t="s">
        <v>578</v>
      </c>
      <c r="Q130" t="s">
        <v>404</v>
      </c>
      <c r="R130" t="s">
        <v>315</v>
      </c>
      <c r="S130" t="s">
        <v>308</v>
      </c>
      <c r="T130" t="s">
        <v>817</v>
      </c>
      <c r="U130" t="s">
        <v>308</v>
      </c>
      <c r="V130" t="s">
        <v>308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308</v>
      </c>
      <c r="AC130" t="s">
        <v>308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s="117" t="str">
        <f t="shared" ref="AJ130:AJ164" si="8">LEFT(B130,3)</f>
        <v>BCD</v>
      </c>
      <c r="AK130" s="117" t="str">
        <f t="shared" ref="AK130:AK164" si="9">TRIM(RIGHT(B130, LEN(B130)-3))</f>
        <v>Maria Amalia Endrinal</v>
      </c>
      <c r="AL130" s="117" t="str">
        <f>_xlfn.XLOOKUP(A130,reference!A:A,reference!D:D)</f>
        <v>HBOSS Portal Fax MappingAH-SnapHeld-DM-Prod</v>
      </c>
      <c r="AM130" s="117" t="str">
        <f>IF(A130="AH-SnapHeld-Special Project - B",_xlfn.XLOOKUP(AK130,BP:BP,BO:BO),IF(_xlfn.XLOOKUP(AL130,reference!D:D,reference!C:C)=0,"",_xlfn.XLOOKUP(AL130,reference!D:D,reference!C:C)))</f>
        <v>Doctor Match</v>
      </c>
    </row>
    <row r="131" spans="1:39">
      <c r="A131" t="s">
        <v>109</v>
      </c>
      <c r="B131" t="s">
        <v>818</v>
      </c>
      <c r="C131" t="s">
        <v>819</v>
      </c>
      <c r="D131">
        <v>1</v>
      </c>
      <c r="E131">
        <v>1.0590976488032</v>
      </c>
      <c r="F131">
        <v>5.9999999999999995E-4</v>
      </c>
      <c r="G131">
        <v>1.0277777777778E-2</v>
      </c>
      <c r="H131">
        <v>1</v>
      </c>
      <c r="I131">
        <v>1</v>
      </c>
      <c r="J131">
        <v>1.0590976488032</v>
      </c>
      <c r="K131">
        <v>20</v>
      </c>
      <c r="L131">
        <v>21.181952976064</v>
      </c>
      <c r="M131">
        <v>0.94420000000000004</v>
      </c>
      <c r="N131">
        <v>6.3545858928192999E-4</v>
      </c>
      <c r="O131" t="s">
        <v>820</v>
      </c>
      <c r="P131" t="s">
        <v>821</v>
      </c>
      <c r="Q131" t="s">
        <v>304</v>
      </c>
      <c r="R131" t="s">
        <v>486</v>
      </c>
      <c r="S131" t="s">
        <v>308</v>
      </c>
      <c r="T131" t="s">
        <v>308</v>
      </c>
      <c r="U131" t="s">
        <v>308</v>
      </c>
      <c r="V131" t="s">
        <v>308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308</v>
      </c>
      <c r="AC131" t="s">
        <v>308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s="117" t="str">
        <f t="shared" si="8"/>
        <v>BCD</v>
      </c>
      <c r="AK131" s="117" t="str">
        <f t="shared" si="9"/>
        <v>Nicole Amador</v>
      </c>
      <c r="AL131" s="117" t="str">
        <f>_xlfn.XLOOKUP(A131,reference!A:A,reference!D:D)</f>
        <v>HBOSS Portal Fax MappingAH-SnapHeld-DM-Prod</v>
      </c>
      <c r="AM131" s="117" t="str">
        <f>IF(A131="AH-SnapHeld-Special Project - B",_xlfn.XLOOKUP(AK131,BP:BP,BO:BO),IF(_xlfn.XLOOKUP(AL131,reference!D:D,reference!C:C)=0,"",_xlfn.XLOOKUP(AL131,reference!D:D,reference!C:C)))</f>
        <v>Doctor Match</v>
      </c>
    </row>
    <row r="132" spans="1:39">
      <c r="A132" t="s">
        <v>109</v>
      </c>
      <c r="B132" t="s">
        <v>822</v>
      </c>
      <c r="C132" t="s">
        <v>823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1.7894000000000001</v>
      </c>
      <c r="N132">
        <v>0</v>
      </c>
      <c r="O132" t="s">
        <v>308</v>
      </c>
      <c r="P132" t="s">
        <v>308</v>
      </c>
      <c r="Q132" t="s">
        <v>308</v>
      </c>
      <c r="R132" t="s">
        <v>308</v>
      </c>
      <c r="S132" t="s">
        <v>308</v>
      </c>
      <c r="T132" t="s">
        <v>308</v>
      </c>
      <c r="U132" t="s">
        <v>308</v>
      </c>
      <c r="V132" t="s">
        <v>308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308</v>
      </c>
      <c r="AC132" t="s">
        <v>308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s="117" t="str">
        <f t="shared" si="8"/>
        <v>BTG</v>
      </c>
      <c r="AK132" s="117" t="str">
        <f t="shared" si="9"/>
        <v xml:space="preserve">	Jairo Enriquez</v>
      </c>
      <c r="AL132" s="117" t="str">
        <f>_xlfn.XLOOKUP(A132,reference!A:A,reference!D:D)</f>
        <v>HBOSS Portal Fax MappingAH-SnapHeld-DM-Prod</v>
      </c>
      <c r="AM132" s="117" t="str">
        <f>IF(A132="AH-SnapHeld-Special Project - B",_xlfn.XLOOKUP(AK132,BP:BP,BO:BO),IF(_xlfn.XLOOKUP(AL132,reference!D:D,reference!C:C)=0,"",_xlfn.XLOOKUP(AL132,reference!D:D,reference!C:C)))</f>
        <v>Doctor Match</v>
      </c>
    </row>
    <row r="133" spans="1:39">
      <c r="A133" t="s">
        <v>109</v>
      </c>
      <c r="B133" t="s">
        <v>824</v>
      </c>
      <c r="C133" t="s">
        <v>825</v>
      </c>
      <c r="D133">
        <v>2</v>
      </c>
      <c r="E133">
        <v>0.76587271195526996</v>
      </c>
      <c r="F133">
        <v>5.9999999999999995E-4</v>
      </c>
      <c r="G133">
        <v>0.02</v>
      </c>
      <c r="H133">
        <v>2</v>
      </c>
      <c r="I133">
        <v>1</v>
      </c>
      <c r="J133">
        <v>0.76587271195526996</v>
      </c>
      <c r="K133">
        <v>12</v>
      </c>
      <c r="L133">
        <v>4.5952362717315998</v>
      </c>
      <c r="M133">
        <v>2.6114000000000002</v>
      </c>
      <c r="N133">
        <v>2.2976181358658001E-4</v>
      </c>
      <c r="O133" t="s">
        <v>826</v>
      </c>
      <c r="P133" t="s">
        <v>486</v>
      </c>
      <c r="Q133" t="s">
        <v>319</v>
      </c>
      <c r="R133" t="s">
        <v>530</v>
      </c>
      <c r="S133" t="s">
        <v>308</v>
      </c>
      <c r="T133" t="s">
        <v>827</v>
      </c>
      <c r="U133" t="s">
        <v>308</v>
      </c>
      <c r="V133" t="s">
        <v>308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308</v>
      </c>
      <c r="AC133" t="s">
        <v>308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s="117" t="str">
        <f t="shared" si="8"/>
        <v>BTG</v>
      </c>
      <c r="AK133" s="117" t="str">
        <f t="shared" si="9"/>
        <v>April Ann Serrano</v>
      </c>
      <c r="AL133" s="117" t="str">
        <f>_xlfn.XLOOKUP(A133,reference!A:A,reference!D:D)</f>
        <v>HBOSS Portal Fax MappingAH-SnapHeld-DM-Prod</v>
      </c>
      <c r="AM133" s="117" t="str">
        <f>IF(A133="AH-SnapHeld-Special Project - B",_xlfn.XLOOKUP(AK133,BP:BP,BO:BO),IF(_xlfn.XLOOKUP(AL133,reference!D:D,reference!C:C)=0,"",_xlfn.XLOOKUP(AL133,reference!D:D,reference!C:C)))</f>
        <v>Doctor Match</v>
      </c>
    </row>
    <row r="134" spans="1:39">
      <c r="A134" t="s">
        <v>109</v>
      </c>
      <c r="B134" t="s">
        <v>828</v>
      </c>
      <c r="C134" t="s">
        <v>829</v>
      </c>
      <c r="D134">
        <v>4</v>
      </c>
      <c r="E134">
        <v>2.3860653781913999</v>
      </c>
      <c r="F134">
        <v>2.3099999999999999E-2</v>
      </c>
      <c r="G134">
        <v>7.2222222222222002E-3</v>
      </c>
      <c r="H134">
        <v>4</v>
      </c>
      <c r="I134">
        <v>1</v>
      </c>
      <c r="J134">
        <v>2.3860653781913999</v>
      </c>
      <c r="K134">
        <v>4</v>
      </c>
      <c r="L134">
        <v>2.3860653781913999</v>
      </c>
      <c r="M134">
        <v>1.6763999999999999</v>
      </c>
      <c r="N134">
        <v>1.3779527559055E-2</v>
      </c>
      <c r="O134" t="s">
        <v>830</v>
      </c>
      <c r="P134" t="s">
        <v>831</v>
      </c>
      <c r="Q134" t="s">
        <v>805</v>
      </c>
      <c r="R134" t="s">
        <v>315</v>
      </c>
      <c r="S134" t="s">
        <v>308</v>
      </c>
      <c r="T134" t="s">
        <v>308</v>
      </c>
      <c r="U134" t="s">
        <v>308</v>
      </c>
      <c r="V134" t="s">
        <v>308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308</v>
      </c>
      <c r="AC134" t="s">
        <v>308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s="117" t="str">
        <f t="shared" si="8"/>
        <v>BTG</v>
      </c>
      <c r="AK134" s="117" t="str">
        <f t="shared" si="9"/>
        <v>Aldrin Toledo</v>
      </c>
      <c r="AL134" s="117" t="str">
        <f>_xlfn.XLOOKUP(A134,reference!A:A,reference!D:D)</f>
        <v>HBOSS Portal Fax MappingAH-SnapHeld-DM-Prod</v>
      </c>
      <c r="AM134" s="117" t="str">
        <f>IF(A134="AH-SnapHeld-Special Project - B",_xlfn.XLOOKUP(AK134,BP:BP,BO:BO),IF(_xlfn.XLOOKUP(AL134,reference!D:D,reference!C:C)=0,"",_xlfn.XLOOKUP(AL134,reference!D:D,reference!C:C)))</f>
        <v>Doctor Match</v>
      </c>
    </row>
    <row r="135" spans="1:39">
      <c r="A135" t="s">
        <v>109</v>
      </c>
      <c r="B135" t="s">
        <v>832</v>
      </c>
      <c r="C135" t="s">
        <v>833</v>
      </c>
      <c r="D135">
        <v>1</v>
      </c>
      <c r="E135">
        <v>0.58630393996247998</v>
      </c>
      <c r="F135">
        <v>1.5800000000000002E-2</v>
      </c>
      <c r="G135">
        <v>1.3888888888889E-3</v>
      </c>
      <c r="H135">
        <v>1</v>
      </c>
      <c r="I135">
        <v>1</v>
      </c>
      <c r="J135">
        <v>0.58630393996247998</v>
      </c>
      <c r="K135">
        <v>5</v>
      </c>
      <c r="L135">
        <v>2.9315196998123998</v>
      </c>
      <c r="M135">
        <v>1.7056</v>
      </c>
      <c r="N135">
        <v>9.2636022514070993E-3</v>
      </c>
      <c r="O135" t="s">
        <v>834</v>
      </c>
      <c r="P135" t="s">
        <v>507</v>
      </c>
      <c r="Q135" t="s">
        <v>687</v>
      </c>
      <c r="R135" t="s">
        <v>504</v>
      </c>
      <c r="S135" t="s">
        <v>308</v>
      </c>
      <c r="T135" t="s">
        <v>308</v>
      </c>
      <c r="U135" t="s">
        <v>308</v>
      </c>
      <c r="V135" t="s">
        <v>308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308</v>
      </c>
      <c r="AC135" t="s">
        <v>308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s="117" t="str">
        <f t="shared" si="8"/>
        <v>BTG</v>
      </c>
      <c r="AK135" s="117" t="str">
        <f t="shared" si="9"/>
        <v>Bemilyn Vinas</v>
      </c>
      <c r="AL135" s="117" t="str">
        <f>_xlfn.XLOOKUP(A135,reference!A:A,reference!D:D)</f>
        <v>HBOSS Portal Fax MappingAH-SnapHeld-DM-Prod</v>
      </c>
      <c r="AM135" s="117" t="str">
        <f>IF(A135="AH-SnapHeld-Special Project - B",_xlfn.XLOOKUP(AK135,BP:BP,BO:BO),IF(_xlfn.XLOOKUP(AL135,reference!D:D,reference!C:C)=0,"",_xlfn.XLOOKUP(AL135,reference!D:D,reference!C:C)))</f>
        <v>Doctor Match</v>
      </c>
    </row>
    <row r="136" spans="1:39">
      <c r="A136" t="s">
        <v>109</v>
      </c>
      <c r="B136" t="s">
        <v>835</v>
      </c>
      <c r="C136" t="s">
        <v>836</v>
      </c>
      <c r="D136">
        <v>1</v>
      </c>
      <c r="E136">
        <v>0.58699225170227998</v>
      </c>
      <c r="F136">
        <v>3.0300000000000001E-2</v>
      </c>
      <c r="G136">
        <v>2.2222222222222001E-3</v>
      </c>
      <c r="H136">
        <v>1</v>
      </c>
      <c r="I136">
        <v>1</v>
      </c>
      <c r="J136">
        <v>0.58699225170227998</v>
      </c>
      <c r="K136">
        <v>10</v>
      </c>
      <c r="L136">
        <v>5.8699225170228004</v>
      </c>
      <c r="M136">
        <v>1.7036</v>
      </c>
      <c r="N136">
        <v>1.7785865226579E-2</v>
      </c>
      <c r="O136" t="s">
        <v>837</v>
      </c>
      <c r="P136" t="s">
        <v>838</v>
      </c>
      <c r="Q136" t="s">
        <v>839</v>
      </c>
      <c r="R136" t="s">
        <v>306</v>
      </c>
      <c r="S136" t="s">
        <v>308</v>
      </c>
      <c r="T136" t="s">
        <v>308</v>
      </c>
      <c r="U136" t="s">
        <v>308</v>
      </c>
      <c r="V136" t="s">
        <v>308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308</v>
      </c>
      <c r="AC136" t="s">
        <v>308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s="117" t="str">
        <f t="shared" si="8"/>
        <v>BTG</v>
      </c>
      <c r="AK136" s="117" t="str">
        <f t="shared" si="9"/>
        <v>Darwin Llanto</v>
      </c>
      <c r="AL136" s="117" t="str">
        <f>_xlfn.XLOOKUP(A136,reference!A:A,reference!D:D)</f>
        <v>HBOSS Portal Fax MappingAH-SnapHeld-DM-Prod</v>
      </c>
      <c r="AM136" s="117" t="str">
        <f>IF(A136="AH-SnapHeld-Special Project - B",_xlfn.XLOOKUP(AK136,BP:BP,BO:BO),IF(_xlfn.XLOOKUP(AL136,reference!D:D,reference!C:C)=0,"",_xlfn.XLOOKUP(AL136,reference!D:D,reference!C:C)))</f>
        <v>Doctor Match</v>
      </c>
    </row>
    <row r="137" spans="1:39">
      <c r="A137" t="s">
        <v>109</v>
      </c>
      <c r="B137" t="s">
        <v>840</v>
      </c>
      <c r="C137" t="s">
        <v>841</v>
      </c>
      <c r="D137">
        <v>2</v>
      </c>
      <c r="E137">
        <v>2.7262813522356</v>
      </c>
      <c r="F137">
        <v>2.3599999999999999E-2</v>
      </c>
      <c r="G137">
        <v>2.7777777777778E-3</v>
      </c>
      <c r="H137">
        <v>2</v>
      </c>
      <c r="I137">
        <v>1</v>
      </c>
      <c r="J137">
        <v>2.7262813522356</v>
      </c>
      <c r="K137">
        <v>10</v>
      </c>
      <c r="L137">
        <v>13.631406761178001</v>
      </c>
      <c r="M137">
        <v>0.73360000000000003</v>
      </c>
      <c r="N137">
        <v>3.2170119956379001E-2</v>
      </c>
      <c r="O137" t="s">
        <v>842</v>
      </c>
      <c r="P137" t="s">
        <v>672</v>
      </c>
      <c r="Q137" t="s">
        <v>415</v>
      </c>
      <c r="R137" t="s">
        <v>504</v>
      </c>
      <c r="S137" t="s">
        <v>308</v>
      </c>
      <c r="T137" t="s">
        <v>308</v>
      </c>
      <c r="U137" t="s">
        <v>308</v>
      </c>
      <c r="V137" t="s">
        <v>308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308</v>
      </c>
      <c r="AC137" t="s">
        <v>308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s="117" t="str">
        <f t="shared" si="8"/>
        <v>BTG</v>
      </c>
      <c r="AK137" s="117" t="str">
        <f t="shared" si="9"/>
        <v>Daryl Baque</v>
      </c>
      <c r="AL137" s="117" t="str">
        <f>_xlfn.XLOOKUP(A137,reference!A:A,reference!D:D)</f>
        <v>HBOSS Portal Fax MappingAH-SnapHeld-DM-Prod</v>
      </c>
      <c r="AM137" s="117" t="str">
        <f>IF(A137="AH-SnapHeld-Special Project - B",_xlfn.XLOOKUP(AK137,BP:BP,BO:BO),IF(_xlfn.XLOOKUP(AL137,reference!D:D,reference!C:C)=0,"",_xlfn.XLOOKUP(AL137,reference!D:D,reference!C:C)))</f>
        <v>Doctor Match</v>
      </c>
    </row>
    <row r="138" spans="1:39">
      <c r="A138" t="s">
        <v>109</v>
      </c>
      <c r="B138" t="s">
        <v>843</v>
      </c>
      <c r="C138" t="s">
        <v>844</v>
      </c>
      <c r="D138">
        <v>5</v>
      </c>
      <c r="E138">
        <v>3.0010203469180001</v>
      </c>
      <c r="F138">
        <v>3.6900000000000002E-2</v>
      </c>
      <c r="G138">
        <v>3.0555555555556E-3</v>
      </c>
      <c r="H138">
        <v>5</v>
      </c>
      <c r="I138">
        <v>1</v>
      </c>
      <c r="J138">
        <v>3.0010203469180001</v>
      </c>
      <c r="K138">
        <v>5</v>
      </c>
      <c r="L138">
        <v>3.0010203469180001</v>
      </c>
      <c r="M138">
        <v>1.6660999999999999</v>
      </c>
      <c r="N138">
        <v>2.2147530160254E-2</v>
      </c>
      <c r="O138" t="s">
        <v>845</v>
      </c>
      <c r="P138" t="s">
        <v>390</v>
      </c>
      <c r="Q138" t="s">
        <v>742</v>
      </c>
      <c r="R138" t="s">
        <v>304</v>
      </c>
      <c r="S138" t="s">
        <v>308</v>
      </c>
      <c r="T138" t="s">
        <v>308</v>
      </c>
      <c r="U138" t="s">
        <v>308</v>
      </c>
      <c r="V138" t="s">
        <v>308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308</v>
      </c>
      <c r="AC138" t="s">
        <v>308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s="117" t="str">
        <f t="shared" si="8"/>
        <v>BTG</v>
      </c>
      <c r="AK138" s="117" t="str">
        <f t="shared" si="9"/>
        <v>Edgardo Pasahol</v>
      </c>
      <c r="AL138" s="117" t="str">
        <f>_xlfn.XLOOKUP(A138,reference!A:A,reference!D:D)</f>
        <v>HBOSS Portal Fax MappingAH-SnapHeld-DM-Prod</v>
      </c>
      <c r="AM138" s="117" t="str">
        <f>IF(A138="AH-SnapHeld-Special Project - B",_xlfn.XLOOKUP(AK138,BP:BP,BO:BO),IF(_xlfn.XLOOKUP(AL138,reference!D:D,reference!C:C)=0,"",_xlfn.XLOOKUP(AL138,reference!D:D,reference!C:C)))</f>
        <v>Doctor Match</v>
      </c>
    </row>
    <row r="139" spans="1:39">
      <c r="A139" t="s">
        <v>109</v>
      </c>
      <c r="B139" t="s">
        <v>846</v>
      </c>
      <c r="C139" t="s">
        <v>847</v>
      </c>
      <c r="D139">
        <v>7</v>
      </c>
      <c r="E139">
        <v>5.9813722977013999</v>
      </c>
      <c r="F139">
        <v>8.3299999999999999E-2</v>
      </c>
      <c r="G139">
        <v>5.8333333333332998E-3</v>
      </c>
      <c r="H139">
        <v>7</v>
      </c>
      <c r="I139">
        <v>1</v>
      </c>
      <c r="J139">
        <v>5.9813722977013999</v>
      </c>
      <c r="K139">
        <v>7</v>
      </c>
      <c r="L139">
        <v>5.9813722977013999</v>
      </c>
      <c r="M139">
        <v>1.1702999999999999</v>
      </c>
      <c r="N139">
        <v>7.1178330342647006E-2</v>
      </c>
      <c r="O139" t="s">
        <v>848</v>
      </c>
      <c r="P139" t="s">
        <v>445</v>
      </c>
      <c r="Q139" t="s">
        <v>415</v>
      </c>
      <c r="R139" t="s">
        <v>312</v>
      </c>
      <c r="S139" t="s">
        <v>308</v>
      </c>
      <c r="T139" t="s">
        <v>557</v>
      </c>
      <c r="U139" t="s">
        <v>308</v>
      </c>
      <c r="V139" t="s">
        <v>308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308</v>
      </c>
      <c r="AC139" t="s">
        <v>308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s="117" t="str">
        <f t="shared" si="8"/>
        <v>BTG</v>
      </c>
      <c r="AK139" s="117" t="str">
        <f t="shared" si="9"/>
        <v>Faith Larissa Montablan</v>
      </c>
      <c r="AL139" s="117" t="str">
        <f>_xlfn.XLOOKUP(A139,reference!A:A,reference!D:D)</f>
        <v>HBOSS Portal Fax MappingAH-SnapHeld-DM-Prod</v>
      </c>
      <c r="AM139" s="117" t="str">
        <f>IF(A139="AH-SnapHeld-Special Project - B",_xlfn.XLOOKUP(AK139,BP:BP,BO:BO),IF(_xlfn.XLOOKUP(AL139,reference!D:D,reference!C:C)=0,"",_xlfn.XLOOKUP(AL139,reference!D:D,reference!C:C)))</f>
        <v>Doctor Match</v>
      </c>
    </row>
    <row r="140" spans="1:39">
      <c r="A140" t="s">
        <v>109</v>
      </c>
      <c r="B140" t="s">
        <v>849</v>
      </c>
      <c r="C140" t="s">
        <v>850</v>
      </c>
      <c r="D140">
        <v>3</v>
      </c>
      <c r="E140">
        <v>1.7241379310345</v>
      </c>
      <c r="F140">
        <v>6.6400000000000001E-2</v>
      </c>
      <c r="G140">
        <v>1.3888888888889E-3</v>
      </c>
      <c r="H140">
        <v>3</v>
      </c>
      <c r="I140">
        <v>1</v>
      </c>
      <c r="J140">
        <v>1.7241379310345</v>
      </c>
      <c r="K140">
        <v>43</v>
      </c>
      <c r="L140">
        <v>24.712643678161001</v>
      </c>
      <c r="M140">
        <v>1.74</v>
      </c>
      <c r="N140">
        <v>3.8160919540230001E-2</v>
      </c>
      <c r="O140" t="s">
        <v>851</v>
      </c>
      <c r="P140" t="s">
        <v>540</v>
      </c>
      <c r="Q140" t="s">
        <v>852</v>
      </c>
      <c r="R140" t="s">
        <v>319</v>
      </c>
      <c r="S140" t="s">
        <v>308</v>
      </c>
      <c r="T140" t="s">
        <v>308</v>
      </c>
      <c r="U140" t="s">
        <v>308</v>
      </c>
      <c r="V140" t="s">
        <v>308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308</v>
      </c>
      <c r="AC140" t="s">
        <v>308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s="117" t="str">
        <f t="shared" si="8"/>
        <v>BTG</v>
      </c>
      <c r="AK140" s="117" t="str">
        <f t="shared" si="9"/>
        <v>Ian James Ricero</v>
      </c>
      <c r="AL140" s="117" t="str">
        <f>_xlfn.XLOOKUP(A140,reference!A:A,reference!D:D)</f>
        <v>HBOSS Portal Fax MappingAH-SnapHeld-DM-Prod</v>
      </c>
      <c r="AM140" s="117" t="str">
        <f>IF(A140="AH-SnapHeld-Special Project - B",_xlfn.XLOOKUP(AK140,BP:BP,BO:BO),IF(_xlfn.XLOOKUP(AL140,reference!D:D,reference!C:C)=0,"",_xlfn.XLOOKUP(AL140,reference!D:D,reference!C:C)))</f>
        <v>Doctor Match</v>
      </c>
    </row>
    <row r="141" spans="1:39">
      <c r="A141" t="s">
        <v>109</v>
      </c>
      <c r="B141" t="s">
        <v>853</v>
      </c>
      <c r="C141" t="s">
        <v>854</v>
      </c>
      <c r="D141">
        <v>3</v>
      </c>
      <c r="E141">
        <v>8.3658672615728005</v>
      </c>
      <c r="F141">
        <v>7.6100000000000001E-2</v>
      </c>
      <c r="G141">
        <v>5.0000000000000001E-3</v>
      </c>
      <c r="H141">
        <v>3</v>
      </c>
      <c r="I141">
        <v>1</v>
      </c>
      <c r="J141">
        <v>8.3658672615728005</v>
      </c>
      <c r="K141">
        <v>31</v>
      </c>
      <c r="L141">
        <v>86.447295036252001</v>
      </c>
      <c r="M141">
        <v>0.35859999999999997</v>
      </c>
      <c r="N141">
        <v>0.21221416620190001</v>
      </c>
      <c r="O141" t="s">
        <v>855</v>
      </c>
      <c r="P141" t="s">
        <v>542</v>
      </c>
      <c r="Q141" t="s">
        <v>543</v>
      </c>
      <c r="R141" t="s">
        <v>315</v>
      </c>
      <c r="S141" t="s">
        <v>308</v>
      </c>
      <c r="T141" t="s">
        <v>501</v>
      </c>
      <c r="U141" t="s">
        <v>308</v>
      </c>
      <c r="V141" t="s">
        <v>308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308</v>
      </c>
      <c r="AC141" t="s">
        <v>308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s="117" t="str">
        <f t="shared" si="8"/>
        <v>BTG</v>
      </c>
      <c r="AK141" s="117" t="str">
        <f t="shared" si="9"/>
        <v>Janica Tonic</v>
      </c>
      <c r="AL141" s="117" t="str">
        <f>_xlfn.XLOOKUP(A141,reference!A:A,reference!D:D)</f>
        <v>HBOSS Portal Fax MappingAH-SnapHeld-DM-Prod</v>
      </c>
      <c r="AM141" s="117" t="str">
        <f>IF(A141="AH-SnapHeld-Special Project - B",_xlfn.XLOOKUP(AK141,BP:BP,BO:BO),IF(_xlfn.XLOOKUP(AL141,reference!D:D,reference!C:C)=0,"",_xlfn.XLOOKUP(AL141,reference!D:D,reference!C:C)))</f>
        <v>Doctor Match</v>
      </c>
    </row>
    <row r="142" spans="1:39">
      <c r="A142" t="s">
        <v>109</v>
      </c>
      <c r="B142" t="s">
        <v>856</v>
      </c>
      <c r="C142" t="s">
        <v>857</v>
      </c>
      <c r="D142">
        <v>4</v>
      </c>
      <c r="E142">
        <v>2.6359143327841998</v>
      </c>
      <c r="F142">
        <v>2.1899999999999999E-2</v>
      </c>
      <c r="G142">
        <v>7.7777777777778001E-3</v>
      </c>
      <c r="H142">
        <v>4</v>
      </c>
      <c r="I142">
        <v>1</v>
      </c>
      <c r="J142">
        <v>2.6359143327841998</v>
      </c>
      <c r="K142">
        <v>4</v>
      </c>
      <c r="L142">
        <v>2.6359143327841998</v>
      </c>
      <c r="M142">
        <v>1.5175000000000001</v>
      </c>
      <c r="N142">
        <v>1.4431630971993001E-2</v>
      </c>
      <c r="O142" t="s">
        <v>858</v>
      </c>
      <c r="P142" t="s">
        <v>742</v>
      </c>
      <c r="Q142" t="s">
        <v>322</v>
      </c>
      <c r="R142" t="s">
        <v>339</v>
      </c>
      <c r="S142" t="s">
        <v>308</v>
      </c>
      <c r="T142" t="s">
        <v>308</v>
      </c>
      <c r="U142" t="s">
        <v>308</v>
      </c>
      <c r="V142" t="s">
        <v>308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308</v>
      </c>
      <c r="AC142" t="s">
        <v>308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s="117" t="str">
        <f t="shared" si="8"/>
        <v>BTG</v>
      </c>
      <c r="AK142" s="117" t="str">
        <f t="shared" si="9"/>
        <v>Jayvan Cantollas</v>
      </c>
      <c r="AL142" s="117" t="str">
        <f>_xlfn.XLOOKUP(A142,reference!A:A,reference!D:D)</f>
        <v>HBOSS Portal Fax MappingAH-SnapHeld-DM-Prod</v>
      </c>
      <c r="AM142" s="117" t="str">
        <f>IF(A142="AH-SnapHeld-Special Project - B",_xlfn.XLOOKUP(AK142,BP:BP,BO:BO),IF(_xlfn.XLOOKUP(AL142,reference!D:D,reference!C:C)=0,"",_xlfn.XLOOKUP(AL142,reference!D:D,reference!C:C)))</f>
        <v>Doctor Match</v>
      </c>
    </row>
    <row r="143" spans="1:39">
      <c r="A143" t="s">
        <v>109</v>
      </c>
      <c r="B143" t="s">
        <v>859</v>
      </c>
      <c r="C143" t="s">
        <v>860</v>
      </c>
      <c r="D143">
        <v>2</v>
      </c>
      <c r="E143">
        <v>1.3460761879122001</v>
      </c>
      <c r="F143">
        <v>1.8599999999999998E-2</v>
      </c>
      <c r="G143">
        <v>1.6666666666667E-3</v>
      </c>
      <c r="H143">
        <v>2</v>
      </c>
      <c r="I143">
        <v>1</v>
      </c>
      <c r="J143">
        <v>1.3460761879122001</v>
      </c>
      <c r="K143">
        <v>8</v>
      </c>
      <c r="L143">
        <v>5.3843047516488998</v>
      </c>
      <c r="M143">
        <v>1.4858</v>
      </c>
      <c r="N143">
        <v>1.2518508547584E-2</v>
      </c>
      <c r="O143" t="s">
        <v>861</v>
      </c>
      <c r="P143" t="s">
        <v>530</v>
      </c>
      <c r="Q143" t="s">
        <v>424</v>
      </c>
      <c r="R143" t="s">
        <v>312</v>
      </c>
      <c r="S143" t="s">
        <v>308</v>
      </c>
      <c r="T143" t="s">
        <v>308</v>
      </c>
      <c r="U143" t="s">
        <v>308</v>
      </c>
      <c r="V143" t="s">
        <v>308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308</v>
      </c>
      <c r="AC143" t="s">
        <v>308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s="117" t="str">
        <f t="shared" si="8"/>
        <v>BTG</v>
      </c>
      <c r="AK143" s="117" t="str">
        <f t="shared" si="9"/>
        <v>Jhon Carlo Marcelino</v>
      </c>
      <c r="AL143" s="117" t="str">
        <f>_xlfn.XLOOKUP(A143,reference!A:A,reference!D:D)</f>
        <v>HBOSS Portal Fax MappingAH-SnapHeld-DM-Prod</v>
      </c>
      <c r="AM143" s="117" t="str">
        <f>IF(A143="AH-SnapHeld-Special Project - B",_xlfn.XLOOKUP(AK143,BP:BP,BO:BO),IF(_xlfn.XLOOKUP(AL143,reference!D:D,reference!C:C)=0,"",_xlfn.XLOOKUP(AL143,reference!D:D,reference!C:C)))</f>
        <v>Doctor Match</v>
      </c>
    </row>
    <row r="144" spans="1:39">
      <c r="A144" t="s">
        <v>109</v>
      </c>
      <c r="B144" t="s">
        <v>862</v>
      </c>
      <c r="C144" t="s">
        <v>863</v>
      </c>
      <c r="D144">
        <v>4</v>
      </c>
      <c r="E144">
        <v>2.3304591004428001</v>
      </c>
      <c r="F144">
        <v>4.2799999999999998E-2</v>
      </c>
      <c r="G144">
        <v>9.7222222222221998E-3</v>
      </c>
      <c r="H144">
        <v>4</v>
      </c>
      <c r="I144">
        <v>1</v>
      </c>
      <c r="J144">
        <v>2.3304591004428001</v>
      </c>
      <c r="K144">
        <v>17</v>
      </c>
      <c r="L144">
        <v>9.9044511768817998</v>
      </c>
      <c r="M144">
        <v>1.7163999999999999</v>
      </c>
      <c r="N144">
        <v>2.4935912374737999E-2</v>
      </c>
      <c r="O144" t="s">
        <v>864</v>
      </c>
      <c r="P144" t="s">
        <v>672</v>
      </c>
      <c r="Q144" t="s">
        <v>865</v>
      </c>
      <c r="R144" t="s">
        <v>306</v>
      </c>
      <c r="S144" t="s">
        <v>308</v>
      </c>
      <c r="T144" t="s">
        <v>308</v>
      </c>
      <c r="U144" t="s">
        <v>308</v>
      </c>
      <c r="V144" t="s">
        <v>308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308</v>
      </c>
      <c r="AC144" t="s">
        <v>308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s="117" t="str">
        <f t="shared" si="8"/>
        <v>BTG</v>
      </c>
      <c r="AK144" s="117" t="str">
        <f t="shared" si="9"/>
        <v>Joelle Ann Poticar</v>
      </c>
      <c r="AL144" s="117" t="str">
        <f>_xlfn.XLOOKUP(A144,reference!A:A,reference!D:D)</f>
        <v>HBOSS Portal Fax MappingAH-SnapHeld-DM-Prod</v>
      </c>
      <c r="AM144" s="117" t="str">
        <f>IF(A144="AH-SnapHeld-Special Project - B",_xlfn.XLOOKUP(AK144,BP:BP,BO:BO),IF(_xlfn.XLOOKUP(AL144,reference!D:D,reference!C:C)=0,"",_xlfn.XLOOKUP(AL144,reference!D:D,reference!C:C)))</f>
        <v>Doctor Match</v>
      </c>
    </row>
    <row r="145" spans="1:39">
      <c r="A145" t="s">
        <v>109</v>
      </c>
      <c r="B145" t="s">
        <v>866</v>
      </c>
      <c r="C145" t="s">
        <v>867</v>
      </c>
      <c r="D145">
        <v>1</v>
      </c>
      <c r="E145">
        <v>0.58889346917143004</v>
      </c>
      <c r="F145">
        <v>1.14E-2</v>
      </c>
      <c r="G145">
        <v>5.5555555555556E-4</v>
      </c>
      <c r="H145">
        <v>1</v>
      </c>
      <c r="I145">
        <v>1</v>
      </c>
      <c r="J145">
        <v>0.58889346917143004</v>
      </c>
      <c r="K145">
        <v>7</v>
      </c>
      <c r="L145">
        <v>4.1222542842000003</v>
      </c>
      <c r="M145">
        <v>1.6980999999999999</v>
      </c>
      <c r="N145">
        <v>6.7133855485542997E-3</v>
      </c>
      <c r="O145" t="s">
        <v>834</v>
      </c>
      <c r="P145" t="s">
        <v>449</v>
      </c>
      <c r="Q145" t="s">
        <v>321</v>
      </c>
      <c r="R145" t="s">
        <v>304</v>
      </c>
      <c r="S145" t="s">
        <v>308</v>
      </c>
      <c r="T145" t="s">
        <v>308</v>
      </c>
      <c r="U145" t="s">
        <v>308</v>
      </c>
      <c r="V145" t="s">
        <v>308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308</v>
      </c>
      <c r="AC145" t="s">
        <v>308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s="117" t="str">
        <f t="shared" si="8"/>
        <v>BTG</v>
      </c>
      <c r="AK145" s="117" t="str">
        <f t="shared" si="9"/>
        <v>Joyce Caila Olan</v>
      </c>
      <c r="AL145" s="117" t="str">
        <f>_xlfn.XLOOKUP(A145,reference!A:A,reference!D:D)</f>
        <v>HBOSS Portal Fax MappingAH-SnapHeld-DM-Prod</v>
      </c>
      <c r="AM145" s="117" t="str">
        <f>IF(A145="AH-SnapHeld-Special Project - B",_xlfn.XLOOKUP(AK145,BP:BP,BO:BO),IF(_xlfn.XLOOKUP(AL145,reference!D:D,reference!C:C)=0,"",_xlfn.XLOOKUP(AL145,reference!D:D,reference!C:C)))</f>
        <v>Doctor Match</v>
      </c>
    </row>
    <row r="146" spans="1:39">
      <c r="A146" t="s">
        <v>109</v>
      </c>
      <c r="B146" t="s">
        <v>868</v>
      </c>
      <c r="C146" t="s">
        <v>869</v>
      </c>
      <c r="D146">
        <v>1</v>
      </c>
      <c r="E146">
        <v>0.67163677883001005</v>
      </c>
      <c r="F146">
        <v>8.8999999999999999E-3</v>
      </c>
      <c r="G146">
        <v>3.0555555555556E-3</v>
      </c>
      <c r="H146">
        <v>1</v>
      </c>
      <c r="I146">
        <v>1</v>
      </c>
      <c r="J146">
        <v>0.67163677883001005</v>
      </c>
      <c r="K146">
        <v>4</v>
      </c>
      <c r="L146">
        <v>2.6865471153199998</v>
      </c>
      <c r="M146">
        <v>1.4888999999999999</v>
      </c>
      <c r="N146">
        <v>5.9775673315871003E-3</v>
      </c>
      <c r="O146" t="s">
        <v>870</v>
      </c>
      <c r="P146" t="s">
        <v>449</v>
      </c>
      <c r="Q146" t="s">
        <v>498</v>
      </c>
      <c r="R146" t="s">
        <v>409</v>
      </c>
      <c r="S146" t="s">
        <v>308</v>
      </c>
      <c r="T146" t="s">
        <v>308</v>
      </c>
      <c r="U146" t="s">
        <v>308</v>
      </c>
      <c r="V146" t="s">
        <v>308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308</v>
      </c>
      <c r="AC146" t="s">
        <v>308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s="117" t="str">
        <f t="shared" si="8"/>
        <v>BTG</v>
      </c>
      <c r="AK146" s="117" t="str">
        <f t="shared" si="9"/>
        <v>Julee Anne Stephanny Guitierrez</v>
      </c>
      <c r="AL146" s="117" t="str">
        <f>_xlfn.XLOOKUP(A146,reference!A:A,reference!D:D)</f>
        <v>HBOSS Portal Fax MappingAH-SnapHeld-DM-Prod</v>
      </c>
      <c r="AM146" s="117" t="str">
        <f>IF(A146="AH-SnapHeld-Special Project - B",_xlfn.XLOOKUP(AK146,BP:BP,BO:BO),IF(_xlfn.XLOOKUP(AL146,reference!D:D,reference!C:C)=0,"",_xlfn.XLOOKUP(AL146,reference!D:D,reference!C:C)))</f>
        <v>Doctor Match</v>
      </c>
    </row>
    <row r="147" spans="1:39">
      <c r="A147" t="s">
        <v>109</v>
      </c>
      <c r="B147" t="s">
        <v>871</v>
      </c>
      <c r="C147" t="s">
        <v>872</v>
      </c>
      <c r="D147">
        <v>4</v>
      </c>
      <c r="E147">
        <v>2.6970534690850001</v>
      </c>
      <c r="F147">
        <v>3.3599999999999998E-2</v>
      </c>
      <c r="G147">
        <v>2.7777777777778E-3</v>
      </c>
      <c r="H147">
        <v>4</v>
      </c>
      <c r="I147">
        <v>1</v>
      </c>
      <c r="J147">
        <v>2.6970534690850001</v>
      </c>
      <c r="K147">
        <v>10</v>
      </c>
      <c r="L147">
        <v>6.7426336727125999</v>
      </c>
      <c r="M147">
        <v>1.4831000000000001</v>
      </c>
      <c r="N147">
        <v>2.2655249140313999E-2</v>
      </c>
      <c r="O147" t="s">
        <v>873</v>
      </c>
      <c r="P147" t="s">
        <v>498</v>
      </c>
      <c r="Q147" t="s">
        <v>389</v>
      </c>
      <c r="R147" t="s">
        <v>304</v>
      </c>
      <c r="S147" t="s">
        <v>308</v>
      </c>
      <c r="T147" t="s">
        <v>308</v>
      </c>
      <c r="U147" t="s">
        <v>308</v>
      </c>
      <c r="V147" t="s">
        <v>308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308</v>
      </c>
      <c r="AC147" t="s">
        <v>308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s="117" t="str">
        <f t="shared" si="8"/>
        <v>BTG</v>
      </c>
      <c r="AK147" s="117" t="str">
        <f t="shared" si="9"/>
        <v>Justin Ulysses Gregorio</v>
      </c>
      <c r="AL147" s="117" t="str">
        <f>_xlfn.XLOOKUP(A147,reference!A:A,reference!D:D)</f>
        <v>HBOSS Portal Fax MappingAH-SnapHeld-DM-Prod</v>
      </c>
      <c r="AM147" s="117" t="str">
        <f>IF(A147="AH-SnapHeld-Special Project - B",_xlfn.XLOOKUP(AK147,BP:BP,BO:BO),IF(_xlfn.XLOOKUP(AL147,reference!D:D,reference!C:C)=0,"",_xlfn.XLOOKUP(AL147,reference!D:D,reference!C:C)))</f>
        <v>Doctor Match</v>
      </c>
    </row>
    <row r="148" spans="1:39">
      <c r="A148" t="s">
        <v>109</v>
      </c>
      <c r="B148" t="s">
        <v>874</v>
      </c>
      <c r="C148" t="s">
        <v>875</v>
      </c>
      <c r="D148">
        <v>1</v>
      </c>
      <c r="E148">
        <v>0.58506903814650002</v>
      </c>
      <c r="F148">
        <v>2.4400000000000002E-2</v>
      </c>
      <c r="G148">
        <v>2.5000000000000001E-3</v>
      </c>
      <c r="H148">
        <v>1</v>
      </c>
      <c r="I148">
        <v>1</v>
      </c>
      <c r="J148">
        <v>0.58506903814650002</v>
      </c>
      <c r="K148">
        <v>15</v>
      </c>
      <c r="L148">
        <v>8.7760355721975003</v>
      </c>
      <c r="M148">
        <v>1.7092000000000001</v>
      </c>
      <c r="N148">
        <v>1.4275684530775001E-2</v>
      </c>
      <c r="O148" t="s">
        <v>876</v>
      </c>
      <c r="P148" t="s">
        <v>542</v>
      </c>
      <c r="Q148" t="s">
        <v>684</v>
      </c>
      <c r="R148" t="s">
        <v>395</v>
      </c>
      <c r="S148" t="s">
        <v>308</v>
      </c>
      <c r="T148" t="s">
        <v>308</v>
      </c>
      <c r="U148" t="s">
        <v>308</v>
      </c>
      <c r="V148" t="s">
        <v>308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308</v>
      </c>
      <c r="AC148" t="s">
        <v>308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s="117" t="str">
        <f t="shared" si="8"/>
        <v>BTG</v>
      </c>
      <c r="AK148" s="117" t="str">
        <f t="shared" si="9"/>
        <v>Kristina Lyza Vinzon</v>
      </c>
      <c r="AL148" s="117" t="str">
        <f>_xlfn.XLOOKUP(A148,reference!A:A,reference!D:D)</f>
        <v>HBOSS Portal Fax MappingAH-SnapHeld-DM-Prod</v>
      </c>
      <c r="AM148" s="117" t="str">
        <f>IF(A148="AH-SnapHeld-Special Project - B",_xlfn.XLOOKUP(AK148,BP:BP,BO:BO),IF(_xlfn.XLOOKUP(AL148,reference!D:D,reference!C:C)=0,"",_xlfn.XLOOKUP(AL148,reference!D:D,reference!C:C)))</f>
        <v>Doctor Match</v>
      </c>
    </row>
    <row r="149" spans="1:39">
      <c r="A149" t="s">
        <v>109</v>
      </c>
      <c r="B149" t="s">
        <v>877</v>
      </c>
      <c r="C149" t="s">
        <v>878</v>
      </c>
      <c r="D149">
        <v>1</v>
      </c>
      <c r="E149">
        <v>0.84132592966514996</v>
      </c>
      <c r="F149">
        <v>0.01</v>
      </c>
      <c r="G149">
        <v>3.0555555555556E-3</v>
      </c>
      <c r="H149">
        <v>1</v>
      </c>
      <c r="I149">
        <v>1</v>
      </c>
      <c r="J149">
        <v>0.84132592966514996</v>
      </c>
      <c r="K149">
        <v>4</v>
      </c>
      <c r="L149">
        <v>3.3653037186605999</v>
      </c>
      <c r="M149">
        <v>1.1886000000000001</v>
      </c>
      <c r="N149">
        <v>8.4132592966514996E-3</v>
      </c>
      <c r="O149" t="s">
        <v>879</v>
      </c>
      <c r="P149" t="s">
        <v>672</v>
      </c>
      <c r="Q149" t="s">
        <v>530</v>
      </c>
      <c r="R149" t="s">
        <v>409</v>
      </c>
      <c r="S149" t="s">
        <v>308</v>
      </c>
      <c r="T149" t="s">
        <v>308</v>
      </c>
      <c r="U149" t="s">
        <v>308</v>
      </c>
      <c r="V149" t="s">
        <v>308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308</v>
      </c>
      <c r="AC149" t="s">
        <v>308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s="117" t="str">
        <f t="shared" si="8"/>
        <v>BTG</v>
      </c>
      <c r="AK149" s="117" t="str">
        <f t="shared" si="9"/>
        <v>Mariz Pagkaliwagan</v>
      </c>
      <c r="AL149" s="117" t="str">
        <f>_xlfn.XLOOKUP(A149,reference!A:A,reference!D:D)</f>
        <v>HBOSS Portal Fax MappingAH-SnapHeld-DM-Prod</v>
      </c>
      <c r="AM149" s="117" t="str">
        <f>IF(A149="AH-SnapHeld-Special Project - B",_xlfn.XLOOKUP(AK149,BP:BP,BO:BO),IF(_xlfn.XLOOKUP(AL149,reference!D:D,reference!C:C)=0,"",_xlfn.XLOOKUP(AL149,reference!D:D,reference!C:C)))</f>
        <v>Doctor Match</v>
      </c>
    </row>
    <row r="150" spans="1:39">
      <c r="A150" t="s">
        <v>109</v>
      </c>
      <c r="B150" t="s">
        <v>880</v>
      </c>
      <c r="C150" t="s">
        <v>881</v>
      </c>
      <c r="D150">
        <v>3</v>
      </c>
      <c r="E150">
        <v>2.2974421810384</v>
      </c>
      <c r="F150">
        <v>1.1900000000000001E-2</v>
      </c>
      <c r="G150">
        <v>3.3333333333333002E-3</v>
      </c>
      <c r="H150">
        <v>3</v>
      </c>
      <c r="I150">
        <v>1</v>
      </c>
      <c r="J150">
        <v>2.2974421810384</v>
      </c>
      <c r="K150">
        <v>3</v>
      </c>
      <c r="L150">
        <v>2.2974421810384</v>
      </c>
      <c r="M150">
        <v>1.3058000000000001</v>
      </c>
      <c r="N150">
        <v>9.1131873181191994E-3</v>
      </c>
      <c r="O150" t="s">
        <v>882</v>
      </c>
      <c r="P150" t="s">
        <v>578</v>
      </c>
      <c r="Q150" t="s">
        <v>307</v>
      </c>
      <c r="R150" t="s">
        <v>613</v>
      </c>
      <c r="S150" t="s">
        <v>308</v>
      </c>
      <c r="T150" t="s">
        <v>308</v>
      </c>
      <c r="U150" t="s">
        <v>308</v>
      </c>
      <c r="V150" t="s">
        <v>308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308</v>
      </c>
      <c r="AC150" t="s">
        <v>308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s="117" t="str">
        <f t="shared" si="8"/>
        <v>BTG</v>
      </c>
      <c r="AK150" s="117" t="str">
        <f t="shared" si="9"/>
        <v>Merwin Bayubo</v>
      </c>
      <c r="AL150" s="117" t="str">
        <f>_xlfn.XLOOKUP(A150,reference!A:A,reference!D:D)</f>
        <v>HBOSS Portal Fax MappingAH-SnapHeld-DM-Prod</v>
      </c>
      <c r="AM150" s="117" t="str">
        <f>IF(A150="AH-SnapHeld-Special Project - B",_xlfn.XLOOKUP(AK150,BP:BP,BO:BO),IF(_xlfn.XLOOKUP(AL150,reference!D:D,reference!C:C)=0,"",_xlfn.XLOOKUP(AL150,reference!D:D,reference!C:C)))</f>
        <v>Doctor Match</v>
      </c>
    </row>
    <row r="151" spans="1:39">
      <c r="A151" t="s">
        <v>109</v>
      </c>
      <c r="B151" t="s">
        <v>883</v>
      </c>
      <c r="C151" t="s">
        <v>884</v>
      </c>
      <c r="D151">
        <v>1</v>
      </c>
      <c r="E151">
        <v>0.58404392010279005</v>
      </c>
      <c r="F151">
        <v>2.7799999999999998E-2</v>
      </c>
      <c r="G151">
        <v>1.9444444444443999E-3</v>
      </c>
      <c r="H151">
        <v>1</v>
      </c>
      <c r="I151">
        <v>1</v>
      </c>
      <c r="J151">
        <v>0.58404392010279005</v>
      </c>
      <c r="K151">
        <v>13</v>
      </c>
      <c r="L151">
        <v>7.5925709613362988</v>
      </c>
      <c r="M151">
        <v>1.7121999999999999</v>
      </c>
      <c r="N151">
        <v>1.6236420978858E-2</v>
      </c>
      <c r="O151" t="s">
        <v>885</v>
      </c>
      <c r="P151" t="s">
        <v>789</v>
      </c>
      <c r="Q151" t="s">
        <v>886</v>
      </c>
      <c r="R151" t="s">
        <v>339</v>
      </c>
      <c r="S151" t="s">
        <v>308</v>
      </c>
      <c r="T151" t="s">
        <v>308</v>
      </c>
      <c r="U151" t="s">
        <v>308</v>
      </c>
      <c r="V151" t="s">
        <v>308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308</v>
      </c>
      <c r="AC151" t="s">
        <v>308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s="117" t="str">
        <f t="shared" si="8"/>
        <v>BTG</v>
      </c>
      <c r="AK151" s="117" t="str">
        <f t="shared" si="9"/>
        <v>Mia Liza Cudiamat</v>
      </c>
      <c r="AL151" s="117" t="str">
        <f>_xlfn.XLOOKUP(A151,reference!A:A,reference!D:D)</f>
        <v>HBOSS Portal Fax MappingAH-SnapHeld-DM-Prod</v>
      </c>
      <c r="AM151" s="117" t="str">
        <f>IF(A151="AH-SnapHeld-Special Project - B",_xlfn.XLOOKUP(AK151,BP:BP,BO:BO),IF(_xlfn.XLOOKUP(AL151,reference!D:D,reference!C:C)=0,"",_xlfn.XLOOKUP(AL151,reference!D:D,reference!C:C)))</f>
        <v>Doctor Match</v>
      </c>
    </row>
    <row r="152" spans="1:39">
      <c r="A152" t="s">
        <v>109</v>
      </c>
      <c r="B152" t="s">
        <v>887</v>
      </c>
      <c r="C152" t="s">
        <v>888</v>
      </c>
      <c r="D152">
        <v>6</v>
      </c>
      <c r="E152">
        <v>4.5112781954886998</v>
      </c>
      <c r="F152">
        <v>2.86E-2</v>
      </c>
      <c r="G152">
        <v>8.8888888888888993E-3</v>
      </c>
      <c r="H152">
        <v>6</v>
      </c>
      <c r="I152">
        <v>1</v>
      </c>
      <c r="J152">
        <v>4.5112781954886998</v>
      </c>
      <c r="K152">
        <v>6</v>
      </c>
      <c r="L152">
        <v>4.5112781954886998</v>
      </c>
      <c r="M152">
        <v>1.33</v>
      </c>
      <c r="N152">
        <v>2.1503759398496001E-2</v>
      </c>
      <c r="O152" t="s">
        <v>889</v>
      </c>
      <c r="P152" t="s">
        <v>765</v>
      </c>
      <c r="Q152" t="s">
        <v>527</v>
      </c>
      <c r="R152" t="s">
        <v>504</v>
      </c>
      <c r="S152" t="s">
        <v>308</v>
      </c>
      <c r="T152" t="s">
        <v>308</v>
      </c>
      <c r="U152" t="s">
        <v>308</v>
      </c>
      <c r="V152" t="s">
        <v>308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308</v>
      </c>
      <c r="AC152" t="s">
        <v>308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s="117" t="str">
        <f t="shared" si="8"/>
        <v>BTG</v>
      </c>
      <c r="AK152" s="117" t="str">
        <f t="shared" si="9"/>
        <v>Pamela Joy Toralba</v>
      </c>
      <c r="AL152" s="117" t="str">
        <f>_xlfn.XLOOKUP(A152,reference!A:A,reference!D:D)</f>
        <v>HBOSS Portal Fax MappingAH-SnapHeld-DM-Prod</v>
      </c>
      <c r="AM152" s="117" t="str">
        <f>IF(A152="AH-SnapHeld-Special Project - B",_xlfn.XLOOKUP(AK152,BP:BP,BO:BO),IF(_xlfn.XLOOKUP(AL152,reference!D:D,reference!C:C)=0,"",_xlfn.XLOOKUP(AL152,reference!D:D,reference!C:C)))</f>
        <v>Doctor Match</v>
      </c>
    </row>
    <row r="153" spans="1:39">
      <c r="A153" t="s">
        <v>109</v>
      </c>
      <c r="B153" t="s">
        <v>890</v>
      </c>
      <c r="C153" t="s">
        <v>891</v>
      </c>
      <c r="D153">
        <v>1</v>
      </c>
      <c r="E153">
        <v>0.58288645371881997</v>
      </c>
      <c r="F153">
        <v>2.3900000000000001E-2</v>
      </c>
      <c r="G153">
        <v>1.6666666666667E-3</v>
      </c>
      <c r="H153">
        <v>1</v>
      </c>
      <c r="I153">
        <v>1</v>
      </c>
      <c r="J153">
        <v>0.58288645371881997</v>
      </c>
      <c r="K153">
        <v>12</v>
      </c>
      <c r="L153">
        <v>6.9946374446258002</v>
      </c>
      <c r="M153">
        <v>1.7156</v>
      </c>
      <c r="N153">
        <v>1.3930986243880001E-2</v>
      </c>
      <c r="O153" t="s">
        <v>892</v>
      </c>
      <c r="P153" t="s">
        <v>366</v>
      </c>
      <c r="Q153" t="s">
        <v>548</v>
      </c>
      <c r="R153" t="s">
        <v>315</v>
      </c>
      <c r="S153" t="s">
        <v>308</v>
      </c>
      <c r="T153" t="s">
        <v>308</v>
      </c>
      <c r="U153" t="s">
        <v>308</v>
      </c>
      <c r="V153" t="s">
        <v>308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308</v>
      </c>
      <c r="AC153" t="s">
        <v>308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s="117" t="str">
        <f t="shared" si="8"/>
        <v>BTG</v>
      </c>
      <c r="AK153" s="117" t="str">
        <f t="shared" si="9"/>
        <v>Patricia Caryl Joco</v>
      </c>
      <c r="AL153" s="117" t="str">
        <f>_xlfn.XLOOKUP(A153,reference!A:A,reference!D:D)</f>
        <v>HBOSS Portal Fax MappingAH-SnapHeld-DM-Prod</v>
      </c>
      <c r="AM153" s="117" t="str">
        <f>IF(A153="AH-SnapHeld-Special Project - B",_xlfn.XLOOKUP(AK153,BP:BP,BO:BO),IF(_xlfn.XLOOKUP(AL153,reference!D:D,reference!C:C)=0,"",_xlfn.XLOOKUP(AL153,reference!D:D,reference!C:C)))</f>
        <v>Doctor Match</v>
      </c>
    </row>
    <row r="154" spans="1:39">
      <c r="A154" t="s">
        <v>109</v>
      </c>
      <c r="B154" t="s">
        <v>893</v>
      </c>
      <c r="C154" t="s">
        <v>894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1.05</v>
      </c>
      <c r="N154">
        <v>0</v>
      </c>
      <c r="O154" t="s">
        <v>308</v>
      </c>
      <c r="P154" t="s">
        <v>308</v>
      </c>
      <c r="Q154" t="s">
        <v>308</v>
      </c>
      <c r="R154" t="s">
        <v>308</v>
      </c>
      <c r="S154" t="s">
        <v>308</v>
      </c>
      <c r="T154" t="s">
        <v>308</v>
      </c>
      <c r="U154" t="s">
        <v>308</v>
      </c>
      <c r="V154" t="s">
        <v>308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308</v>
      </c>
      <c r="AC154" t="s">
        <v>308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s="117" t="str">
        <f t="shared" si="8"/>
        <v>BTG</v>
      </c>
      <c r="AK154" s="117" t="str">
        <f t="shared" si="9"/>
        <v>Riniel Javier</v>
      </c>
      <c r="AL154" s="117" t="str">
        <f>_xlfn.XLOOKUP(A154,reference!A:A,reference!D:D)</f>
        <v>HBOSS Portal Fax MappingAH-SnapHeld-DM-Prod</v>
      </c>
      <c r="AM154" s="117" t="str">
        <f>IF(A154="AH-SnapHeld-Special Project - B",_xlfn.XLOOKUP(AK154,BP:BP,BO:BO),IF(_xlfn.XLOOKUP(AL154,reference!D:D,reference!C:C)=0,"",_xlfn.XLOOKUP(AL154,reference!D:D,reference!C:C)))</f>
        <v>Doctor Match</v>
      </c>
    </row>
    <row r="155" spans="1:39">
      <c r="A155" t="s">
        <v>109</v>
      </c>
      <c r="B155" t="s">
        <v>895</v>
      </c>
      <c r="C155" t="s">
        <v>896</v>
      </c>
      <c r="D155">
        <v>10</v>
      </c>
      <c r="E155">
        <v>6.7367286445702002</v>
      </c>
      <c r="F155">
        <v>6.1899999999999997E-2</v>
      </c>
      <c r="G155">
        <v>4.4444444444444002E-3</v>
      </c>
      <c r="H155">
        <v>10</v>
      </c>
      <c r="I155">
        <v>1</v>
      </c>
      <c r="J155">
        <v>6.7367286445702002</v>
      </c>
      <c r="K155">
        <v>10</v>
      </c>
      <c r="L155">
        <v>6.7367286445702002</v>
      </c>
      <c r="M155">
        <v>1.4843999999999999</v>
      </c>
      <c r="N155">
        <v>4.170035030989E-2</v>
      </c>
      <c r="O155" t="s">
        <v>897</v>
      </c>
      <c r="P155" t="s">
        <v>305</v>
      </c>
      <c r="Q155" t="s">
        <v>765</v>
      </c>
      <c r="R155" t="s">
        <v>319</v>
      </c>
      <c r="S155" t="s">
        <v>308</v>
      </c>
      <c r="T155" t="s">
        <v>308</v>
      </c>
      <c r="U155" t="s">
        <v>308</v>
      </c>
      <c r="V155" t="s">
        <v>308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308</v>
      </c>
      <c r="AC155" t="s">
        <v>308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s="117" t="str">
        <f t="shared" si="8"/>
        <v>BTG</v>
      </c>
      <c r="AK155" s="117" t="str">
        <f t="shared" si="9"/>
        <v>Winchester Sulit</v>
      </c>
      <c r="AL155" s="117" t="str">
        <f>_xlfn.XLOOKUP(A155,reference!A:A,reference!D:D)</f>
        <v>HBOSS Portal Fax MappingAH-SnapHeld-DM-Prod</v>
      </c>
      <c r="AM155" s="117" t="str">
        <f>IF(A155="AH-SnapHeld-Special Project - B",_xlfn.XLOOKUP(AK155,BP:BP,BO:BO),IF(_xlfn.XLOOKUP(AL155,reference!D:D,reference!C:C)=0,"",_xlfn.XLOOKUP(AL155,reference!D:D,reference!C:C)))</f>
        <v>Doctor Match</v>
      </c>
    </row>
    <row r="156" spans="1:39">
      <c r="A156" t="s">
        <v>109</v>
      </c>
      <c r="B156" t="s">
        <v>898</v>
      </c>
      <c r="C156" t="s">
        <v>899</v>
      </c>
      <c r="D156">
        <v>8</v>
      </c>
      <c r="E156">
        <v>2.4273317555677001</v>
      </c>
      <c r="F156">
        <v>0.17</v>
      </c>
      <c r="G156">
        <v>1.2222222222222001E-2</v>
      </c>
      <c r="H156">
        <v>8</v>
      </c>
      <c r="I156">
        <v>1</v>
      </c>
      <c r="J156">
        <v>2.4273317555677001</v>
      </c>
      <c r="K156">
        <v>40</v>
      </c>
      <c r="L156">
        <v>12.136658777838001</v>
      </c>
      <c r="M156">
        <v>3.2957999999999998</v>
      </c>
      <c r="N156">
        <v>5.1580799805813003E-2</v>
      </c>
      <c r="O156" t="s">
        <v>900</v>
      </c>
      <c r="P156" t="s">
        <v>419</v>
      </c>
      <c r="Q156" t="s">
        <v>746</v>
      </c>
      <c r="R156" t="s">
        <v>504</v>
      </c>
      <c r="S156" t="s">
        <v>308</v>
      </c>
      <c r="T156" t="s">
        <v>901</v>
      </c>
      <c r="U156" t="s">
        <v>308</v>
      </c>
      <c r="V156" t="s">
        <v>308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308</v>
      </c>
      <c r="AC156" t="s">
        <v>308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s="117" t="str">
        <f t="shared" si="8"/>
        <v>ILO</v>
      </c>
      <c r="AK156" s="117" t="str">
        <f t="shared" si="9"/>
        <v xml:space="preserve">	Jason Galampanao</v>
      </c>
      <c r="AL156" s="117" t="str">
        <f>_xlfn.XLOOKUP(A156,reference!A:A,reference!D:D)</f>
        <v>HBOSS Portal Fax MappingAH-SnapHeld-DM-Prod</v>
      </c>
      <c r="AM156" s="117" t="str">
        <f>IF(A156="AH-SnapHeld-Special Project - B",_xlfn.XLOOKUP(AK156,BP:BP,BO:BO),IF(_xlfn.XLOOKUP(AL156,reference!D:D,reference!C:C)=0,"",_xlfn.XLOOKUP(AL156,reference!D:D,reference!C:C)))</f>
        <v>Doctor Match</v>
      </c>
    </row>
    <row r="157" spans="1:39">
      <c r="A157" t="s">
        <v>109</v>
      </c>
      <c r="B157" t="s">
        <v>902</v>
      </c>
      <c r="C157" t="s">
        <v>903</v>
      </c>
      <c r="D157">
        <v>6</v>
      </c>
      <c r="E157">
        <v>1.9288883173664</v>
      </c>
      <c r="F157">
        <v>8.3099999999999993E-2</v>
      </c>
      <c r="G157">
        <v>7.7777777777778001E-3</v>
      </c>
      <c r="H157">
        <v>6</v>
      </c>
      <c r="I157">
        <v>1</v>
      </c>
      <c r="J157">
        <v>1.9288883173664</v>
      </c>
      <c r="K157">
        <v>72</v>
      </c>
      <c r="L157">
        <v>23.146659808397001</v>
      </c>
      <c r="M157">
        <v>3.1105999999999998</v>
      </c>
      <c r="N157">
        <v>2.6715103195524999E-2</v>
      </c>
      <c r="O157" t="s">
        <v>904</v>
      </c>
      <c r="P157" t="s">
        <v>481</v>
      </c>
      <c r="Q157" t="s">
        <v>905</v>
      </c>
      <c r="R157" t="s">
        <v>613</v>
      </c>
      <c r="S157" t="s">
        <v>308</v>
      </c>
      <c r="T157" t="s">
        <v>906</v>
      </c>
      <c r="U157" t="s">
        <v>308</v>
      </c>
      <c r="V157" t="s">
        <v>308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308</v>
      </c>
      <c r="AC157" t="s">
        <v>308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s="117" t="str">
        <f t="shared" si="8"/>
        <v>ILO</v>
      </c>
      <c r="AK157" s="117" t="str">
        <f t="shared" si="9"/>
        <v xml:space="preserve">	Lara De Tomas</v>
      </c>
      <c r="AL157" s="117" t="str">
        <f>_xlfn.XLOOKUP(A157,reference!A:A,reference!D:D)</f>
        <v>HBOSS Portal Fax MappingAH-SnapHeld-DM-Prod</v>
      </c>
      <c r="AM157" s="117" t="str">
        <f>IF(A157="AH-SnapHeld-Special Project - B",_xlfn.XLOOKUP(AK157,BP:BP,BO:BO),IF(_xlfn.XLOOKUP(AL157,reference!D:D,reference!C:C)=0,"",_xlfn.XLOOKUP(AL157,reference!D:D,reference!C:C)))</f>
        <v>Doctor Match</v>
      </c>
    </row>
    <row r="158" spans="1:39">
      <c r="A158" t="s">
        <v>109</v>
      </c>
      <c r="B158" t="s">
        <v>748</v>
      </c>
      <c r="C158" t="s">
        <v>749</v>
      </c>
      <c r="D158">
        <v>8</v>
      </c>
      <c r="E158">
        <v>3.3012833739116001</v>
      </c>
      <c r="F158">
        <v>0.03</v>
      </c>
      <c r="G158">
        <v>9.6944444444444E-2</v>
      </c>
      <c r="H158">
        <v>8</v>
      </c>
      <c r="I158">
        <v>1</v>
      </c>
      <c r="J158">
        <v>3.3012833739116001</v>
      </c>
      <c r="K158">
        <v>34</v>
      </c>
      <c r="L158">
        <v>14.030454339124001</v>
      </c>
      <c r="M158">
        <v>2.4232999999999998</v>
      </c>
      <c r="N158">
        <v>1.2379812652169E-2</v>
      </c>
      <c r="O158" t="s">
        <v>907</v>
      </c>
      <c r="P158" t="s">
        <v>687</v>
      </c>
      <c r="Q158" t="s">
        <v>721</v>
      </c>
      <c r="R158" t="s">
        <v>449</v>
      </c>
      <c r="S158" t="s">
        <v>308</v>
      </c>
      <c r="T158" t="s">
        <v>308</v>
      </c>
      <c r="U158" t="s">
        <v>308</v>
      </c>
      <c r="V158" t="s">
        <v>308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308</v>
      </c>
      <c r="AC158" t="s">
        <v>308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s="117" t="str">
        <f t="shared" si="8"/>
        <v>ILO</v>
      </c>
      <c r="AK158" s="117" t="str">
        <f t="shared" si="9"/>
        <v>Gabriel Anthony Astrologo</v>
      </c>
      <c r="AL158" s="117" t="str">
        <f>_xlfn.XLOOKUP(A158,reference!A:A,reference!D:D)</f>
        <v>HBOSS Portal Fax MappingAH-SnapHeld-DM-Prod</v>
      </c>
      <c r="AM158" s="117" t="str">
        <f>IF(A158="AH-SnapHeld-Special Project - B",_xlfn.XLOOKUP(AK158,BP:BP,BO:BO),IF(_xlfn.XLOOKUP(AL158,reference!D:D,reference!C:C)=0,"",_xlfn.XLOOKUP(AL158,reference!D:D,reference!C:C)))</f>
        <v>Doctor Match</v>
      </c>
    </row>
    <row r="159" spans="1:39">
      <c r="A159" t="s">
        <v>109</v>
      </c>
      <c r="B159" t="s">
        <v>752</v>
      </c>
      <c r="C159" t="s">
        <v>753</v>
      </c>
      <c r="D159">
        <v>7</v>
      </c>
      <c r="E159">
        <v>3.7866493562696002</v>
      </c>
      <c r="F159">
        <v>0.31719999999999998</v>
      </c>
      <c r="G159">
        <v>3.0555555555556E-3</v>
      </c>
      <c r="H159">
        <v>7</v>
      </c>
      <c r="I159">
        <v>1</v>
      </c>
      <c r="J159">
        <v>3.7866493562696002</v>
      </c>
      <c r="K159">
        <v>18</v>
      </c>
      <c r="L159">
        <v>9.7370983446932993</v>
      </c>
      <c r="M159">
        <v>1.8486</v>
      </c>
      <c r="N159">
        <v>0.17158931082982001</v>
      </c>
      <c r="O159" t="s">
        <v>908</v>
      </c>
      <c r="P159" t="s">
        <v>607</v>
      </c>
      <c r="Q159" t="s">
        <v>909</v>
      </c>
      <c r="R159" t="s">
        <v>319</v>
      </c>
      <c r="S159" t="s">
        <v>308</v>
      </c>
      <c r="T159" t="s">
        <v>308</v>
      </c>
      <c r="U159" t="s">
        <v>308</v>
      </c>
      <c r="V159" t="s">
        <v>308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308</v>
      </c>
      <c r="AC159" t="s">
        <v>308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s="117" t="str">
        <f t="shared" si="8"/>
        <v>ILO</v>
      </c>
      <c r="AK159" s="117" t="str">
        <f t="shared" si="9"/>
        <v>Mikaela Judith Jacela</v>
      </c>
      <c r="AL159" s="117" t="str">
        <f>_xlfn.XLOOKUP(A159,reference!A:A,reference!D:D)</f>
        <v>HBOSS Portal Fax MappingAH-SnapHeld-DM-Prod</v>
      </c>
      <c r="AM159" s="117" t="str">
        <f>IF(A159="AH-SnapHeld-Special Project - B",_xlfn.XLOOKUP(AK159,BP:BP,BO:BO),IF(_xlfn.XLOOKUP(AL159,reference!D:D,reference!C:C)=0,"",_xlfn.XLOOKUP(AL159,reference!D:D,reference!C:C)))</f>
        <v>Doctor Match</v>
      </c>
    </row>
    <row r="160" spans="1:39">
      <c r="A160" t="s">
        <v>109</v>
      </c>
      <c r="B160" t="s">
        <v>910</v>
      </c>
      <c r="C160" t="s">
        <v>911</v>
      </c>
      <c r="D160">
        <v>6</v>
      </c>
      <c r="E160">
        <v>2.1247211303515998</v>
      </c>
      <c r="F160">
        <v>3.8300000000000001E-2</v>
      </c>
      <c r="G160">
        <v>8.6111111111111006E-3</v>
      </c>
      <c r="H160">
        <v>6</v>
      </c>
      <c r="I160">
        <v>1</v>
      </c>
      <c r="J160">
        <v>2.1247211303515998</v>
      </c>
      <c r="K160">
        <v>72</v>
      </c>
      <c r="L160">
        <v>25.496653564220001</v>
      </c>
      <c r="M160">
        <v>2.8239000000000001</v>
      </c>
      <c r="N160">
        <v>1.3562803215411E-2</v>
      </c>
      <c r="O160" t="s">
        <v>912</v>
      </c>
      <c r="P160" t="s">
        <v>390</v>
      </c>
      <c r="Q160" t="s">
        <v>305</v>
      </c>
      <c r="R160" t="s">
        <v>504</v>
      </c>
      <c r="S160" t="s">
        <v>308</v>
      </c>
      <c r="T160" t="s">
        <v>913</v>
      </c>
      <c r="U160" t="s">
        <v>308</v>
      </c>
      <c r="V160" t="s">
        <v>308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308</v>
      </c>
      <c r="AC160" t="s">
        <v>308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s="117" t="str">
        <f t="shared" si="8"/>
        <v>ILO</v>
      </c>
      <c r="AK160" s="117" t="str">
        <f t="shared" si="9"/>
        <v>Nicole Ann Baldoque</v>
      </c>
      <c r="AL160" s="117" t="str">
        <f>_xlfn.XLOOKUP(A160,reference!A:A,reference!D:D)</f>
        <v>HBOSS Portal Fax MappingAH-SnapHeld-DM-Prod</v>
      </c>
      <c r="AM160" s="117" t="str">
        <f>IF(A160="AH-SnapHeld-Special Project - B",_xlfn.XLOOKUP(AK160,BP:BP,BO:BO),IF(_xlfn.XLOOKUP(AL160,reference!D:D,reference!C:C)=0,"",_xlfn.XLOOKUP(AL160,reference!D:D,reference!C:C)))</f>
        <v>Doctor Match</v>
      </c>
    </row>
    <row r="161" spans="1:39">
      <c r="A161" t="s">
        <v>109</v>
      </c>
      <c r="B161" t="s">
        <v>795</v>
      </c>
      <c r="C161" t="s">
        <v>796</v>
      </c>
      <c r="D161">
        <v>4</v>
      </c>
      <c r="E161">
        <v>2.9150269639994</v>
      </c>
      <c r="F161">
        <v>2.3900000000000001E-2</v>
      </c>
      <c r="G161">
        <v>6.1111111111111002E-3</v>
      </c>
      <c r="H161">
        <v>4</v>
      </c>
      <c r="I161">
        <v>1</v>
      </c>
      <c r="J161">
        <v>2.9150269639994</v>
      </c>
      <c r="K161">
        <v>30</v>
      </c>
      <c r="L161">
        <v>21.862702229996</v>
      </c>
      <c r="M161">
        <v>1.3722000000000001</v>
      </c>
      <c r="N161">
        <v>1.7417286109896998E-2</v>
      </c>
      <c r="O161" t="s">
        <v>914</v>
      </c>
      <c r="P161" t="s">
        <v>831</v>
      </c>
      <c r="Q161" t="s">
        <v>469</v>
      </c>
      <c r="R161" t="s">
        <v>504</v>
      </c>
      <c r="S161" t="s">
        <v>308</v>
      </c>
      <c r="T161" t="s">
        <v>308</v>
      </c>
      <c r="U161" t="s">
        <v>308</v>
      </c>
      <c r="V161" t="s">
        <v>308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308</v>
      </c>
      <c r="AC161" t="s">
        <v>308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s="117" t="str">
        <f t="shared" si="8"/>
        <v>ILO</v>
      </c>
      <c r="AK161" s="117" t="str">
        <f t="shared" si="9"/>
        <v>Reymar Brunda</v>
      </c>
      <c r="AL161" s="117" t="str">
        <f>_xlfn.XLOOKUP(A161,reference!A:A,reference!D:D)</f>
        <v>HBOSS Portal Fax MappingAH-SnapHeld-DM-Prod</v>
      </c>
      <c r="AM161" s="117" t="str">
        <f>IF(A161="AH-SnapHeld-Special Project - B",_xlfn.XLOOKUP(AK161,BP:BP,BO:BO),IF(_xlfn.XLOOKUP(AL161,reference!D:D,reference!C:C)=0,"",_xlfn.XLOOKUP(AL161,reference!D:D,reference!C:C)))</f>
        <v>Doctor Match</v>
      </c>
    </row>
    <row r="162" spans="1:39">
      <c r="A162" t="s">
        <v>109</v>
      </c>
      <c r="B162" t="s">
        <v>755</v>
      </c>
      <c r="C162" t="s">
        <v>756</v>
      </c>
      <c r="D162">
        <v>1</v>
      </c>
      <c r="E162">
        <v>2.4894199651480999</v>
      </c>
      <c r="F162">
        <v>5.3E-3</v>
      </c>
      <c r="G162">
        <v>2.7777777777778E-4</v>
      </c>
      <c r="H162">
        <v>1</v>
      </c>
      <c r="I162">
        <v>1</v>
      </c>
      <c r="J162">
        <v>2.4894199651480999</v>
      </c>
      <c r="K162">
        <v>11</v>
      </c>
      <c r="L162">
        <v>27.383619616629002</v>
      </c>
      <c r="M162">
        <v>0.4017</v>
      </c>
      <c r="N162">
        <v>1.3193925815285E-2</v>
      </c>
      <c r="O162" t="s">
        <v>915</v>
      </c>
      <c r="P162" t="s">
        <v>805</v>
      </c>
      <c r="Q162" t="s">
        <v>322</v>
      </c>
      <c r="R162" t="s">
        <v>319</v>
      </c>
      <c r="S162" t="s">
        <v>308</v>
      </c>
      <c r="T162" t="s">
        <v>308</v>
      </c>
      <c r="U162" t="s">
        <v>308</v>
      </c>
      <c r="V162" t="s">
        <v>308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308</v>
      </c>
      <c r="AC162" t="s">
        <v>308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s="117" t="str">
        <f t="shared" si="8"/>
        <v>ILO</v>
      </c>
      <c r="AK162" s="117" t="str">
        <f t="shared" si="9"/>
        <v>Ricksie Jean DelaCruz</v>
      </c>
      <c r="AL162" s="117" t="str">
        <f>_xlfn.XLOOKUP(A162,reference!A:A,reference!D:D)</f>
        <v>HBOSS Portal Fax MappingAH-SnapHeld-DM-Prod</v>
      </c>
      <c r="AM162" s="117" t="str">
        <f>IF(A162="AH-SnapHeld-Special Project - B",_xlfn.XLOOKUP(AK162,BP:BP,BO:BO),IF(_xlfn.XLOOKUP(AL162,reference!D:D,reference!C:C)=0,"",_xlfn.XLOOKUP(AL162,reference!D:D,reference!C:C)))</f>
        <v>Doctor Match</v>
      </c>
    </row>
    <row r="163" spans="1:39">
      <c r="A163" t="s">
        <v>109</v>
      </c>
      <c r="B163" t="s">
        <v>916</v>
      </c>
      <c r="C163" t="s">
        <v>917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3.8321999999999998</v>
      </c>
      <c r="N163">
        <v>0</v>
      </c>
      <c r="O163" t="s">
        <v>308</v>
      </c>
      <c r="P163" t="s">
        <v>308</v>
      </c>
      <c r="Q163" t="s">
        <v>308</v>
      </c>
      <c r="R163" t="s">
        <v>308</v>
      </c>
      <c r="S163" t="s">
        <v>308</v>
      </c>
      <c r="T163" t="s">
        <v>308</v>
      </c>
      <c r="U163" t="s">
        <v>308</v>
      </c>
      <c r="V163" t="s">
        <v>308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308</v>
      </c>
      <c r="AC163" t="s">
        <v>308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s="117" t="str">
        <f t="shared" si="8"/>
        <v>ILO</v>
      </c>
      <c r="AK163" s="117" t="str">
        <f t="shared" si="9"/>
        <v>Support Fredelyn Guidon Onday</v>
      </c>
      <c r="AL163" s="117" t="str">
        <f>_xlfn.XLOOKUP(A163,reference!A:A,reference!D:D)</f>
        <v>HBOSS Portal Fax MappingAH-SnapHeld-DM-Prod</v>
      </c>
      <c r="AM163" s="117" t="str">
        <f>IF(A163="AH-SnapHeld-Special Project - B",_xlfn.XLOOKUP(AK163,BP:BP,BO:BO),IF(_xlfn.XLOOKUP(AL163,reference!D:D,reference!C:C)=0,"",_xlfn.XLOOKUP(AL163,reference!D:D,reference!C:C)))</f>
        <v>Doctor Match</v>
      </c>
    </row>
    <row r="164" spans="1:39">
      <c r="A164" t="s">
        <v>119</v>
      </c>
      <c r="B164" t="s">
        <v>740</v>
      </c>
      <c r="C164" t="s">
        <v>741</v>
      </c>
      <c r="D164">
        <v>8</v>
      </c>
      <c r="E164">
        <v>20.423793719683001</v>
      </c>
      <c r="F164">
        <v>9.9199999999999997E-2</v>
      </c>
      <c r="G164">
        <v>0.13583333333333</v>
      </c>
      <c r="H164">
        <v>3</v>
      </c>
      <c r="I164">
        <v>0.375</v>
      </c>
      <c r="J164">
        <v>7.658922644881299</v>
      </c>
      <c r="K164">
        <v>15</v>
      </c>
      <c r="L164">
        <v>38.294613224406</v>
      </c>
      <c r="M164">
        <v>0.39169999999999999</v>
      </c>
      <c r="N164">
        <v>0.25325504212407002</v>
      </c>
      <c r="O164" t="s">
        <v>742</v>
      </c>
      <c r="P164" t="s">
        <v>918</v>
      </c>
      <c r="Q164" t="s">
        <v>440</v>
      </c>
      <c r="R164" t="s">
        <v>320</v>
      </c>
      <c r="S164" t="s">
        <v>308</v>
      </c>
      <c r="T164" t="s">
        <v>308</v>
      </c>
      <c r="U164" t="s">
        <v>308</v>
      </c>
      <c r="V164" t="s">
        <v>308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308</v>
      </c>
      <c r="AC164" t="s">
        <v>308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s="117" t="str">
        <f t="shared" si="8"/>
        <v>ILO</v>
      </c>
      <c r="AK164" s="117" t="str">
        <f t="shared" si="9"/>
        <v xml:space="preserve">	Ricky Mendiro</v>
      </c>
      <c r="AL164" s="117" t="str">
        <f>_xlfn.XLOOKUP(A164,reference!A:A,reference!D:D)</f>
        <v>HBOSS Portal Fax ResearchAH-SnapHeld-FaxRes-Prod</v>
      </c>
      <c r="AM164" s="117" t="str">
        <f>IF(A164="AH-SnapHeld-Special Project - B",_xlfn.XLOOKUP(AK164,BP:BP,BO:BO),IF(_xlfn.XLOOKUP(AL164,reference!D:D,reference!C:C)=0,"",_xlfn.XLOOKUP(AL164,reference!D:D,reference!C:C)))</f>
        <v>Fax Research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B558C-B524-4DD3-8442-CEEC4B731939}">
  <dimension ref="B1:AR90"/>
  <sheetViews>
    <sheetView zoomScale="80" zoomScaleNormal="80" workbookViewId="0">
      <pane ySplit="1" topLeftCell="A2" activePane="bottomLeft" state="frozen"/>
      <selection activeCell="BH4" sqref="BH4"/>
      <selection pane="bottomLeft" activeCell="U2" sqref="U2"/>
    </sheetView>
  </sheetViews>
  <sheetFormatPr defaultRowHeight="13.2"/>
  <cols>
    <col min="2" max="2" width="18.6640625" bestFit="1" customWidth="1"/>
    <col min="3" max="6" width="10.6640625" customWidth="1"/>
    <col min="7" max="7" width="2.6640625" customWidth="1"/>
    <col min="8" max="8" width="18.6640625" customWidth="1"/>
    <col min="9" max="12" width="10.6640625" customWidth="1"/>
    <col min="13" max="13" width="2.6640625" customWidth="1"/>
    <col min="14" max="14" width="18.6640625" customWidth="1"/>
    <col min="15" max="18" width="10.6640625" customWidth="1"/>
    <col min="19" max="19" width="8.88671875" customWidth="1"/>
    <col min="20" max="20" width="25" bestFit="1" customWidth="1"/>
    <col min="21" max="21" width="19" bestFit="1" customWidth="1"/>
    <col min="22" max="22" width="14.88671875" bestFit="1" customWidth="1"/>
    <col min="23" max="23" width="12.109375" bestFit="1" customWidth="1"/>
    <col min="24" max="24" width="13.33203125" bestFit="1" customWidth="1"/>
    <col min="25" max="25" width="16.88671875" bestFit="1" customWidth="1"/>
    <col min="26" max="27" width="11.5546875" bestFit="1" customWidth="1"/>
    <col min="29" max="29" width="25" bestFit="1" customWidth="1"/>
    <col min="31" max="31" width="23.6640625" bestFit="1" customWidth="1"/>
    <col min="32" max="32" width="28.21875" bestFit="1" customWidth="1"/>
    <col min="33" max="33" width="12.109375" bestFit="1" customWidth="1"/>
    <col min="34" max="34" width="13.33203125" bestFit="1" customWidth="1"/>
    <col min="35" max="35" width="16.88671875" bestFit="1" customWidth="1"/>
    <col min="36" max="37" width="11.5546875" bestFit="1" customWidth="1"/>
    <col min="39" max="39" width="25.109375" bestFit="1" customWidth="1"/>
    <col min="40" max="40" width="12.109375" bestFit="1" customWidth="1"/>
    <col min="41" max="41" width="12.109375" customWidth="1"/>
    <col min="42" max="42" width="17" bestFit="1" customWidth="1"/>
    <col min="43" max="43" width="11.5546875" bestFit="1" customWidth="1"/>
    <col min="44" max="44" width="11.44140625" bestFit="1" customWidth="1"/>
  </cols>
  <sheetData>
    <row r="1" spans="2:44" ht="13.8" thickBot="1">
      <c r="B1" s="111" t="s">
        <v>178</v>
      </c>
      <c r="C1" s="112" t="s">
        <v>179</v>
      </c>
      <c r="D1" s="113" t="s">
        <v>180</v>
      </c>
      <c r="E1" s="112" t="s">
        <v>148</v>
      </c>
      <c r="F1" s="73" t="s">
        <v>181</v>
      </c>
      <c r="H1" s="111" t="s">
        <v>182</v>
      </c>
      <c r="I1" s="112" t="s">
        <v>179</v>
      </c>
      <c r="J1" s="113" t="s">
        <v>180</v>
      </c>
      <c r="K1" s="112" t="s">
        <v>148</v>
      </c>
      <c r="L1" s="73" t="s">
        <v>181</v>
      </c>
      <c r="N1" s="111" t="s">
        <v>183</v>
      </c>
      <c r="O1" s="112" t="s">
        <v>179</v>
      </c>
      <c r="P1" s="113" t="s">
        <v>180</v>
      </c>
      <c r="Q1" s="112" t="s">
        <v>148</v>
      </c>
      <c r="R1" s="73" t="s">
        <v>181</v>
      </c>
      <c r="T1" s="79" t="s">
        <v>184</v>
      </c>
      <c r="U1" s="66" t="s">
        <v>173</v>
      </c>
      <c r="V1" s="66" t="s">
        <v>176</v>
      </c>
      <c r="W1" t="s">
        <v>185</v>
      </c>
      <c r="X1" t="s">
        <v>299</v>
      </c>
      <c r="Y1" t="s">
        <v>186</v>
      </c>
      <c r="Z1" t="s">
        <v>187</v>
      </c>
      <c r="AA1" t="s">
        <v>188</v>
      </c>
      <c r="AC1" s="79" t="s">
        <v>189</v>
      </c>
      <c r="AD1" s="66" t="s">
        <v>173</v>
      </c>
      <c r="AE1" s="66" t="s">
        <v>176</v>
      </c>
      <c r="AF1" s="66" t="s">
        <v>174</v>
      </c>
      <c r="AG1" t="s">
        <v>185</v>
      </c>
      <c r="AH1" t="s">
        <v>299</v>
      </c>
      <c r="AI1" t="s">
        <v>186</v>
      </c>
      <c r="AJ1" t="s">
        <v>187</v>
      </c>
      <c r="AK1" t="s">
        <v>188</v>
      </c>
      <c r="AM1" s="108" t="s">
        <v>190</v>
      </c>
      <c r="AN1" s="108" t="s">
        <v>185</v>
      </c>
      <c r="AO1" s="108" t="s">
        <v>299</v>
      </c>
      <c r="AP1" s="108" t="s">
        <v>186</v>
      </c>
      <c r="AQ1" s="108" t="s">
        <v>187</v>
      </c>
      <c r="AR1" s="108" t="s">
        <v>188</v>
      </c>
    </row>
    <row r="2" spans="2:44">
      <c r="B2" s="121" t="s">
        <v>191</v>
      </c>
      <c r="C2" s="122">
        <f>IF(IFERROR(_xlfn.XLOOKUP($B2,$T:$T,$Y:$Y),"")="",IFERROR(IF(SUMIF($AC:$AC,$B2,$AI:$AI)=0,"",SUMIF($AC:$AC,$B2,$AI:$AI)),""),IFERROR(_xlfn.XLOOKUP($B2,$T:$T,$Y:$Y),""))</f>
        <v>2.2755999999999998</v>
      </c>
      <c r="D2" s="123">
        <f t="shared" ref="D2:D27" si="0">IF(IFERROR(_xlfn.XLOOKUP($B2,$T:$T,$W:$W),"")="",IFERROR(IF(SUMIF($AC:$AC,$B2,$AG:$AG)=0,"",SUMIF($AC:$AC,$B2,$AG:$AG)),""),IFERROR(_xlfn.XLOOKUP($B2,$T:$T,$W:$W),""))</f>
        <v>29</v>
      </c>
      <c r="E2" s="124">
        <f>IF(IFERROR(_xlfn.XLOOKUP($B2,$T:$T,$X:$X),"")="",IFERROR(IF(SUMIF($AC:$AC,$B2,$AH:$AH)=0,"",SUMIF($AC:$AC,$B2,$AH:$AH)),""),IFERROR(_xlfn.XLOOKUP($B2,$T:$T,$X:$X),""))</f>
        <v>12</v>
      </c>
      <c r="F2" s="125">
        <f>IFERROR(D2/C2,"")</f>
        <v>12.743891720864827</v>
      </c>
      <c r="G2" s="85"/>
      <c r="H2" s="121" t="s">
        <v>192</v>
      </c>
      <c r="I2" s="122">
        <f>IF(IFERROR(_xlfn.XLOOKUP($H2,$T:$T,$Y:$Y),"")="",IFERROR(IF(SUMIF($AC:$AC,$H2,$AI:$AI)=0,"",SUMIF($AC:$AC,$H2,$AI:$AI)),""),IFERROR(_xlfn.XLOOKUP($H2,$T:$T,$Y:$Y),""))</f>
        <v>0.73970000000000002</v>
      </c>
      <c r="J2" s="123">
        <f t="shared" ref="J2:J27" si="1">IF(IFERROR(_xlfn.XLOOKUP($H2,$T:$T,$W:$W),"")="",IFERROR(IF(SUMIF($AC:$AC,$H2,$AG:$AG)=0,"",SUMIF($AC:$AC,$H2,$AG:$AG)),""),IFERROR(_xlfn.XLOOKUP($H2,$T:$T,$W:$W),""))</f>
        <v>9</v>
      </c>
      <c r="K2" s="124">
        <f>IF(IFERROR(_xlfn.XLOOKUP($H2,$T:$T,$X:$X),"")="",IFERROR(IF(SUMIF($AC:$AC,$H2,$AH:$AH)=0,"",SUMIF($AC:$AC,$H2,$AH:$AH)),""),IFERROR(_xlfn.XLOOKUP($H2,$T:$T,$X:$X),""))</f>
        <v>5</v>
      </c>
      <c r="L2" s="125">
        <f>IFERROR(J2/I2,"")</f>
        <v>12.16709476814925</v>
      </c>
      <c r="N2" s="121" t="s">
        <v>193</v>
      </c>
      <c r="O2" s="122">
        <f>IF(IFERROR(_xlfn.XLOOKUP($N2,$T:$T,$Y:$Y),"")="",IFERROR(IF(SUMIF($AC:$AC,$N2,$AI:$AI)=0,"",SUMIF($AC:$AC,$N2,$AI:$AI)),""),IFERROR(_xlfn.XLOOKUP($N2,$T:$T,$Y:$Y),""))</f>
        <v>11.768700000000001</v>
      </c>
      <c r="P2" s="126">
        <f t="shared" ref="P2:P27" si="2">IF(IFERROR(_xlfn.XLOOKUP($N2,$T:$T,$W:$W),"")="",IFERROR(IF(SUMIF($AC:$AC,$N2,$AG:$AG)=0,"",SUMIF($AC:$AC,$N2,$AG:$AG)),""),IFERROR(_xlfn.XLOOKUP($N2,$T:$T,$W:$W),""))</f>
        <v>224</v>
      </c>
      <c r="Q2" s="124">
        <f>IF(IFERROR(_xlfn.XLOOKUP($N2,$T:$T,$X:$X),"")="",IFERROR(IF(SUMIF($AC:$AC,$N2,$AH:$AH)=0,"",SUMIF($AC:$AC,$N2,$AH:$AH)),""),IFERROR(_xlfn.XLOOKUP($N2,$T:$T,$X:$X),""))</f>
        <v>104</v>
      </c>
      <c r="R2" s="125">
        <f>IFERROR(P2/O2,"")</f>
        <v>19.033538113810359</v>
      </c>
      <c r="T2" t="str">
        <f>_xlfn.CONCAT(U2,"-",V2)</f>
        <v>BCD-DCAH Scrubs</v>
      </c>
      <c r="U2" t="s">
        <v>178</v>
      </c>
      <c r="V2" t="s">
        <v>39</v>
      </c>
      <c r="W2" s="131">
        <v>133</v>
      </c>
      <c r="X2" s="131">
        <v>15</v>
      </c>
      <c r="Y2" s="67">
        <v>11.163799999999998</v>
      </c>
      <c r="Z2" s="67">
        <v>11.913506153818593</v>
      </c>
      <c r="AA2" s="67">
        <v>1.3436285135885633</v>
      </c>
      <c r="AC2" t="str">
        <f>_xlfn.CONCAT(AD2,"-",AE2)</f>
        <v>BCD-Fax Mapping</v>
      </c>
      <c r="AD2" t="s">
        <v>178</v>
      </c>
      <c r="AE2" t="s">
        <v>117</v>
      </c>
      <c r="AF2" t="s">
        <v>951</v>
      </c>
      <c r="AG2" s="131">
        <v>11</v>
      </c>
      <c r="AH2" s="131">
        <v>102</v>
      </c>
      <c r="AI2" s="67">
        <v>3.8618999999999999</v>
      </c>
      <c r="AJ2" s="67">
        <v>2.8483389005411843</v>
      </c>
      <c r="AK2" s="67">
        <v>26.411869805018256</v>
      </c>
      <c r="AM2" s="71" t="s">
        <v>297</v>
      </c>
      <c r="AN2">
        <f>SUMIF(AC:AC,AM2,AG:AG)</f>
        <v>0</v>
      </c>
      <c r="AO2">
        <f>SUMIF(AC:AC,AM2,AH:AH)</f>
        <v>0</v>
      </c>
      <c r="AP2" s="67">
        <f>SUMIF(AC:AC,AM2,AI:AI)</f>
        <v>0</v>
      </c>
      <c r="AQ2" s="67" t="e">
        <f>AVERAGEIF(AC:AC,AM2,AI:AI)</f>
        <v>#DIV/0!</v>
      </c>
      <c r="AR2" s="67" t="e">
        <f>AVERAGEIF(AC:AC,AM2,AJ:AJ)</f>
        <v>#DIV/0!</v>
      </c>
    </row>
    <row r="3" spans="2:44">
      <c r="B3" s="88" t="s">
        <v>195</v>
      </c>
      <c r="C3" s="69">
        <f t="shared" ref="C3:C27" si="3">IF(IFERROR(_xlfn.XLOOKUP($B3,$T:$T,$Y:$Y),"")="",IFERROR(IF(SUMIF($AC:$AC,$B3,$AI:$AI)=0,"",SUMIF($AC:$AC,$B3,$AI:$AI)),""),IFERROR(_xlfn.XLOOKUP($B3,$T:$T,$Y:$Y),""))</f>
        <v>34.3005</v>
      </c>
      <c r="D3" s="109">
        <f t="shared" si="0"/>
        <v>162</v>
      </c>
      <c r="E3" s="118">
        <f t="shared" ref="E3:E27" si="4">IF(IFERROR(_xlfn.XLOOKUP($B3,$T:$T,$X:$X),"")="",IFERROR(IF(SUMIF($AC:$AC,$B3,$AH:$AH)=0,"",SUMIF($AC:$AC,$B3,$AH:$AH)),""),IFERROR(_xlfn.XLOOKUP($B3,$T:$T,$X:$X),""))</f>
        <v>41</v>
      </c>
      <c r="F3" s="68">
        <f t="shared" ref="F3:F27" si="5">IFERROR(D3/C3,"")</f>
        <v>4.7229632221104652</v>
      </c>
      <c r="G3" s="85"/>
      <c r="H3" s="88" t="s">
        <v>196</v>
      </c>
      <c r="I3" s="69" t="str">
        <f t="shared" ref="I3:I27" si="6">IF(IFERROR(_xlfn.XLOOKUP($H3,$T:$T,$Y:$Y),"")="",IFERROR(IF(SUMIF($AC:$AC,$H3,$AI:$AI)=0,"",SUMIF($AC:$AC,$H3,$AI:$AI)),""),IFERROR(_xlfn.XLOOKUP($H3,$T:$T,$Y:$Y),""))</f>
        <v/>
      </c>
      <c r="J3" s="109" t="str">
        <f t="shared" si="1"/>
        <v/>
      </c>
      <c r="K3" s="118" t="str">
        <f t="shared" ref="K3:K27" si="7">IF(IFERROR(_xlfn.XLOOKUP($H3,$T:$T,$X:$X),"")="",IFERROR(IF(SUMIF($AC:$AC,$H3,$AH:$AH)=0,"",SUMIF($AC:$AC,$H3,$AH:$AH)),""),IFERROR(_xlfn.XLOOKUP($H3,$T:$T,$X:$X),""))</f>
        <v/>
      </c>
      <c r="L3" s="68" t="str">
        <f t="shared" ref="L3:L27" si="8">IFERROR(J3/I3,"")</f>
        <v/>
      </c>
      <c r="N3" s="88" t="s">
        <v>197</v>
      </c>
      <c r="O3" s="69" t="str">
        <f t="shared" ref="O3:O27" si="9">IF(IFERROR(_xlfn.XLOOKUP($N3,$T:$T,$Y:$Y),"")="",IFERROR(IF(SUMIF($AC:$AC,$N3,$AI:$AI)=0,"",SUMIF($AC:$AC,$N3,$AI:$AI)),""),IFERROR(_xlfn.XLOOKUP($N3,$T:$T,$Y:$Y),""))</f>
        <v/>
      </c>
      <c r="P3" s="64" t="str">
        <f t="shared" si="2"/>
        <v/>
      </c>
      <c r="Q3" s="118" t="str">
        <f t="shared" ref="Q3:Q27" si="10">IF(IFERROR(_xlfn.XLOOKUP($N3,$T:$T,$X:$X),"")="",IFERROR(IF(SUMIF($AC:$AC,$N3,$AH:$AH)=0,"",SUMIF($AC:$AC,$N3,$AH:$AH)),""),IFERROR(_xlfn.XLOOKUP($N3,$T:$T,$X:$X),""))</f>
        <v/>
      </c>
      <c r="R3" s="68" t="str">
        <f t="shared" ref="R3:R27" si="11">IFERROR(P3/O3,"")</f>
        <v/>
      </c>
      <c r="T3" t="str">
        <f t="shared" ref="T3:T35" si="12">_xlfn.CONCAT(U3,"-",V3)</f>
        <v>BCD-Edocument</v>
      </c>
      <c r="U3" t="s">
        <v>178</v>
      </c>
      <c r="V3" t="s">
        <v>32</v>
      </c>
      <c r="W3" s="131">
        <v>162</v>
      </c>
      <c r="X3" s="131">
        <v>41</v>
      </c>
      <c r="Y3" s="67">
        <v>34.3005</v>
      </c>
      <c r="Z3" s="67">
        <v>4.7229632221104652</v>
      </c>
      <c r="AA3" s="67">
        <v>1.1953178525094386</v>
      </c>
      <c r="AC3" t="str">
        <f t="shared" ref="AC3:AC66" si="13">_xlfn.CONCAT(AD3,"-",AE3)</f>
        <v>BCD-Fax Mapping</v>
      </c>
      <c r="AD3" t="s">
        <v>178</v>
      </c>
      <c r="AE3" t="s">
        <v>117</v>
      </c>
      <c r="AF3" t="s">
        <v>952</v>
      </c>
      <c r="AG3" s="131">
        <v>6</v>
      </c>
      <c r="AH3" s="131">
        <v>57</v>
      </c>
      <c r="AI3" s="67">
        <v>4.0152999999999999</v>
      </c>
      <c r="AJ3" s="67">
        <v>1.4942843623141484</v>
      </c>
      <c r="AK3" s="67">
        <v>14.19570144198441</v>
      </c>
      <c r="AM3" s="71" t="s">
        <v>290</v>
      </c>
      <c r="AN3">
        <f t="shared" ref="AN3:AN14" si="14">SUMIF(AC:AC,AM3,AG:AG)</f>
        <v>0</v>
      </c>
      <c r="AO3">
        <f t="shared" ref="AO3:AO14" si="15">SUMIF(AC:AC,AM3,AH:AH)</f>
        <v>0</v>
      </c>
      <c r="AP3" s="67">
        <f t="shared" ref="AP3:AP14" si="16">SUMIF(AC:AC,AM3,AI:AI)</f>
        <v>0</v>
      </c>
      <c r="AQ3" s="67" t="e">
        <f t="shared" ref="AQ3:AQ14" si="17">AVERAGEIF(AC:AC,AM3,AI:AI)</f>
        <v>#DIV/0!</v>
      </c>
      <c r="AR3" s="67" t="e">
        <f t="shared" ref="AR3:AR14" si="18">AVERAGEIF(AC:AC,AM3,AJ:AJ)</f>
        <v>#DIV/0!</v>
      </c>
    </row>
    <row r="4" spans="2:44">
      <c r="B4" s="88" t="s">
        <v>198</v>
      </c>
      <c r="C4" s="69" t="str">
        <f t="shared" si="3"/>
        <v/>
      </c>
      <c r="D4" s="109" t="str">
        <f t="shared" si="0"/>
        <v/>
      </c>
      <c r="E4" s="118" t="str">
        <f t="shared" si="4"/>
        <v/>
      </c>
      <c r="F4" s="68" t="str">
        <f t="shared" si="5"/>
        <v/>
      </c>
      <c r="G4" s="85"/>
      <c r="H4" s="88" t="s">
        <v>199</v>
      </c>
      <c r="I4" s="69" t="str">
        <f t="shared" si="6"/>
        <v/>
      </c>
      <c r="J4" s="109" t="str">
        <f t="shared" si="1"/>
        <v/>
      </c>
      <c r="K4" s="118" t="str">
        <f t="shared" si="7"/>
        <v/>
      </c>
      <c r="L4" s="68" t="str">
        <f t="shared" si="8"/>
        <v/>
      </c>
      <c r="N4" s="88" t="s">
        <v>200</v>
      </c>
      <c r="O4" s="69" t="str">
        <f t="shared" si="9"/>
        <v/>
      </c>
      <c r="P4" s="64" t="str">
        <f t="shared" si="2"/>
        <v/>
      </c>
      <c r="Q4" s="118" t="str">
        <f t="shared" si="10"/>
        <v/>
      </c>
      <c r="R4" s="68" t="str">
        <f t="shared" si="11"/>
        <v/>
      </c>
      <c r="T4" t="str">
        <f t="shared" si="12"/>
        <v>BCD-VSA</v>
      </c>
      <c r="U4" t="s">
        <v>178</v>
      </c>
      <c r="V4" t="s">
        <v>43</v>
      </c>
      <c r="W4" s="131">
        <v>165</v>
      </c>
      <c r="X4" s="131">
        <v>107</v>
      </c>
      <c r="Y4" s="67">
        <v>6.6852</v>
      </c>
      <c r="Z4" s="67">
        <v>24.681385747621611</v>
      </c>
      <c r="AA4" s="67">
        <v>16.005504696942499</v>
      </c>
      <c r="AC4" t="str">
        <f t="shared" si="13"/>
        <v>BCD-Fax Mapping</v>
      </c>
      <c r="AD4" t="s">
        <v>178</v>
      </c>
      <c r="AE4" t="s">
        <v>117</v>
      </c>
      <c r="AF4" t="s">
        <v>953</v>
      </c>
      <c r="AG4" s="131">
        <v>1</v>
      </c>
      <c r="AH4" s="131">
        <v>20</v>
      </c>
      <c r="AI4" s="67">
        <v>0.92110000000000003</v>
      </c>
      <c r="AJ4" s="67">
        <v>1.0856584518510477</v>
      </c>
      <c r="AK4" s="67">
        <v>21.713169037020954</v>
      </c>
      <c r="AM4" s="71" t="s">
        <v>212</v>
      </c>
      <c r="AN4">
        <f t="shared" si="14"/>
        <v>0</v>
      </c>
      <c r="AO4">
        <f t="shared" si="15"/>
        <v>0</v>
      </c>
      <c r="AP4" s="67">
        <f t="shared" si="16"/>
        <v>0</v>
      </c>
      <c r="AQ4" s="67" t="e">
        <f t="shared" si="17"/>
        <v>#DIV/0!</v>
      </c>
      <c r="AR4" s="67" t="e">
        <f t="shared" si="18"/>
        <v>#DIV/0!</v>
      </c>
    </row>
    <row r="5" spans="2:44">
      <c r="B5" s="88" t="s">
        <v>201</v>
      </c>
      <c r="C5" s="69">
        <f t="shared" si="3"/>
        <v>11.163799999999998</v>
      </c>
      <c r="D5" s="109">
        <f t="shared" si="0"/>
        <v>133</v>
      </c>
      <c r="E5" s="118">
        <f t="shared" si="4"/>
        <v>15</v>
      </c>
      <c r="F5" s="68">
        <f t="shared" si="5"/>
        <v>11.913506153818593</v>
      </c>
      <c r="G5" s="85"/>
      <c r="H5" s="88" t="s">
        <v>202</v>
      </c>
      <c r="I5" s="69" t="str">
        <f t="shared" si="6"/>
        <v/>
      </c>
      <c r="J5" s="109" t="str">
        <f t="shared" si="1"/>
        <v/>
      </c>
      <c r="K5" s="118" t="str">
        <f t="shared" si="7"/>
        <v/>
      </c>
      <c r="L5" s="68" t="str">
        <f t="shared" si="8"/>
        <v/>
      </c>
      <c r="N5" s="88" t="s">
        <v>203</v>
      </c>
      <c r="O5" s="69">
        <f t="shared" si="9"/>
        <v>42.206499999999998</v>
      </c>
      <c r="P5" s="64">
        <f t="shared" si="2"/>
        <v>42</v>
      </c>
      <c r="Q5" s="118">
        <f t="shared" si="10"/>
        <v>6</v>
      </c>
      <c r="R5" s="68">
        <f t="shared" si="11"/>
        <v>0.99510738867236093</v>
      </c>
      <c r="T5" t="str">
        <f t="shared" si="12"/>
        <v>BCD-Doctor Research</v>
      </c>
      <c r="U5" t="s">
        <v>178</v>
      </c>
      <c r="V5" t="s">
        <v>35</v>
      </c>
      <c r="W5" s="131">
        <v>22</v>
      </c>
      <c r="X5" s="131">
        <v>22</v>
      </c>
      <c r="Y5" s="67">
        <v>3.3831000000000002</v>
      </c>
      <c r="Z5" s="67">
        <v>6.5029115308444911</v>
      </c>
      <c r="AA5" s="67">
        <v>6.5029115308444911</v>
      </c>
      <c r="AC5" t="str">
        <f t="shared" si="13"/>
        <v>BCD-Fax Mapping</v>
      </c>
      <c r="AD5" t="s">
        <v>178</v>
      </c>
      <c r="AE5" t="s">
        <v>117</v>
      </c>
      <c r="AF5" t="s">
        <v>954</v>
      </c>
      <c r="AG5" s="131">
        <v>2</v>
      </c>
      <c r="AH5" s="131">
        <v>19</v>
      </c>
      <c r="AI5" s="67">
        <v>3.06</v>
      </c>
      <c r="AJ5" s="67">
        <v>0.65359477124183007</v>
      </c>
      <c r="AK5" s="67">
        <v>6.2091503267973858</v>
      </c>
      <c r="AM5" s="71" t="s">
        <v>216</v>
      </c>
      <c r="AN5">
        <f t="shared" si="14"/>
        <v>0</v>
      </c>
      <c r="AO5">
        <f t="shared" si="15"/>
        <v>0</v>
      </c>
      <c r="AP5" s="67">
        <f t="shared" si="16"/>
        <v>0</v>
      </c>
      <c r="AQ5" s="67" t="e">
        <f t="shared" si="17"/>
        <v>#DIV/0!</v>
      </c>
      <c r="AR5" s="67" t="e">
        <f t="shared" si="18"/>
        <v>#DIV/0!</v>
      </c>
    </row>
    <row r="6" spans="2:44">
      <c r="B6" s="88" t="s">
        <v>205</v>
      </c>
      <c r="C6" s="69" t="str">
        <f t="shared" si="3"/>
        <v/>
      </c>
      <c r="D6" s="109" t="str">
        <f t="shared" si="0"/>
        <v/>
      </c>
      <c r="E6" s="118" t="str">
        <f t="shared" si="4"/>
        <v/>
      </c>
      <c r="F6" s="68" t="str">
        <f t="shared" si="5"/>
        <v/>
      </c>
      <c r="G6" s="85"/>
      <c r="H6" s="88" t="s">
        <v>206</v>
      </c>
      <c r="I6" s="69">
        <f t="shared" si="6"/>
        <v>4.8122000000000007</v>
      </c>
      <c r="J6" s="109">
        <f t="shared" si="1"/>
        <v>41</v>
      </c>
      <c r="K6" s="118">
        <f t="shared" si="7"/>
        <v>2</v>
      </c>
      <c r="L6" s="68">
        <f t="shared" si="8"/>
        <v>8.5200116370890644</v>
      </c>
      <c r="N6" s="88" t="s">
        <v>207</v>
      </c>
      <c r="O6" s="69">
        <f t="shared" si="9"/>
        <v>61.599100000000014</v>
      </c>
      <c r="P6" s="64">
        <f t="shared" si="2"/>
        <v>640</v>
      </c>
      <c r="Q6" s="118">
        <f t="shared" si="10"/>
        <v>31</v>
      </c>
      <c r="R6" s="68">
        <f t="shared" si="11"/>
        <v>10.389762188083914</v>
      </c>
      <c r="T6" t="str">
        <f t="shared" si="12"/>
        <v>BCD-Doctor Match</v>
      </c>
      <c r="U6" t="s">
        <v>178</v>
      </c>
      <c r="V6" t="s">
        <v>76</v>
      </c>
      <c r="W6" s="131">
        <v>28</v>
      </c>
      <c r="X6" s="131">
        <v>239</v>
      </c>
      <c r="Y6" s="67">
        <v>21.097299999999997</v>
      </c>
      <c r="Z6" s="67">
        <v>1.3271840472477523</v>
      </c>
      <c r="AA6" s="67">
        <v>11.328463831864742</v>
      </c>
      <c r="AC6" t="str">
        <f t="shared" si="13"/>
        <v>BCD-Fax Mapping</v>
      </c>
      <c r="AD6" t="s">
        <v>178</v>
      </c>
      <c r="AE6" t="s">
        <v>117</v>
      </c>
      <c r="AF6" t="s">
        <v>955</v>
      </c>
      <c r="AG6" s="131">
        <v>7</v>
      </c>
      <c r="AH6" s="131">
        <v>36</v>
      </c>
      <c r="AI6" s="67">
        <v>3.3149999999999999</v>
      </c>
      <c r="AJ6" s="67">
        <v>2.1116138763197587</v>
      </c>
      <c r="AK6" s="67">
        <v>10.859728506787331</v>
      </c>
      <c r="AM6" s="71" t="s">
        <v>292</v>
      </c>
      <c r="AN6">
        <f t="shared" si="14"/>
        <v>0</v>
      </c>
      <c r="AO6">
        <f t="shared" si="15"/>
        <v>0</v>
      </c>
      <c r="AP6" s="67">
        <f t="shared" si="16"/>
        <v>0</v>
      </c>
      <c r="AQ6" s="67" t="e">
        <f t="shared" si="17"/>
        <v>#DIV/0!</v>
      </c>
      <c r="AR6" s="67" t="e">
        <f t="shared" si="18"/>
        <v>#DIV/0!</v>
      </c>
    </row>
    <row r="7" spans="2:44">
      <c r="B7" s="88" t="s">
        <v>209</v>
      </c>
      <c r="C7" s="69" t="str">
        <f t="shared" si="3"/>
        <v/>
      </c>
      <c r="D7" s="109" t="str">
        <f t="shared" si="0"/>
        <v/>
      </c>
      <c r="E7" s="118" t="str">
        <f t="shared" si="4"/>
        <v/>
      </c>
      <c r="F7" s="68" t="str">
        <f t="shared" si="5"/>
        <v/>
      </c>
      <c r="G7" s="85"/>
      <c r="H7" s="88" t="s">
        <v>210</v>
      </c>
      <c r="I7" s="69">
        <f t="shared" si="6"/>
        <v>26.2502</v>
      </c>
      <c r="J7" s="109">
        <f t="shared" si="1"/>
        <v>405</v>
      </c>
      <c r="K7" s="118">
        <f t="shared" si="7"/>
        <v>52</v>
      </c>
      <c r="L7" s="68">
        <f t="shared" si="8"/>
        <v>15.428453878446641</v>
      </c>
      <c r="N7" s="88" t="s">
        <v>211</v>
      </c>
      <c r="O7" s="69" t="str">
        <f t="shared" si="9"/>
        <v/>
      </c>
      <c r="P7" s="64" t="str">
        <f t="shared" si="2"/>
        <v/>
      </c>
      <c r="Q7" s="118" t="str">
        <f t="shared" si="10"/>
        <v/>
      </c>
      <c r="R7" s="68" t="str">
        <f t="shared" si="11"/>
        <v/>
      </c>
      <c r="T7" t="str">
        <f t="shared" si="12"/>
        <v>BCD-Aging</v>
      </c>
      <c r="U7" t="s">
        <v>178</v>
      </c>
      <c r="V7" t="s">
        <v>84</v>
      </c>
      <c r="W7" s="131">
        <v>54</v>
      </c>
      <c r="X7" s="131">
        <v>12</v>
      </c>
      <c r="Y7" s="67">
        <v>3.3519000000000001</v>
      </c>
      <c r="Z7" s="67">
        <v>16.110265819386019</v>
      </c>
      <c r="AA7" s="67">
        <v>3.5800590709746709</v>
      </c>
      <c r="AC7" t="str">
        <f t="shared" si="13"/>
        <v>BCD-Confirmed Sales</v>
      </c>
      <c r="AD7" t="s">
        <v>178</v>
      </c>
      <c r="AE7" t="s">
        <v>30</v>
      </c>
      <c r="AF7" t="s">
        <v>956</v>
      </c>
      <c r="AG7" s="131">
        <v>13</v>
      </c>
      <c r="AH7" s="131">
        <v>9</v>
      </c>
      <c r="AI7" s="67">
        <v>1.1599999999999999</v>
      </c>
      <c r="AJ7" s="67">
        <v>11.206896551724139</v>
      </c>
      <c r="AK7" s="67">
        <v>7.7586206896551726</v>
      </c>
      <c r="AM7" s="71" t="s">
        <v>220</v>
      </c>
      <c r="AN7">
        <f t="shared" si="14"/>
        <v>818</v>
      </c>
      <c r="AO7">
        <f t="shared" si="15"/>
        <v>961</v>
      </c>
      <c r="AP7" s="67">
        <f t="shared" si="16"/>
        <v>113.59779999999995</v>
      </c>
      <c r="AQ7" s="67">
        <f t="shared" si="17"/>
        <v>113.59779999999995</v>
      </c>
      <c r="AR7" s="67">
        <f t="shared" si="18"/>
        <v>7.2008436783106751</v>
      </c>
    </row>
    <row r="8" spans="2:44">
      <c r="B8" s="88" t="s">
        <v>213</v>
      </c>
      <c r="C8" s="69" t="str">
        <f t="shared" si="3"/>
        <v/>
      </c>
      <c r="D8" s="109" t="str">
        <f t="shared" si="0"/>
        <v/>
      </c>
      <c r="E8" s="118" t="str">
        <f t="shared" si="4"/>
        <v/>
      </c>
      <c r="F8" s="68" t="str">
        <f t="shared" si="5"/>
        <v/>
      </c>
      <c r="G8" s="85"/>
      <c r="H8" s="88" t="s">
        <v>214</v>
      </c>
      <c r="I8" s="69">
        <f t="shared" si="6"/>
        <v>28.121000000000002</v>
      </c>
      <c r="J8" s="109">
        <f t="shared" si="1"/>
        <v>400</v>
      </c>
      <c r="K8" s="118">
        <f t="shared" si="7"/>
        <v>56</v>
      </c>
      <c r="L8" s="68">
        <f t="shared" si="8"/>
        <v>14.224245225987694</v>
      </c>
      <c r="N8" s="88" t="s">
        <v>215</v>
      </c>
      <c r="O8" s="69">
        <f t="shared" si="9"/>
        <v>38.679200000000002</v>
      </c>
      <c r="P8" s="64">
        <f t="shared" si="2"/>
        <v>446</v>
      </c>
      <c r="Q8" s="118">
        <f t="shared" si="10"/>
        <v>58</v>
      </c>
      <c r="R8" s="68">
        <f t="shared" si="11"/>
        <v>11.530745206726095</v>
      </c>
      <c r="T8" t="str">
        <f t="shared" si="12"/>
        <v>BTG-DCAH Scrubs</v>
      </c>
      <c r="U8" t="s">
        <v>183</v>
      </c>
      <c r="V8" t="s">
        <v>39</v>
      </c>
      <c r="W8" s="131">
        <v>42</v>
      </c>
      <c r="X8" s="131">
        <v>6</v>
      </c>
      <c r="Y8" s="67">
        <v>42.206499999999998</v>
      </c>
      <c r="Z8" s="67">
        <v>0.99510738867236093</v>
      </c>
      <c r="AA8" s="67">
        <v>0.14215819838176585</v>
      </c>
      <c r="AC8" t="str">
        <f t="shared" si="13"/>
        <v>BCD-Confirmed Sales</v>
      </c>
      <c r="AD8" t="s">
        <v>178</v>
      </c>
      <c r="AE8" t="s">
        <v>30</v>
      </c>
      <c r="AF8" t="s">
        <v>957</v>
      </c>
      <c r="AG8" s="131">
        <v>16</v>
      </c>
      <c r="AH8" s="131">
        <v>3</v>
      </c>
      <c r="AI8" s="67">
        <v>1.1155999999999999</v>
      </c>
      <c r="AJ8" s="67">
        <v>14.342058085335246</v>
      </c>
      <c r="AK8" s="67">
        <v>2.6891358910003587</v>
      </c>
      <c r="AM8" s="71" t="s">
        <v>298</v>
      </c>
      <c r="AN8">
        <f t="shared" si="14"/>
        <v>0</v>
      </c>
      <c r="AO8">
        <f t="shared" si="15"/>
        <v>0</v>
      </c>
      <c r="AP8" s="67">
        <f t="shared" si="16"/>
        <v>2.5600000000000001E-2</v>
      </c>
      <c r="AQ8" s="67">
        <f t="shared" si="17"/>
        <v>2.5600000000000001E-2</v>
      </c>
      <c r="AR8" s="67">
        <f t="shared" si="18"/>
        <v>0</v>
      </c>
    </row>
    <row r="9" spans="2:44">
      <c r="B9" s="88" t="s">
        <v>217</v>
      </c>
      <c r="C9" s="69">
        <f t="shared" si="3"/>
        <v>6.6852</v>
      </c>
      <c r="D9" s="109">
        <f t="shared" si="0"/>
        <v>165</v>
      </c>
      <c r="E9" s="118">
        <f t="shared" si="4"/>
        <v>107</v>
      </c>
      <c r="F9" s="68">
        <f t="shared" si="5"/>
        <v>24.681385747621611</v>
      </c>
      <c r="G9" s="85"/>
      <c r="H9" s="88" t="s">
        <v>218</v>
      </c>
      <c r="I9" s="69">
        <f t="shared" si="6"/>
        <v>17.514400000000002</v>
      </c>
      <c r="J9" s="109">
        <f t="shared" si="1"/>
        <v>359</v>
      </c>
      <c r="K9" s="118">
        <f t="shared" si="7"/>
        <v>63</v>
      </c>
      <c r="L9" s="68">
        <f t="shared" si="8"/>
        <v>20.497419266432189</v>
      </c>
      <c r="N9" s="88" t="s">
        <v>219</v>
      </c>
      <c r="O9" s="69">
        <f t="shared" si="9"/>
        <v>1.5139</v>
      </c>
      <c r="P9" s="64">
        <f t="shared" si="2"/>
        <v>23</v>
      </c>
      <c r="Q9" s="118">
        <f t="shared" si="10"/>
        <v>3</v>
      </c>
      <c r="R9" s="68">
        <f t="shared" si="11"/>
        <v>15.192549045511592</v>
      </c>
      <c r="T9" t="str">
        <f t="shared" si="12"/>
        <v>BTG-PCAH</v>
      </c>
      <c r="U9" t="s">
        <v>183</v>
      </c>
      <c r="V9" t="s">
        <v>28</v>
      </c>
      <c r="W9" s="131">
        <v>446</v>
      </c>
      <c r="X9" s="131">
        <v>58</v>
      </c>
      <c r="Y9" s="67">
        <v>38.679200000000002</v>
      </c>
      <c r="Z9" s="67">
        <v>11.530745206726095</v>
      </c>
      <c r="AA9" s="67">
        <v>1.4995139506504787</v>
      </c>
      <c r="AC9" t="str">
        <f t="shared" si="13"/>
        <v>BCD-Blank Held</v>
      </c>
      <c r="AD9" t="s">
        <v>178</v>
      </c>
      <c r="AE9" t="s">
        <v>58</v>
      </c>
      <c r="AF9" t="s">
        <v>958</v>
      </c>
      <c r="AG9" s="131">
        <v>38</v>
      </c>
      <c r="AH9" s="131">
        <v>31</v>
      </c>
      <c r="AI9" s="67">
        <v>3.9327999999999999</v>
      </c>
      <c r="AJ9" s="67">
        <v>9.6623270951993501</v>
      </c>
      <c r="AK9" s="67">
        <v>7.8824247355573638</v>
      </c>
      <c r="AM9" t="s">
        <v>210</v>
      </c>
      <c r="AN9">
        <f t="shared" si="14"/>
        <v>376</v>
      </c>
      <c r="AO9">
        <f t="shared" si="15"/>
        <v>43</v>
      </c>
      <c r="AP9" s="67">
        <f t="shared" si="16"/>
        <v>24.256700000000002</v>
      </c>
      <c r="AQ9" s="67">
        <f t="shared" si="17"/>
        <v>2.6951888888888891</v>
      </c>
      <c r="AR9" s="67">
        <f t="shared" si="18"/>
        <v>14.594417808721163</v>
      </c>
    </row>
    <row r="10" spans="2:44">
      <c r="B10" s="88" t="s">
        <v>221</v>
      </c>
      <c r="C10" s="69" t="str">
        <f t="shared" si="3"/>
        <v/>
      </c>
      <c r="D10" s="109" t="str">
        <f t="shared" si="0"/>
        <v/>
      </c>
      <c r="E10" s="118" t="str">
        <f t="shared" si="4"/>
        <v/>
      </c>
      <c r="F10" s="68" t="str">
        <f t="shared" si="5"/>
        <v/>
      </c>
      <c r="G10" s="85"/>
      <c r="H10" s="88" t="s">
        <v>222</v>
      </c>
      <c r="I10" s="69" t="str">
        <f t="shared" si="6"/>
        <v/>
      </c>
      <c r="J10" s="109" t="str">
        <f t="shared" si="1"/>
        <v/>
      </c>
      <c r="K10" s="118" t="str">
        <f t="shared" si="7"/>
        <v/>
      </c>
      <c r="L10" s="68" t="str">
        <f t="shared" si="8"/>
        <v/>
      </c>
      <c r="N10" s="88" t="s">
        <v>223</v>
      </c>
      <c r="O10" s="69" t="str">
        <f t="shared" si="9"/>
        <v/>
      </c>
      <c r="P10" s="64" t="str">
        <f t="shared" si="2"/>
        <v/>
      </c>
      <c r="Q10" s="118" t="str">
        <f t="shared" si="10"/>
        <v/>
      </c>
      <c r="R10" s="68" t="str">
        <f t="shared" si="11"/>
        <v/>
      </c>
      <c r="T10" t="str">
        <f t="shared" si="12"/>
        <v>BTG-VSA</v>
      </c>
      <c r="U10" t="s">
        <v>183</v>
      </c>
      <c r="V10" t="s">
        <v>43</v>
      </c>
      <c r="W10" s="131">
        <v>23</v>
      </c>
      <c r="X10" s="131">
        <v>3</v>
      </c>
      <c r="Y10" s="67">
        <v>1.5139</v>
      </c>
      <c r="Z10" s="67">
        <v>15.192549045511592</v>
      </c>
      <c r="AA10" s="67">
        <v>1.9816368320232511</v>
      </c>
      <c r="AC10" t="str">
        <f t="shared" si="13"/>
        <v>ILO-0</v>
      </c>
      <c r="AD10" t="s">
        <v>182</v>
      </c>
      <c r="AE10">
        <v>0</v>
      </c>
      <c r="AF10" t="s">
        <v>959</v>
      </c>
      <c r="AG10" s="131">
        <v>0</v>
      </c>
      <c r="AH10" s="131">
        <v>0</v>
      </c>
      <c r="AI10" s="67">
        <v>2.5600000000000001E-2</v>
      </c>
      <c r="AJ10" s="67">
        <v>0</v>
      </c>
      <c r="AK10" s="67">
        <v>0</v>
      </c>
      <c r="AM10" t="s">
        <v>227</v>
      </c>
      <c r="AN10">
        <f t="shared" si="14"/>
        <v>0</v>
      </c>
      <c r="AO10">
        <f t="shared" si="15"/>
        <v>0</v>
      </c>
      <c r="AP10" s="67">
        <f t="shared" si="16"/>
        <v>0</v>
      </c>
      <c r="AQ10" s="67" t="e">
        <f t="shared" si="17"/>
        <v>#DIV/0!</v>
      </c>
      <c r="AR10" s="67" t="e">
        <f t="shared" si="18"/>
        <v>#DIV/0!</v>
      </c>
    </row>
    <row r="11" spans="2:44">
      <c r="B11" s="88" t="s">
        <v>224</v>
      </c>
      <c r="C11" s="69" t="str">
        <f t="shared" si="3"/>
        <v/>
      </c>
      <c r="D11" s="109" t="str">
        <f t="shared" si="0"/>
        <v/>
      </c>
      <c r="E11" s="118" t="str">
        <f t="shared" si="4"/>
        <v/>
      </c>
      <c r="F11" s="68" t="str">
        <f t="shared" si="5"/>
        <v/>
      </c>
      <c r="G11" s="85"/>
      <c r="H11" s="88" t="s">
        <v>225</v>
      </c>
      <c r="I11" s="69">
        <f t="shared" si="6"/>
        <v>2.145</v>
      </c>
      <c r="J11" s="109">
        <f t="shared" si="1"/>
        <v>22</v>
      </c>
      <c r="K11" s="118">
        <f t="shared" si="7"/>
        <v>4</v>
      </c>
      <c r="L11" s="68">
        <f t="shared" si="8"/>
        <v>10.256410256410255</v>
      </c>
      <c r="N11" s="88" t="s">
        <v>226</v>
      </c>
      <c r="O11" s="69" t="str">
        <f t="shared" si="9"/>
        <v/>
      </c>
      <c r="P11" s="64" t="str">
        <f t="shared" si="2"/>
        <v/>
      </c>
      <c r="Q11" s="118" t="str">
        <f t="shared" si="10"/>
        <v/>
      </c>
      <c r="R11" s="68" t="str">
        <f t="shared" si="11"/>
        <v/>
      </c>
      <c r="T11" t="str">
        <f t="shared" si="12"/>
        <v>BTG-Doctor Match</v>
      </c>
      <c r="U11" t="s">
        <v>183</v>
      </c>
      <c r="V11" t="s">
        <v>76</v>
      </c>
      <c r="W11" s="131">
        <v>67</v>
      </c>
      <c r="X11" s="131">
        <v>240</v>
      </c>
      <c r="Y11" s="67">
        <v>36.040600000000005</v>
      </c>
      <c r="Z11" s="67">
        <v>1.8590145558065068</v>
      </c>
      <c r="AA11" s="67">
        <v>6.6591566178143529</v>
      </c>
      <c r="AC11" t="str">
        <f t="shared" si="13"/>
        <v>ILO-Fax Mapping</v>
      </c>
      <c r="AD11" t="s">
        <v>182</v>
      </c>
      <c r="AE11" t="s">
        <v>117</v>
      </c>
      <c r="AF11" t="s">
        <v>960</v>
      </c>
      <c r="AG11" s="131">
        <v>6</v>
      </c>
      <c r="AH11" s="131">
        <v>72</v>
      </c>
      <c r="AI11" s="67">
        <v>3.1105999999999998</v>
      </c>
      <c r="AJ11" s="67">
        <v>1.9288883173664246</v>
      </c>
      <c r="AK11" s="67">
        <v>23.146659808397096</v>
      </c>
      <c r="AM11" t="s">
        <v>231</v>
      </c>
      <c r="AN11">
        <f t="shared" si="14"/>
        <v>8</v>
      </c>
      <c r="AO11">
        <f t="shared" si="15"/>
        <v>40</v>
      </c>
      <c r="AP11" s="67">
        <f t="shared" si="16"/>
        <v>3.2728000000000002</v>
      </c>
      <c r="AQ11" s="67">
        <f t="shared" si="17"/>
        <v>3.2728000000000002</v>
      </c>
      <c r="AR11" s="67">
        <f t="shared" si="18"/>
        <v>2.4443901246638964</v>
      </c>
    </row>
    <row r="12" spans="2:44">
      <c r="B12" s="89" t="s">
        <v>228</v>
      </c>
      <c r="C12" s="69">
        <f t="shared" si="3"/>
        <v>3.3831000000000002</v>
      </c>
      <c r="D12" s="109">
        <f t="shared" si="0"/>
        <v>22</v>
      </c>
      <c r="E12" s="118">
        <f t="shared" si="4"/>
        <v>22</v>
      </c>
      <c r="F12" s="68">
        <f t="shared" si="5"/>
        <v>6.5029115308444911</v>
      </c>
      <c r="G12" s="85"/>
      <c r="H12" s="89" t="s">
        <v>229</v>
      </c>
      <c r="I12" s="69">
        <f t="shared" si="6"/>
        <v>5.9924999999999997</v>
      </c>
      <c r="J12" s="109">
        <f t="shared" si="1"/>
        <v>67</v>
      </c>
      <c r="K12" s="118">
        <f t="shared" si="7"/>
        <v>67</v>
      </c>
      <c r="L12" s="68">
        <f t="shared" si="8"/>
        <v>11.18064246975386</v>
      </c>
      <c r="N12" s="89" t="s">
        <v>230</v>
      </c>
      <c r="O12" s="69" t="str">
        <f t="shared" si="9"/>
        <v/>
      </c>
      <c r="P12" s="64" t="str">
        <f t="shared" si="2"/>
        <v/>
      </c>
      <c r="Q12" s="118" t="str">
        <f t="shared" si="10"/>
        <v/>
      </c>
      <c r="R12" s="68" t="str">
        <f t="shared" si="11"/>
        <v/>
      </c>
      <c r="T12" t="str">
        <f t="shared" si="12"/>
        <v>BTG-DCAH</v>
      </c>
      <c r="U12" t="s">
        <v>183</v>
      </c>
      <c r="V12" t="s">
        <v>26</v>
      </c>
      <c r="W12" s="131">
        <v>640</v>
      </c>
      <c r="X12" s="131">
        <v>31</v>
      </c>
      <c r="Y12" s="67">
        <v>61.599100000000014</v>
      </c>
      <c r="Z12" s="67">
        <v>10.389762188083914</v>
      </c>
      <c r="AA12" s="67">
        <v>0.50325410598531461</v>
      </c>
      <c r="AC12" t="str">
        <f t="shared" si="13"/>
        <v>ILO-Fax Mapping</v>
      </c>
      <c r="AD12" t="s">
        <v>182</v>
      </c>
      <c r="AE12" t="s">
        <v>117</v>
      </c>
      <c r="AF12" t="s">
        <v>961</v>
      </c>
      <c r="AG12" s="131">
        <v>6</v>
      </c>
      <c r="AH12" s="131">
        <v>72</v>
      </c>
      <c r="AI12" s="67">
        <v>2.8008000000000002</v>
      </c>
      <c r="AJ12" s="67">
        <v>2.1422450728363325</v>
      </c>
      <c r="AK12" s="67">
        <v>25.70694087403599</v>
      </c>
      <c r="AM12" t="s">
        <v>236</v>
      </c>
      <c r="AN12">
        <f t="shared" si="14"/>
        <v>32</v>
      </c>
      <c r="AO12">
        <f t="shared" si="15"/>
        <v>237</v>
      </c>
      <c r="AP12" s="67">
        <f t="shared" si="16"/>
        <v>11.934199999999999</v>
      </c>
      <c r="AQ12" s="67">
        <f t="shared" si="17"/>
        <v>1.9890333333333332</v>
      </c>
      <c r="AR12" s="67">
        <f t="shared" si="18"/>
        <v>2.7658577323938989</v>
      </c>
    </row>
    <row r="13" spans="2:44">
      <c r="B13" s="89" t="s">
        <v>204</v>
      </c>
      <c r="C13" s="69" t="str">
        <f t="shared" si="3"/>
        <v/>
      </c>
      <c r="D13" s="109" t="str">
        <f t="shared" si="0"/>
        <v/>
      </c>
      <c r="E13" s="118" t="str">
        <f t="shared" si="4"/>
        <v/>
      </c>
      <c r="F13" s="68" t="str">
        <f t="shared" si="5"/>
        <v/>
      </c>
      <c r="G13" s="85"/>
      <c r="H13" s="89" t="s">
        <v>232</v>
      </c>
      <c r="I13" s="69">
        <f t="shared" si="6"/>
        <v>0.39169999999999999</v>
      </c>
      <c r="J13" s="109">
        <f t="shared" si="1"/>
        <v>8</v>
      </c>
      <c r="K13" s="118">
        <f t="shared" si="7"/>
        <v>15</v>
      </c>
      <c r="L13" s="68">
        <f t="shared" si="8"/>
        <v>20.423793719683431</v>
      </c>
      <c r="N13" s="89" t="s">
        <v>233</v>
      </c>
      <c r="O13" s="69" t="str">
        <f t="shared" si="9"/>
        <v/>
      </c>
      <c r="P13" s="64" t="str">
        <f t="shared" si="2"/>
        <v/>
      </c>
      <c r="Q13" s="118" t="str">
        <f t="shared" si="10"/>
        <v/>
      </c>
      <c r="R13" s="68" t="str">
        <f t="shared" si="11"/>
        <v/>
      </c>
      <c r="T13" t="str">
        <f t="shared" si="12"/>
        <v>BTG-Aging</v>
      </c>
      <c r="U13" t="s">
        <v>183</v>
      </c>
      <c r="V13" t="s">
        <v>84</v>
      </c>
      <c r="W13" s="131">
        <v>32</v>
      </c>
      <c r="X13" s="131">
        <v>8</v>
      </c>
      <c r="Y13" s="67">
        <v>2.6652999999999998</v>
      </c>
      <c r="Z13" s="67">
        <v>12.006153153491166</v>
      </c>
      <c r="AA13" s="67">
        <v>3.0015382883727915</v>
      </c>
      <c r="AC13" t="str">
        <f t="shared" si="13"/>
        <v>ILO-Fax Mapping</v>
      </c>
      <c r="AD13" t="s">
        <v>182</v>
      </c>
      <c r="AE13" t="s">
        <v>117</v>
      </c>
      <c r="AF13" t="s">
        <v>962</v>
      </c>
      <c r="AG13" s="131">
        <v>8</v>
      </c>
      <c r="AH13" s="131">
        <v>34</v>
      </c>
      <c r="AI13" s="67">
        <v>2.4003000000000001</v>
      </c>
      <c r="AJ13" s="67">
        <v>3.33291671874349</v>
      </c>
      <c r="AK13" s="67">
        <v>14.164896054659833</v>
      </c>
      <c r="AM13" t="s">
        <v>239</v>
      </c>
      <c r="AN13">
        <f t="shared" si="14"/>
        <v>0</v>
      </c>
      <c r="AO13">
        <f t="shared" si="15"/>
        <v>0</v>
      </c>
      <c r="AP13" s="67">
        <f t="shared" si="16"/>
        <v>3.8092000000000001</v>
      </c>
      <c r="AQ13" s="67">
        <f t="shared" si="17"/>
        <v>3.8092000000000001</v>
      </c>
      <c r="AR13" s="67">
        <f t="shared" si="18"/>
        <v>0</v>
      </c>
    </row>
    <row r="14" spans="2:44">
      <c r="B14" s="89" t="s">
        <v>235</v>
      </c>
      <c r="C14" s="69">
        <f t="shared" si="3"/>
        <v>15.173300000000001</v>
      </c>
      <c r="D14" s="109">
        <f t="shared" si="0"/>
        <v>27</v>
      </c>
      <c r="E14" s="118">
        <f t="shared" si="4"/>
        <v>234</v>
      </c>
      <c r="F14" s="68">
        <f>IF(IFERROR(_xlfn.XLOOKUP(B14,$T:$T,$AA:$AA),"")="",IFERROR(IF(AVERAGEIF($AC:$AC,B14,$AK:$AK)=0,"",SUMIF($AC:$AC,B14,$AH:$AH)/SUMIF($AC:$AC,B14,$AI:$AI)),""),IFERROR(_xlfn.XLOOKUP(B14,$T:$T,$AA:$AA),""))</f>
        <v>15.421826497861375</v>
      </c>
      <c r="G14" s="85"/>
      <c r="H14" s="89" t="s">
        <v>236</v>
      </c>
      <c r="I14" s="69">
        <f t="shared" si="6"/>
        <v>11.934199999999999</v>
      </c>
      <c r="J14" s="109">
        <f t="shared" si="1"/>
        <v>32</v>
      </c>
      <c r="K14" s="118">
        <f t="shared" si="7"/>
        <v>237</v>
      </c>
      <c r="L14" s="68">
        <f>IF(IFERROR(_xlfn.XLOOKUP(H14,$T:$T,$AA:$AA),"")="",IFERROR(IF(AVERAGEIF($AC:$AC,H14,$AK:$AK)=0,"",SUMIF($AC:$AC,H14,$AH:$AH)/SUMIF($AC:$AC,H14,$AI:$AI)),""),IFERROR(_xlfn.XLOOKUP(H14,$T:$T,$AA:$AA),""))</f>
        <v>19.858892929563776</v>
      </c>
      <c r="N14" s="89" t="s">
        <v>237</v>
      </c>
      <c r="O14" s="69">
        <f t="shared" si="9"/>
        <v>36.017499999999998</v>
      </c>
      <c r="P14" s="64">
        <f t="shared" si="2"/>
        <v>67</v>
      </c>
      <c r="Q14" s="118">
        <f t="shared" si="10"/>
        <v>240</v>
      </c>
      <c r="R14" s="68">
        <f>IF(IFERROR(_xlfn.XLOOKUP(N14,$T:$T,$AA:$AA),"")="",IFERROR(IF(AVERAGEIF($AC:$AC,N14,$AK:$AK)=0,"",SUMIF($AC:$AC,N14,$AH:$AH)/SUMIF($AC:$AC,N14,$AI:$AI)),""),IFERROR(_xlfn.XLOOKUP(N14,$T:$T,$AA:$AA),""))</f>
        <v>6.663427500520581</v>
      </c>
      <c r="T14" t="str">
        <f t="shared" si="12"/>
        <v>ILO-PCAH</v>
      </c>
      <c r="U14" t="s">
        <v>182</v>
      </c>
      <c r="V14" t="s">
        <v>28</v>
      </c>
      <c r="W14" s="131">
        <v>400</v>
      </c>
      <c r="X14" s="131">
        <v>56</v>
      </c>
      <c r="Y14" s="67">
        <v>28.121000000000002</v>
      </c>
      <c r="Z14" s="67">
        <v>14.224245225987694</v>
      </c>
      <c r="AA14" s="67">
        <v>1.9913943316382774</v>
      </c>
      <c r="AC14" t="str">
        <f t="shared" si="13"/>
        <v>ILO-Fax Mapping</v>
      </c>
      <c r="AD14" t="s">
        <v>182</v>
      </c>
      <c r="AE14" t="s">
        <v>117</v>
      </c>
      <c r="AF14" t="s">
        <v>963</v>
      </c>
      <c r="AG14" s="131">
        <v>7</v>
      </c>
      <c r="AH14" s="131">
        <v>18</v>
      </c>
      <c r="AI14" s="67">
        <v>1.8486</v>
      </c>
      <c r="AJ14" s="67">
        <v>3.7866493562696095</v>
      </c>
      <c r="AK14" s="67">
        <v>9.7370983446932815</v>
      </c>
      <c r="AM14" t="s">
        <v>245</v>
      </c>
      <c r="AN14">
        <f t="shared" si="14"/>
        <v>0</v>
      </c>
      <c r="AO14">
        <f t="shared" si="15"/>
        <v>0</v>
      </c>
      <c r="AP14" s="67">
        <f t="shared" si="16"/>
        <v>0</v>
      </c>
      <c r="AQ14" s="67" t="e">
        <f t="shared" si="17"/>
        <v>#DIV/0!</v>
      </c>
      <c r="AR14" s="67" t="e">
        <f t="shared" si="18"/>
        <v>#DIV/0!</v>
      </c>
    </row>
    <row r="15" spans="2:44">
      <c r="B15" s="89" t="s">
        <v>238</v>
      </c>
      <c r="C15" s="69" t="str">
        <f t="shared" si="3"/>
        <v/>
      </c>
      <c r="D15" s="109" t="str">
        <f t="shared" si="0"/>
        <v/>
      </c>
      <c r="E15" s="118" t="str">
        <f t="shared" si="4"/>
        <v/>
      </c>
      <c r="F15" s="68" t="str">
        <f>IF(IFERROR(_xlfn.XLOOKUP(B15,$T:$T,$AA:$AA),"")="",IFERROR(IF(AVERAGEIF($AC:$AC,B15,$AK:$AK)=0,"",SUMIF($AC:$AC,B15,$AH:$AH)/SUMIF($AC:$AC,B15,$AI:$AI)),""),IFERROR(_xlfn.XLOOKUP(B15,$T:$T,$AA:$AA),""))</f>
        <v/>
      </c>
      <c r="G15" s="85"/>
      <c r="H15" s="89" t="s">
        <v>239</v>
      </c>
      <c r="I15" s="69">
        <f t="shared" si="6"/>
        <v>3.8092000000000001</v>
      </c>
      <c r="J15" s="109" t="str">
        <f t="shared" si="1"/>
        <v/>
      </c>
      <c r="K15" s="118" t="str">
        <f t="shared" si="7"/>
        <v/>
      </c>
      <c r="L15" s="68" t="str">
        <f>IF(IFERROR(_xlfn.XLOOKUP(H15,$T:$T,$AA:$AA),"")="",IFERROR(IF(AVERAGEIF($AC:$AC,H15,$AK:$AK)=0,"",SUMIF($AC:$AC,H15,$AH:$AH)/SUMIF($AC:$AC,H15,$AI:$AI)),""),IFERROR(_xlfn.XLOOKUP(H15,$T:$T,$AA:$AA),""))</f>
        <v/>
      </c>
      <c r="N15" s="89" t="s">
        <v>240</v>
      </c>
      <c r="O15" s="69" t="str">
        <f t="shared" si="9"/>
        <v/>
      </c>
      <c r="P15" s="64" t="str">
        <f t="shared" si="2"/>
        <v/>
      </c>
      <c r="Q15" s="118" t="str">
        <f t="shared" si="10"/>
        <v/>
      </c>
      <c r="R15" s="68" t="str">
        <f>IF(IFERROR(_xlfn.XLOOKUP(N15,$T:$T,$AA:$AA),"")="",IFERROR(IF(AVERAGEIF($AC:$AC,N15,$AK:$AK)=0,"",SUMIF($AC:$AC,N15,$AH:$AH)/SUMIF($AC:$AC,N15,$AI:$AI)),""),IFERROR(_xlfn.XLOOKUP(N15,$T:$T,$AA:$AA),""))</f>
        <v/>
      </c>
      <c r="T15" t="str">
        <f t="shared" si="12"/>
        <v>ILO-VSA</v>
      </c>
      <c r="U15" t="s">
        <v>182</v>
      </c>
      <c r="V15" t="s">
        <v>43</v>
      </c>
      <c r="W15" s="131">
        <v>359</v>
      </c>
      <c r="X15" s="131">
        <v>63</v>
      </c>
      <c r="Y15" s="67">
        <v>17.514400000000002</v>
      </c>
      <c r="Z15" s="67">
        <v>20.497419266432189</v>
      </c>
      <c r="AA15" s="67">
        <v>3.5970401498195765</v>
      </c>
      <c r="AC15" t="str">
        <f t="shared" si="13"/>
        <v>ILO-Fax Mapping</v>
      </c>
      <c r="AD15" t="s">
        <v>182</v>
      </c>
      <c r="AE15" t="s">
        <v>117</v>
      </c>
      <c r="AF15" t="s">
        <v>964</v>
      </c>
      <c r="AG15" s="131">
        <v>4</v>
      </c>
      <c r="AH15" s="131">
        <v>30</v>
      </c>
      <c r="AI15" s="67">
        <v>1.3722000000000001</v>
      </c>
      <c r="AJ15" s="67">
        <v>2.9150269639994169</v>
      </c>
      <c r="AK15" s="67">
        <v>21.862702229995627</v>
      </c>
    </row>
    <row r="16" spans="2:44">
      <c r="B16" s="89" t="s">
        <v>241</v>
      </c>
      <c r="C16" s="69">
        <f t="shared" si="3"/>
        <v>21.097299999999997</v>
      </c>
      <c r="D16" s="109">
        <f t="shared" si="0"/>
        <v>28</v>
      </c>
      <c r="E16" s="118">
        <f t="shared" si="4"/>
        <v>239</v>
      </c>
      <c r="F16" s="68">
        <f t="shared" si="5"/>
        <v>1.3271840472477523</v>
      </c>
      <c r="G16" s="85"/>
      <c r="H16" s="89" t="s">
        <v>234</v>
      </c>
      <c r="I16" s="69">
        <f t="shared" si="6"/>
        <v>19.108299999999996</v>
      </c>
      <c r="J16" s="109">
        <f t="shared" si="1"/>
        <v>40</v>
      </c>
      <c r="K16" s="118">
        <f t="shared" si="7"/>
        <v>277</v>
      </c>
      <c r="L16" s="68">
        <f t="shared" si="8"/>
        <v>2.0933311702244577</v>
      </c>
      <c r="N16" s="89" t="s">
        <v>242</v>
      </c>
      <c r="O16" s="69">
        <f t="shared" si="9"/>
        <v>36.040600000000005</v>
      </c>
      <c r="P16" s="64">
        <f t="shared" si="2"/>
        <v>67</v>
      </c>
      <c r="Q16" s="118">
        <f t="shared" si="10"/>
        <v>240</v>
      </c>
      <c r="R16" s="68">
        <f t="shared" si="11"/>
        <v>1.8590145558065068</v>
      </c>
      <c r="T16" t="str">
        <f t="shared" si="12"/>
        <v>ILO-Doctor Research</v>
      </c>
      <c r="U16" t="s">
        <v>182</v>
      </c>
      <c r="V16" t="s">
        <v>35</v>
      </c>
      <c r="W16" s="131">
        <v>67</v>
      </c>
      <c r="X16" s="131">
        <v>67</v>
      </c>
      <c r="Y16" s="67">
        <v>5.9924999999999997</v>
      </c>
      <c r="Z16" s="67">
        <v>11.18064246975386</v>
      </c>
      <c r="AA16" s="67">
        <v>11.18064246975386</v>
      </c>
      <c r="AC16" t="str">
        <f t="shared" si="13"/>
        <v>ILO-Fax Mapping</v>
      </c>
      <c r="AD16" t="s">
        <v>182</v>
      </c>
      <c r="AE16" t="s">
        <v>117</v>
      </c>
      <c r="AF16" t="s">
        <v>965</v>
      </c>
      <c r="AG16" s="131">
        <v>1</v>
      </c>
      <c r="AH16" s="131">
        <v>11</v>
      </c>
      <c r="AI16" s="67">
        <v>0.4017</v>
      </c>
      <c r="AJ16" s="67">
        <v>2.4894199651481204</v>
      </c>
      <c r="AK16" s="67">
        <v>27.383619616629325</v>
      </c>
    </row>
    <row r="17" spans="2:37">
      <c r="B17" s="88" t="s">
        <v>194</v>
      </c>
      <c r="C17" s="69">
        <f t="shared" si="3"/>
        <v>3.9327999999999999</v>
      </c>
      <c r="D17" s="109">
        <f t="shared" si="0"/>
        <v>38</v>
      </c>
      <c r="E17" s="118">
        <f t="shared" si="4"/>
        <v>31</v>
      </c>
      <c r="F17" s="68">
        <f t="shared" si="5"/>
        <v>9.6623270951993501</v>
      </c>
      <c r="G17" s="85"/>
      <c r="H17" s="88" t="s">
        <v>243</v>
      </c>
      <c r="I17" s="69" t="str">
        <f t="shared" si="6"/>
        <v/>
      </c>
      <c r="J17" s="109" t="str">
        <f t="shared" si="1"/>
        <v/>
      </c>
      <c r="K17" s="118" t="str">
        <f t="shared" si="7"/>
        <v/>
      </c>
      <c r="L17" s="68" t="str">
        <f t="shared" si="8"/>
        <v/>
      </c>
      <c r="N17" s="88" t="s">
        <v>244</v>
      </c>
      <c r="O17" s="69" t="str">
        <f t="shared" si="9"/>
        <v/>
      </c>
      <c r="P17" s="64" t="str">
        <f t="shared" si="2"/>
        <v/>
      </c>
      <c r="Q17" s="118" t="str">
        <f t="shared" si="10"/>
        <v/>
      </c>
      <c r="R17" s="68" t="str">
        <f t="shared" si="11"/>
        <v/>
      </c>
      <c r="T17" t="str">
        <f t="shared" si="12"/>
        <v>ILO-ARM</v>
      </c>
      <c r="U17" t="s">
        <v>182</v>
      </c>
      <c r="V17" t="s">
        <v>88</v>
      </c>
      <c r="W17" s="131">
        <v>405</v>
      </c>
      <c r="X17" s="131">
        <v>52</v>
      </c>
      <c r="Y17" s="67">
        <v>26.2502</v>
      </c>
      <c r="Z17" s="67">
        <v>15.428453878446641</v>
      </c>
      <c r="AA17" s="67">
        <v>1.9809372880968525</v>
      </c>
      <c r="AC17" t="str">
        <f t="shared" si="13"/>
        <v>ILO-Confirmed Sales</v>
      </c>
      <c r="AD17" t="s">
        <v>182</v>
      </c>
      <c r="AE17" t="s">
        <v>30</v>
      </c>
      <c r="AF17" t="s">
        <v>966</v>
      </c>
      <c r="AG17" s="131">
        <v>9</v>
      </c>
      <c r="AH17" s="131">
        <v>5</v>
      </c>
      <c r="AI17" s="67">
        <v>0.73860000000000003</v>
      </c>
      <c r="AJ17" s="67">
        <v>12.185215272136475</v>
      </c>
      <c r="AK17" s="67">
        <v>6.769564040075819</v>
      </c>
    </row>
    <row r="18" spans="2:37">
      <c r="B18" s="88" t="s">
        <v>246</v>
      </c>
      <c r="C18" s="69">
        <f t="shared" si="3"/>
        <v>3.3519000000000001</v>
      </c>
      <c r="D18" s="109">
        <f t="shared" si="0"/>
        <v>54</v>
      </c>
      <c r="E18" s="118">
        <f t="shared" si="4"/>
        <v>12</v>
      </c>
      <c r="F18" s="68">
        <f t="shared" si="5"/>
        <v>16.110265819386019</v>
      </c>
      <c r="G18" s="85"/>
      <c r="H18" s="88" t="s">
        <v>247</v>
      </c>
      <c r="I18" s="69">
        <f t="shared" si="6"/>
        <v>3.1208</v>
      </c>
      <c r="J18" s="109">
        <f t="shared" si="1"/>
        <v>53</v>
      </c>
      <c r="K18" s="118">
        <f t="shared" si="7"/>
        <v>9</v>
      </c>
      <c r="L18" s="68">
        <f t="shared" si="8"/>
        <v>16.982824916688028</v>
      </c>
      <c r="N18" s="88" t="s">
        <v>248</v>
      </c>
      <c r="O18" s="69">
        <f t="shared" si="9"/>
        <v>2.6652999999999998</v>
      </c>
      <c r="P18" s="64">
        <f t="shared" si="2"/>
        <v>32</v>
      </c>
      <c r="Q18" s="118">
        <f t="shared" si="10"/>
        <v>8</v>
      </c>
      <c r="R18" s="68">
        <f t="shared" si="11"/>
        <v>12.006153153491166</v>
      </c>
      <c r="T18" t="str">
        <f t="shared" si="12"/>
        <v>ILO-Doctor Match</v>
      </c>
      <c r="U18" t="s">
        <v>182</v>
      </c>
      <c r="V18" t="s">
        <v>76</v>
      </c>
      <c r="W18" s="131">
        <v>40</v>
      </c>
      <c r="X18" s="131">
        <v>277</v>
      </c>
      <c r="Y18" s="67">
        <v>19.108299999999996</v>
      </c>
      <c r="Z18" s="67">
        <v>2.0933311702244577</v>
      </c>
      <c r="AA18" s="67">
        <v>14.496318353804371</v>
      </c>
      <c r="AC18" t="str">
        <f t="shared" si="13"/>
        <v>ILO-Confirmed Sales</v>
      </c>
      <c r="AD18" t="s">
        <v>182</v>
      </c>
      <c r="AE18" t="s">
        <v>30</v>
      </c>
      <c r="AF18" t="s">
        <v>967</v>
      </c>
      <c r="AG18" s="131">
        <v>0</v>
      </c>
      <c r="AH18" s="131">
        <v>0</v>
      </c>
      <c r="AI18" s="67">
        <v>1.1000000000000001E-3</v>
      </c>
      <c r="AJ18" s="67">
        <v>0</v>
      </c>
      <c r="AK18" s="67">
        <v>0</v>
      </c>
    </row>
    <row r="19" spans="2:37">
      <c r="B19" s="88" t="s">
        <v>212</v>
      </c>
      <c r="C19" s="69" t="str">
        <f t="shared" si="3"/>
        <v/>
      </c>
      <c r="D19" s="109" t="str">
        <f t="shared" si="0"/>
        <v/>
      </c>
      <c r="E19" s="118" t="str">
        <f t="shared" si="4"/>
        <v/>
      </c>
      <c r="F19" s="68" t="str">
        <f t="shared" si="5"/>
        <v/>
      </c>
      <c r="G19" s="85"/>
      <c r="H19" s="88" t="s">
        <v>245</v>
      </c>
      <c r="I19" s="69" t="str">
        <f t="shared" si="6"/>
        <v/>
      </c>
      <c r="J19" s="109" t="str">
        <f t="shared" si="1"/>
        <v/>
      </c>
      <c r="K19" s="118" t="str">
        <f t="shared" si="7"/>
        <v/>
      </c>
      <c r="L19" s="68" t="str">
        <f t="shared" si="8"/>
        <v/>
      </c>
      <c r="N19" s="88" t="s">
        <v>249</v>
      </c>
      <c r="O19" s="69" t="str">
        <f t="shared" si="9"/>
        <v/>
      </c>
      <c r="P19" s="64" t="str">
        <f t="shared" si="2"/>
        <v/>
      </c>
      <c r="Q19" s="118" t="str">
        <f t="shared" si="10"/>
        <v/>
      </c>
      <c r="R19" s="68" t="str">
        <f t="shared" si="11"/>
        <v/>
      </c>
      <c r="T19" t="str">
        <f t="shared" si="12"/>
        <v>ILO-DCAH</v>
      </c>
      <c r="U19" t="s">
        <v>182</v>
      </c>
      <c r="V19" t="s">
        <v>26</v>
      </c>
      <c r="W19" s="131">
        <v>41</v>
      </c>
      <c r="X19" s="131">
        <v>2</v>
      </c>
      <c r="Y19" s="67">
        <v>4.8122000000000007</v>
      </c>
      <c r="Z19" s="67">
        <v>8.5200116370890644</v>
      </c>
      <c r="AA19" s="67">
        <v>0.41561032376044216</v>
      </c>
      <c r="AC19" t="str">
        <f t="shared" si="13"/>
        <v>ILO-Fax Research</v>
      </c>
      <c r="AD19" t="s">
        <v>182</v>
      </c>
      <c r="AE19" t="s">
        <v>38</v>
      </c>
      <c r="AF19" t="s">
        <v>968</v>
      </c>
      <c r="AG19" s="131">
        <v>8</v>
      </c>
      <c r="AH19" s="131">
        <v>15</v>
      </c>
      <c r="AI19" s="67">
        <v>0.39169999999999999</v>
      </c>
      <c r="AJ19" s="67">
        <v>20.423793719683431</v>
      </c>
      <c r="AK19" s="67">
        <v>38.294613224406433</v>
      </c>
    </row>
    <row r="20" spans="2:37">
      <c r="B20" s="88" t="s">
        <v>250</v>
      </c>
      <c r="C20" s="69" t="str">
        <f t="shared" si="3"/>
        <v/>
      </c>
      <c r="D20" s="109" t="str">
        <f t="shared" si="0"/>
        <v/>
      </c>
      <c r="E20" s="118" t="str">
        <f t="shared" si="4"/>
        <v/>
      </c>
      <c r="F20" s="68" t="str">
        <f t="shared" si="5"/>
        <v/>
      </c>
      <c r="G20" s="85"/>
      <c r="H20" s="88" t="s">
        <v>251</v>
      </c>
      <c r="I20" s="69" t="str">
        <f t="shared" si="6"/>
        <v/>
      </c>
      <c r="J20" s="109" t="str">
        <f t="shared" si="1"/>
        <v/>
      </c>
      <c r="K20" s="118" t="str">
        <f t="shared" si="7"/>
        <v/>
      </c>
      <c r="L20" s="68" t="str">
        <f t="shared" si="8"/>
        <v/>
      </c>
      <c r="N20" s="88" t="s">
        <v>252</v>
      </c>
      <c r="O20" s="69" t="str">
        <f t="shared" si="9"/>
        <v/>
      </c>
      <c r="P20" s="64" t="str">
        <f t="shared" si="2"/>
        <v/>
      </c>
      <c r="Q20" s="118" t="str">
        <f t="shared" si="10"/>
        <v/>
      </c>
      <c r="R20" s="68" t="str">
        <f t="shared" si="11"/>
        <v/>
      </c>
      <c r="T20" t="str">
        <f t="shared" si="12"/>
        <v>ILO-Aging</v>
      </c>
      <c r="U20" t="s">
        <v>182</v>
      </c>
      <c r="V20" t="s">
        <v>84</v>
      </c>
      <c r="W20" s="131">
        <v>53</v>
      </c>
      <c r="X20" s="131">
        <v>9</v>
      </c>
      <c r="Y20" s="67">
        <v>3.1208</v>
      </c>
      <c r="Z20" s="67">
        <v>16.982824916688028</v>
      </c>
      <c r="AA20" s="67">
        <v>2.8838759292489105</v>
      </c>
      <c r="AC20" t="str">
        <f t="shared" si="13"/>
        <v>ILO-Fax Review</v>
      </c>
      <c r="AD20" t="s">
        <v>182</v>
      </c>
      <c r="AE20" t="s">
        <v>122</v>
      </c>
      <c r="AF20" t="s">
        <v>969</v>
      </c>
      <c r="AG20" s="131">
        <v>0</v>
      </c>
      <c r="AH20" s="131">
        <v>0</v>
      </c>
      <c r="AI20" s="67">
        <v>3.8092000000000001</v>
      </c>
      <c r="AJ20" s="67">
        <v>0</v>
      </c>
      <c r="AK20" s="67">
        <v>0</v>
      </c>
    </row>
    <row r="21" spans="2:37">
      <c r="B21" s="89" t="s">
        <v>253</v>
      </c>
      <c r="C21" s="69" t="str">
        <f t="shared" si="3"/>
        <v/>
      </c>
      <c r="D21" s="109" t="str">
        <f t="shared" si="0"/>
        <v/>
      </c>
      <c r="E21" s="118" t="str">
        <f t="shared" si="4"/>
        <v/>
      </c>
      <c r="F21" s="68" t="str">
        <f t="shared" si="5"/>
        <v/>
      </c>
      <c r="G21" s="85"/>
      <c r="H21" s="89" t="s">
        <v>254</v>
      </c>
      <c r="I21" s="69">
        <f t="shared" si="6"/>
        <v>3.2728000000000002</v>
      </c>
      <c r="J21" s="109">
        <f t="shared" si="1"/>
        <v>8</v>
      </c>
      <c r="K21" s="118">
        <f t="shared" si="7"/>
        <v>40</v>
      </c>
      <c r="L21" s="68">
        <f t="shared" si="8"/>
        <v>2.4443901246638964</v>
      </c>
      <c r="N21" s="89" t="s">
        <v>255</v>
      </c>
      <c r="O21" s="69" t="str">
        <f t="shared" si="9"/>
        <v/>
      </c>
      <c r="P21" s="64" t="str">
        <f t="shared" si="2"/>
        <v/>
      </c>
      <c r="Q21" s="118" t="str">
        <f t="shared" si="10"/>
        <v/>
      </c>
      <c r="R21" s="68" t="str">
        <f t="shared" si="11"/>
        <v/>
      </c>
      <c r="T21" t="str">
        <f t="shared" si="12"/>
        <v>ILO-Fax Research</v>
      </c>
      <c r="U21" t="s">
        <v>182</v>
      </c>
      <c r="V21" t="s">
        <v>38</v>
      </c>
      <c r="W21" s="131">
        <v>8</v>
      </c>
      <c r="X21" s="131">
        <v>15</v>
      </c>
      <c r="Y21" s="67">
        <v>0.39169999999999999</v>
      </c>
      <c r="Z21" s="67">
        <v>20.423793719683431</v>
      </c>
      <c r="AA21" s="67">
        <v>38.294613224406433</v>
      </c>
      <c r="AC21" t="str">
        <f t="shared" si="13"/>
        <v>ILO-ARM</v>
      </c>
      <c r="AD21" t="s">
        <v>182</v>
      </c>
      <c r="AE21" t="s">
        <v>88</v>
      </c>
      <c r="AF21" t="s">
        <v>970</v>
      </c>
      <c r="AG21" s="131">
        <v>70</v>
      </c>
      <c r="AH21" s="131">
        <v>8</v>
      </c>
      <c r="AI21" s="67">
        <v>2.7631000000000001</v>
      </c>
      <c r="AJ21" s="67">
        <v>25.333864138105749</v>
      </c>
      <c r="AK21" s="67">
        <v>2.8952987586406573</v>
      </c>
    </row>
    <row r="22" spans="2:37">
      <c r="B22" s="88" t="s">
        <v>256</v>
      </c>
      <c r="C22" s="69" t="str">
        <f t="shared" si="3"/>
        <v/>
      </c>
      <c r="D22" s="109" t="str">
        <f t="shared" si="0"/>
        <v/>
      </c>
      <c r="E22" s="118" t="str">
        <f t="shared" si="4"/>
        <v/>
      </c>
      <c r="F22" s="68" t="str">
        <f t="shared" si="5"/>
        <v/>
      </c>
      <c r="G22" s="85"/>
      <c r="H22" s="88" t="s">
        <v>257</v>
      </c>
      <c r="I22" s="69" t="str">
        <f t="shared" si="6"/>
        <v/>
      </c>
      <c r="J22" s="109" t="str">
        <f t="shared" si="1"/>
        <v/>
      </c>
      <c r="K22" s="118" t="str">
        <f t="shared" si="7"/>
        <v/>
      </c>
      <c r="L22" s="68" t="str">
        <f t="shared" si="8"/>
        <v/>
      </c>
      <c r="N22" s="88" t="s">
        <v>258</v>
      </c>
      <c r="O22" s="69" t="str">
        <f t="shared" si="9"/>
        <v/>
      </c>
      <c r="P22" s="64" t="str">
        <f t="shared" si="2"/>
        <v/>
      </c>
      <c r="Q22" s="118" t="str">
        <f t="shared" si="10"/>
        <v/>
      </c>
      <c r="R22" s="68" t="str">
        <f t="shared" si="11"/>
        <v/>
      </c>
      <c r="T22" t="str">
        <f t="shared" si="12"/>
        <v>ILO-Rework</v>
      </c>
      <c r="U22" t="s">
        <v>182</v>
      </c>
      <c r="V22" t="s">
        <v>42</v>
      </c>
      <c r="W22" s="131">
        <v>22</v>
      </c>
      <c r="X22" s="131">
        <v>4</v>
      </c>
      <c r="Y22" s="67">
        <v>2.145</v>
      </c>
      <c r="Z22" s="67">
        <v>10.256410256410255</v>
      </c>
      <c r="AA22" s="67">
        <v>1.8648018648018647</v>
      </c>
      <c r="AC22" t="str">
        <f t="shared" si="13"/>
        <v>ILO-ARM</v>
      </c>
      <c r="AD22" t="s">
        <v>182</v>
      </c>
      <c r="AE22" t="s">
        <v>88</v>
      </c>
      <c r="AF22" t="s">
        <v>971</v>
      </c>
      <c r="AG22" s="131">
        <v>71</v>
      </c>
      <c r="AH22" s="131">
        <v>10</v>
      </c>
      <c r="AI22" s="67">
        <v>3.5206</v>
      </c>
      <c r="AJ22" s="67">
        <v>20.167016985741068</v>
      </c>
      <c r="AK22" s="67">
        <v>2.8404249275691642</v>
      </c>
    </row>
    <row r="23" spans="2:37">
      <c r="B23" s="88" t="s">
        <v>208</v>
      </c>
      <c r="C23" s="69" t="str">
        <f t="shared" si="3"/>
        <v/>
      </c>
      <c r="D23" s="109" t="str">
        <f t="shared" si="0"/>
        <v/>
      </c>
      <c r="E23" s="118" t="str">
        <f t="shared" si="4"/>
        <v/>
      </c>
      <c r="F23" s="68" t="str">
        <f t="shared" si="5"/>
        <v/>
      </c>
      <c r="G23" s="85"/>
      <c r="H23" s="88" t="s">
        <v>259</v>
      </c>
      <c r="I23" s="69" t="str">
        <f t="shared" si="6"/>
        <v/>
      </c>
      <c r="J23" s="109" t="str">
        <f t="shared" si="1"/>
        <v/>
      </c>
      <c r="K23" s="118" t="str">
        <f t="shared" si="7"/>
        <v/>
      </c>
      <c r="L23" s="68" t="str">
        <f t="shared" si="8"/>
        <v/>
      </c>
      <c r="N23" s="88" t="s">
        <v>260</v>
      </c>
      <c r="O23" s="69" t="str">
        <f t="shared" si="9"/>
        <v/>
      </c>
      <c r="P23" s="64" t="str">
        <f t="shared" si="2"/>
        <v/>
      </c>
      <c r="Q23" s="118" t="str">
        <f t="shared" si="10"/>
        <v/>
      </c>
      <c r="R23" s="68" t="str">
        <f t="shared" si="11"/>
        <v/>
      </c>
      <c r="T23" t="str">
        <f t="shared" si="12"/>
        <v>Grand Total-</v>
      </c>
      <c r="U23" t="s">
        <v>25</v>
      </c>
      <c r="W23" s="131">
        <v>3209</v>
      </c>
      <c r="X23" s="131">
        <v>1327</v>
      </c>
      <c r="Y23" s="72">
        <v>370.14250000000004</v>
      </c>
      <c r="Z23" s="67">
        <v>8.6696339923137682</v>
      </c>
      <c r="AA23" s="67">
        <v>3.5851057363042602</v>
      </c>
      <c r="AC23" t="str">
        <f t="shared" si="13"/>
        <v>ILO-ARM</v>
      </c>
      <c r="AD23" t="s">
        <v>182</v>
      </c>
      <c r="AE23" t="s">
        <v>88</v>
      </c>
      <c r="AF23" t="s">
        <v>972</v>
      </c>
      <c r="AG23" s="131">
        <v>77</v>
      </c>
      <c r="AH23" s="131">
        <v>15</v>
      </c>
      <c r="AI23" s="67">
        <v>4.7297000000000002</v>
      </c>
      <c r="AJ23" s="67">
        <v>16.280102332071802</v>
      </c>
      <c r="AK23" s="67">
        <v>3.1714485062477533</v>
      </c>
    </row>
    <row r="24" spans="2:37">
      <c r="B24" s="88" t="s">
        <v>261</v>
      </c>
      <c r="C24" s="69" t="str">
        <f t="shared" si="3"/>
        <v/>
      </c>
      <c r="D24" s="109" t="str">
        <f t="shared" si="0"/>
        <v/>
      </c>
      <c r="E24" s="118" t="str">
        <f t="shared" si="4"/>
        <v/>
      </c>
      <c r="F24" s="68" t="str">
        <f t="shared" si="5"/>
        <v/>
      </c>
      <c r="G24" s="85"/>
      <c r="H24" s="88" t="s">
        <v>262</v>
      </c>
      <c r="I24" s="69" t="str">
        <f t="shared" si="6"/>
        <v/>
      </c>
      <c r="J24" s="109" t="str">
        <f t="shared" si="1"/>
        <v/>
      </c>
      <c r="K24" s="118" t="str">
        <f t="shared" si="7"/>
        <v/>
      </c>
      <c r="L24" s="68" t="str">
        <f t="shared" si="8"/>
        <v/>
      </c>
      <c r="N24" s="88" t="s">
        <v>263</v>
      </c>
      <c r="O24" s="69" t="str">
        <f t="shared" si="9"/>
        <v/>
      </c>
      <c r="P24" s="64" t="str">
        <f t="shared" si="2"/>
        <v/>
      </c>
      <c r="Q24" s="118" t="str">
        <f t="shared" si="10"/>
        <v/>
      </c>
      <c r="R24" s="68" t="str">
        <f t="shared" si="11"/>
        <v/>
      </c>
      <c r="T24" t="str">
        <f t="shared" si="12"/>
        <v>-</v>
      </c>
      <c r="AC24" t="str">
        <f t="shared" si="13"/>
        <v>ILO-ARM</v>
      </c>
      <c r="AD24" t="s">
        <v>182</v>
      </c>
      <c r="AE24" t="s">
        <v>88</v>
      </c>
      <c r="AF24" t="s">
        <v>973</v>
      </c>
      <c r="AG24" s="131">
        <v>15</v>
      </c>
      <c r="AH24" s="131">
        <v>4</v>
      </c>
      <c r="AI24" s="67">
        <v>1.6778</v>
      </c>
      <c r="AJ24" s="67">
        <v>8.9402789367028248</v>
      </c>
      <c r="AK24" s="67">
        <v>2.3840743831207534</v>
      </c>
    </row>
    <row r="25" spans="2:37">
      <c r="B25" s="88" t="s">
        <v>216</v>
      </c>
      <c r="C25" s="69" t="str">
        <f t="shared" si="3"/>
        <v/>
      </c>
      <c r="D25" s="109" t="str">
        <f t="shared" si="0"/>
        <v/>
      </c>
      <c r="E25" s="118" t="str">
        <f t="shared" si="4"/>
        <v/>
      </c>
      <c r="F25" s="68" t="str">
        <f t="shared" si="5"/>
        <v/>
      </c>
      <c r="G25" s="85"/>
      <c r="H25" s="88" t="s">
        <v>264</v>
      </c>
      <c r="I25" s="69" t="str">
        <f t="shared" si="6"/>
        <v/>
      </c>
      <c r="J25" s="109" t="str">
        <f t="shared" si="1"/>
        <v/>
      </c>
      <c r="K25" s="118" t="str">
        <f t="shared" si="7"/>
        <v/>
      </c>
      <c r="L25" s="68" t="str">
        <f t="shared" si="8"/>
        <v/>
      </c>
      <c r="N25" s="88" t="s">
        <v>265</v>
      </c>
      <c r="O25" s="69" t="str">
        <f t="shared" si="9"/>
        <v/>
      </c>
      <c r="P25" s="64" t="str">
        <f t="shared" si="2"/>
        <v/>
      </c>
      <c r="Q25" s="118" t="str">
        <f t="shared" si="10"/>
        <v/>
      </c>
      <c r="R25" s="68" t="str">
        <f t="shared" si="11"/>
        <v/>
      </c>
      <c r="T25" t="str">
        <f t="shared" si="12"/>
        <v>-</v>
      </c>
      <c r="AC25" t="str">
        <f t="shared" si="13"/>
        <v>ILO-ARM</v>
      </c>
      <c r="AD25" t="s">
        <v>182</v>
      </c>
      <c r="AE25" t="s">
        <v>88</v>
      </c>
      <c r="AF25" t="s">
        <v>974</v>
      </c>
      <c r="AG25" s="131">
        <v>23</v>
      </c>
      <c r="AH25" s="131">
        <v>1</v>
      </c>
      <c r="AI25" s="67">
        <v>2.2574999999999998</v>
      </c>
      <c r="AJ25" s="67">
        <v>10.18826135105205</v>
      </c>
      <c r="AK25" s="67">
        <v>0.44296788482834998</v>
      </c>
    </row>
    <row r="26" spans="2:37">
      <c r="B26" s="88" t="s">
        <v>290</v>
      </c>
      <c r="C26" s="69" t="str">
        <f t="shared" si="3"/>
        <v/>
      </c>
      <c r="D26" s="109" t="str">
        <f t="shared" si="0"/>
        <v/>
      </c>
      <c r="E26" s="118" t="str">
        <f t="shared" si="4"/>
        <v/>
      </c>
      <c r="F26" s="68" t="str">
        <f t="shared" si="5"/>
        <v/>
      </c>
      <c r="G26" s="85"/>
      <c r="H26" s="88" t="s">
        <v>291</v>
      </c>
      <c r="I26" s="69" t="str">
        <f t="shared" si="6"/>
        <v/>
      </c>
      <c r="J26" s="109" t="str">
        <f t="shared" si="1"/>
        <v/>
      </c>
      <c r="K26" s="118" t="str">
        <f t="shared" si="7"/>
        <v/>
      </c>
      <c r="L26" s="68" t="str">
        <f t="shared" si="8"/>
        <v/>
      </c>
      <c r="N26" s="88" t="s">
        <v>292</v>
      </c>
      <c r="O26" s="69" t="str">
        <f t="shared" si="9"/>
        <v/>
      </c>
      <c r="P26" s="64" t="str">
        <f t="shared" si="2"/>
        <v/>
      </c>
      <c r="Q26" s="118" t="str">
        <f t="shared" si="10"/>
        <v/>
      </c>
      <c r="R26" s="68" t="str">
        <f t="shared" si="11"/>
        <v/>
      </c>
      <c r="T26" t="str">
        <f t="shared" si="12"/>
        <v>-</v>
      </c>
      <c r="AC26" t="str">
        <f t="shared" si="13"/>
        <v>ILO-ARM</v>
      </c>
      <c r="AD26" t="s">
        <v>182</v>
      </c>
      <c r="AE26" t="s">
        <v>88</v>
      </c>
      <c r="AF26" t="s">
        <v>975</v>
      </c>
      <c r="AG26" s="131">
        <v>25</v>
      </c>
      <c r="AH26" s="131">
        <v>2</v>
      </c>
      <c r="AI26" s="67">
        <v>2.2086000000000001</v>
      </c>
      <c r="AJ26" s="67">
        <v>11.319387847505206</v>
      </c>
      <c r="AK26" s="67">
        <v>0.90555102780041652</v>
      </c>
    </row>
    <row r="27" spans="2:37" ht="13.8" thickBot="1">
      <c r="B27" s="90" t="s">
        <v>294</v>
      </c>
      <c r="C27" s="70" t="str">
        <f t="shared" si="3"/>
        <v/>
      </c>
      <c r="D27" s="110" t="str">
        <f t="shared" si="0"/>
        <v/>
      </c>
      <c r="E27" s="120" t="str">
        <f t="shared" si="4"/>
        <v/>
      </c>
      <c r="F27" s="119" t="str">
        <f t="shared" si="5"/>
        <v/>
      </c>
      <c r="G27" s="85"/>
      <c r="H27" s="90" t="s">
        <v>295</v>
      </c>
      <c r="I27" s="70" t="str">
        <f t="shared" si="6"/>
        <v/>
      </c>
      <c r="J27" s="110" t="str">
        <f t="shared" si="1"/>
        <v/>
      </c>
      <c r="K27" s="120" t="str">
        <f t="shared" si="7"/>
        <v/>
      </c>
      <c r="L27" s="119" t="str">
        <f t="shared" si="8"/>
        <v/>
      </c>
      <c r="N27" s="90" t="s">
        <v>296</v>
      </c>
      <c r="O27" s="70" t="str">
        <f t="shared" si="9"/>
        <v/>
      </c>
      <c r="P27" s="65" t="str">
        <f t="shared" si="2"/>
        <v/>
      </c>
      <c r="Q27" s="120" t="str">
        <f t="shared" si="10"/>
        <v/>
      </c>
      <c r="R27" s="119" t="str">
        <f t="shared" si="11"/>
        <v/>
      </c>
      <c r="T27" t="str">
        <f t="shared" si="12"/>
        <v>-</v>
      </c>
      <c r="AC27" t="str">
        <f t="shared" si="13"/>
        <v>ILO-ARM</v>
      </c>
      <c r="AD27" t="s">
        <v>182</v>
      </c>
      <c r="AE27" t="s">
        <v>88</v>
      </c>
      <c r="AF27" t="s">
        <v>976</v>
      </c>
      <c r="AG27" s="131">
        <v>39</v>
      </c>
      <c r="AH27" s="131">
        <v>0</v>
      </c>
      <c r="AI27" s="67">
        <v>2.5411000000000001</v>
      </c>
      <c r="AJ27" s="67">
        <v>15.347684073826295</v>
      </c>
      <c r="AK27" s="67">
        <v>0</v>
      </c>
    </row>
    <row r="28" spans="2:37">
      <c r="T28" t="str">
        <f t="shared" si="12"/>
        <v>-</v>
      </c>
      <c r="AC28" t="str">
        <f t="shared" si="13"/>
        <v>ILO-ARM</v>
      </c>
      <c r="AD28" t="s">
        <v>182</v>
      </c>
      <c r="AE28" t="s">
        <v>88</v>
      </c>
      <c r="AF28" t="s">
        <v>977</v>
      </c>
      <c r="AG28" s="131">
        <v>39</v>
      </c>
      <c r="AH28" s="131">
        <v>0</v>
      </c>
      <c r="AI28" s="67">
        <v>2.5421999999999998</v>
      </c>
      <c r="AJ28" s="67">
        <v>15.341043190936984</v>
      </c>
      <c r="AK28" s="67">
        <v>0</v>
      </c>
    </row>
    <row r="29" spans="2:37">
      <c r="T29" t="str">
        <f t="shared" si="12"/>
        <v>-</v>
      </c>
      <c r="AC29" t="str">
        <f t="shared" si="13"/>
        <v>ILO-ARM</v>
      </c>
      <c r="AD29" t="s">
        <v>182</v>
      </c>
      <c r="AE29" t="s">
        <v>88</v>
      </c>
      <c r="AF29" t="s">
        <v>978</v>
      </c>
      <c r="AG29" s="131">
        <v>17</v>
      </c>
      <c r="AH29" s="131">
        <v>3</v>
      </c>
      <c r="AI29" s="67">
        <v>2.0160999999999998</v>
      </c>
      <c r="AJ29" s="67">
        <v>8.4321214225484855</v>
      </c>
      <c r="AK29" s="67">
        <v>1.4880214275085564</v>
      </c>
    </row>
    <row r="30" spans="2:37">
      <c r="T30" t="str">
        <f t="shared" si="12"/>
        <v>-</v>
      </c>
      <c r="AC30" t="str">
        <f t="shared" si="13"/>
        <v>ILO-CDT Review</v>
      </c>
      <c r="AD30" t="s">
        <v>182</v>
      </c>
      <c r="AE30" t="s">
        <v>98</v>
      </c>
      <c r="AF30" t="s">
        <v>979</v>
      </c>
      <c r="AG30" s="131">
        <v>8</v>
      </c>
      <c r="AH30" s="131">
        <v>40</v>
      </c>
      <c r="AI30" s="67">
        <v>3.2728000000000002</v>
      </c>
      <c r="AJ30" s="67">
        <v>2.4443901246638964</v>
      </c>
      <c r="AK30" s="67">
        <v>12.221950623319481</v>
      </c>
    </row>
    <row r="31" spans="2:37">
      <c r="T31" t="str">
        <f t="shared" si="12"/>
        <v>-</v>
      </c>
      <c r="AC31" t="str">
        <f t="shared" si="13"/>
        <v>BTG-Fax Mapping</v>
      </c>
      <c r="AD31" t="s">
        <v>183</v>
      </c>
      <c r="AE31" t="s">
        <v>117</v>
      </c>
      <c r="AF31" t="s">
        <v>980</v>
      </c>
      <c r="AG31" s="131">
        <v>0</v>
      </c>
      <c r="AH31" s="131">
        <v>0</v>
      </c>
      <c r="AI31" s="67">
        <v>1.7894000000000001</v>
      </c>
      <c r="AJ31" s="67">
        <v>0</v>
      </c>
      <c r="AK31" s="67">
        <v>0</v>
      </c>
    </row>
    <row r="32" spans="2:37">
      <c r="T32" t="str">
        <f t="shared" si="12"/>
        <v>-</v>
      </c>
      <c r="AC32" t="str">
        <f t="shared" si="13"/>
        <v>BTG-Fax Mapping</v>
      </c>
      <c r="AD32" t="s">
        <v>183</v>
      </c>
      <c r="AE32" t="s">
        <v>117</v>
      </c>
      <c r="AF32" t="s">
        <v>981</v>
      </c>
      <c r="AG32" s="131">
        <v>4</v>
      </c>
      <c r="AH32" s="131">
        <v>4</v>
      </c>
      <c r="AI32" s="67">
        <v>1.6763999999999999</v>
      </c>
      <c r="AJ32" s="67">
        <v>2.3860653781913626</v>
      </c>
      <c r="AK32" s="67">
        <v>2.3860653781913626</v>
      </c>
    </row>
    <row r="33" spans="20:37">
      <c r="T33" t="str">
        <f t="shared" si="12"/>
        <v>-</v>
      </c>
      <c r="AC33" t="str">
        <f t="shared" si="13"/>
        <v>BTG-Fax Mapping</v>
      </c>
      <c r="AD33" t="s">
        <v>183</v>
      </c>
      <c r="AE33" t="s">
        <v>117</v>
      </c>
      <c r="AF33" t="s">
        <v>982</v>
      </c>
      <c r="AG33" s="131">
        <v>1</v>
      </c>
      <c r="AH33" s="131">
        <v>5</v>
      </c>
      <c r="AI33" s="67">
        <v>1.7056</v>
      </c>
      <c r="AJ33" s="67">
        <v>0.58630393996247654</v>
      </c>
      <c r="AK33" s="67">
        <v>2.9315196998123829</v>
      </c>
    </row>
    <row r="34" spans="20:37">
      <c r="T34" t="str">
        <f t="shared" si="12"/>
        <v>-</v>
      </c>
      <c r="AC34" t="str">
        <f t="shared" si="13"/>
        <v>BTG-Fax Mapping</v>
      </c>
      <c r="AD34" t="s">
        <v>183</v>
      </c>
      <c r="AE34" t="s">
        <v>117</v>
      </c>
      <c r="AF34" t="s">
        <v>983</v>
      </c>
      <c r="AG34" s="131">
        <v>1</v>
      </c>
      <c r="AH34" s="131">
        <v>10</v>
      </c>
      <c r="AI34" s="67">
        <v>1.7036</v>
      </c>
      <c r="AJ34" s="67">
        <v>0.58699225170227753</v>
      </c>
      <c r="AK34" s="67">
        <v>5.8699225170227756</v>
      </c>
    </row>
    <row r="35" spans="20:37">
      <c r="T35" t="str">
        <f t="shared" si="12"/>
        <v>-</v>
      </c>
      <c r="AC35" t="str">
        <f t="shared" si="13"/>
        <v>BTG-Fax Mapping</v>
      </c>
      <c r="AD35" t="s">
        <v>183</v>
      </c>
      <c r="AE35" t="s">
        <v>117</v>
      </c>
      <c r="AF35" t="s">
        <v>984</v>
      </c>
      <c r="AG35" s="131">
        <v>2</v>
      </c>
      <c r="AH35" s="131">
        <v>10</v>
      </c>
      <c r="AI35" s="67">
        <v>0.73360000000000003</v>
      </c>
      <c r="AJ35" s="67">
        <v>2.7262813522355507</v>
      </c>
      <c r="AK35" s="67">
        <v>13.631406761177754</v>
      </c>
    </row>
    <row r="36" spans="20:37">
      <c r="AC36" t="str">
        <f t="shared" si="13"/>
        <v>BTG-Fax Mapping</v>
      </c>
      <c r="AD36" t="s">
        <v>183</v>
      </c>
      <c r="AE36" t="s">
        <v>117</v>
      </c>
      <c r="AF36" t="s">
        <v>985</v>
      </c>
      <c r="AG36" s="131">
        <v>5</v>
      </c>
      <c r="AH36" s="131">
        <v>5</v>
      </c>
      <c r="AI36" s="67">
        <v>1.6660999999999999</v>
      </c>
      <c r="AJ36" s="67">
        <v>3.0010203469179522</v>
      </c>
      <c r="AK36" s="67">
        <v>3.0010203469179522</v>
      </c>
    </row>
    <row r="37" spans="20:37">
      <c r="AC37" t="str">
        <f t="shared" si="13"/>
        <v>BTG-Fax Mapping</v>
      </c>
      <c r="AD37" t="s">
        <v>183</v>
      </c>
      <c r="AE37" t="s">
        <v>117</v>
      </c>
      <c r="AF37" t="s">
        <v>986</v>
      </c>
      <c r="AG37" s="131">
        <v>7</v>
      </c>
      <c r="AH37" s="131">
        <v>7</v>
      </c>
      <c r="AI37" s="67">
        <v>1.1702999999999999</v>
      </c>
      <c r="AJ37" s="67">
        <v>5.9813722977014443</v>
      </c>
      <c r="AK37" s="67">
        <v>5.9813722977014443</v>
      </c>
    </row>
    <row r="38" spans="20:37">
      <c r="AC38" t="str">
        <f t="shared" si="13"/>
        <v>BTG-Fax Mapping</v>
      </c>
      <c r="AD38" t="s">
        <v>183</v>
      </c>
      <c r="AE38" t="s">
        <v>117</v>
      </c>
      <c r="AF38" t="s">
        <v>987</v>
      </c>
      <c r="AG38" s="131">
        <v>3</v>
      </c>
      <c r="AH38" s="131">
        <v>43</v>
      </c>
      <c r="AI38" s="67">
        <v>1.74</v>
      </c>
      <c r="AJ38" s="67">
        <v>1.7241379310344829</v>
      </c>
      <c r="AK38" s="67">
        <v>24.712643678160919</v>
      </c>
    </row>
    <row r="39" spans="20:37">
      <c r="AC39" t="str">
        <f t="shared" si="13"/>
        <v>BTG-Fax Mapping</v>
      </c>
      <c r="AD39" t="s">
        <v>183</v>
      </c>
      <c r="AE39" t="s">
        <v>117</v>
      </c>
      <c r="AF39" t="s">
        <v>988</v>
      </c>
      <c r="AG39" s="131">
        <v>3</v>
      </c>
      <c r="AH39" s="131">
        <v>31</v>
      </c>
      <c r="AI39" s="67">
        <v>0.35859999999999997</v>
      </c>
      <c r="AJ39" s="67">
        <v>8.3658672615727845</v>
      </c>
      <c r="AK39" s="67">
        <v>86.4472950362521</v>
      </c>
    </row>
    <row r="40" spans="20:37">
      <c r="AC40" t="str">
        <f t="shared" si="13"/>
        <v>BTG-Fax Mapping</v>
      </c>
      <c r="AD40" t="s">
        <v>183</v>
      </c>
      <c r="AE40" t="s">
        <v>117</v>
      </c>
      <c r="AF40" t="s">
        <v>989</v>
      </c>
      <c r="AG40" s="131">
        <v>4</v>
      </c>
      <c r="AH40" s="131">
        <v>4</v>
      </c>
      <c r="AI40" s="67">
        <v>1.5175000000000001</v>
      </c>
      <c r="AJ40" s="67">
        <v>2.6359143327841843</v>
      </c>
      <c r="AK40" s="67">
        <v>2.6359143327841843</v>
      </c>
    </row>
    <row r="41" spans="20:37">
      <c r="AC41" t="str">
        <f t="shared" si="13"/>
        <v>BTG-Fax Mapping</v>
      </c>
      <c r="AD41" t="s">
        <v>183</v>
      </c>
      <c r="AE41" t="s">
        <v>117</v>
      </c>
      <c r="AF41" t="s">
        <v>990</v>
      </c>
      <c r="AG41" s="131">
        <v>2</v>
      </c>
      <c r="AH41" s="131">
        <v>8</v>
      </c>
      <c r="AI41" s="67">
        <v>1.4858</v>
      </c>
      <c r="AJ41" s="67">
        <v>1.3460761879122358</v>
      </c>
      <c r="AK41" s="67">
        <v>5.3843047516489433</v>
      </c>
    </row>
    <row r="42" spans="20:37">
      <c r="AC42" t="str">
        <f t="shared" si="13"/>
        <v>BTG-Fax Mapping</v>
      </c>
      <c r="AD42" t="s">
        <v>183</v>
      </c>
      <c r="AE42" t="s">
        <v>117</v>
      </c>
      <c r="AF42" t="s">
        <v>991</v>
      </c>
      <c r="AG42" s="131">
        <v>4</v>
      </c>
      <c r="AH42" s="131">
        <v>17</v>
      </c>
      <c r="AI42" s="67">
        <v>1.7163999999999999</v>
      </c>
      <c r="AJ42" s="67">
        <v>2.3304591004427873</v>
      </c>
      <c r="AK42" s="67">
        <v>9.904451176881846</v>
      </c>
    </row>
    <row r="43" spans="20:37">
      <c r="AC43" t="str">
        <f t="shared" si="13"/>
        <v>BTG-Fax Mapping</v>
      </c>
      <c r="AD43" t="s">
        <v>183</v>
      </c>
      <c r="AE43" t="s">
        <v>117</v>
      </c>
      <c r="AF43" t="s">
        <v>992</v>
      </c>
      <c r="AG43" s="131">
        <v>1</v>
      </c>
      <c r="AH43" s="131">
        <v>7</v>
      </c>
      <c r="AI43" s="67">
        <v>1.6980999999999999</v>
      </c>
      <c r="AJ43" s="67">
        <v>0.58889346917142693</v>
      </c>
      <c r="AK43" s="67">
        <v>4.1222542841999887</v>
      </c>
    </row>
    <row r="44" spans="20:37">
      <c r="AC44" t="str">
        <f t="shared" si="13"/>
        <v>BTG-Fax Mapping</v>
      </c>
      <c r="AD44" t="s">
        <v>183</v>
      </c>
      <c r="AE44" t="s">
        <v>117</v>
      </c>
      <c r="AF44" t="s">
        <v>993</v>
      </c>
      <c r="AG44" s="131">
        <v>1</v>
      </c>
      <c r="AH44" s="131">
        <v>4</v>
      </c>
      <c r="AI44" s="67">
        <v>1.4888999999999999</v>
      </c>
      <c r="AJ44" s="67">
        <v>0.67163677883000883</v>
      </c>
      <c r="AK44" s="67">
        <v>2.6865471153200353</v>
      </c>
    </row>
    <row r="45" spans="20:37">
      <c r="AC45" t="str">
        <f t="shared" si="13"/>
        <v>BTG-Fax Mapping</v>
      </c>
      <c r="AD45" t="s">
        <v>183</v>
      </c>
      <c r="AE45" t="s">
        <v>117</v>
      </c>
      <c r="AF45" t="s">
        <v>994</v>
      </c>
      <c r="AG45" s="131">
        <v>4</v>
      </c>
      <c r="AH45" s="131">
        <v>10</v>
      </c>
      <c r="AI45" s="67">
        <v>1.4831000000000001</v>
      </c>
      <c r="AJ45" s="67">
        <v>2.6970534690850245</v>
      </c>
      <c r="AK45" s="67">
        <v>6.7426336727125609</v>
      </c>
    </row>
    <row r="46" spans="20:37">
      <c r="AC46" t="str">
        <f t="shared" si="13"/>
        <v>BTG-Fax Mapping</v>
      </c>
      <c r="AD46" t="s">
        <v>183</v>
      </c>
      <c r="AE46" t="s">
        <v>117</v>
      </c>
      <c r="AF46" t="s">
        <v>995</v>
      </c>
      <c r="AG46" s="131">
        <v>1</v>
      </c>
      <c r="AH46" s="131">
        <v>15</v>
      </c>
      <c r="AI46" s="67">
        <v>1.7092000000000001</v>
      </c>
      <c r="AJ46" s="67">
        <v>0.58506903814650124</v>
      </c>
      <c r="AK46" s="67">
        <v>8.7760355721975198</v>
      </c>
    </row>
    <row r="47" spans="20:37">
      <c r="AC47" t="str">
        <f t="shared" si="13"/>
        <v>BTG-Fax Mapping</v>
      </c>
      <c r="AD47" t="s">
        <v>183</v>
      </c>
      <c r="AE47" t="s">
        <v>117</v>
      </c>
      <c r="AF47" t="s">
        <v>996</v>
      </c>
      <c r="AG47" s="131">
        <v>1</v>
      </c>
      <c r="AH47" s="131">
        <v>4</v>
      </c>
      <c r="AI47" s="67">
        <v>1.1886000000000001</v>
      </c>
      <c r="AJ47" s="67">
        <v>0.84132592966515218</v>
      </c>
      <c r="AK47" s="67">
        <v>3.3653037186606087</v>
      </c>
    </row>
    <row r="48" spans="20:37">
      <c r="AC48" t="str">
        <f t="shared" si="13"/>
        <v>BTG-Fax Mapping</v>
      </c>
      <c r="AD48" t="s">
        <v>183</v>
      </c>
      <c r="AE48" t="s">
        <v>117</v>
      </c>
      <c r="AF48" t="s">
        <v>997</v>
      </c>
      <c r="AG48" s="131">
        <v>3</v>
      </c>
      <c r="AH48" s="131">
        <v>3</v>
      </c>
      <c r="AI48" s="67">
        <v>1.3058000000000001</v>
      </c>
      <c r="AJ48" s="67">
        <v>2.2974421810384436</v>
      </c>
      <c r="AK48" s="67">
        <v>2.2974421810384436</v>
      </c>
    </row>
    <row r="49" spans="29:37">
      <c r="AC49" t="str">
        <f t="shared" si="13"/>
        <v>BTG-Fax Mapping</v>
      </c>
      <c r="AD49" t="s">
        <v>183</v>
      </c>
      <c r="AE49" t="s">
        <v>117</v>
      </c>
      <c r="AF49" t="s">
        <v>998</v>
      </c>
      <c r="AG49" s="131">
        <v>1</v>
      </c>
      <c r="AH49" s="131">
        <v>13</v>
      </c>
      <c r="AI49" s="67">
        <v>1.7121999999999999</v>
      </c>
      <c r="AJ49" s="67">
        <v>0.58404392010279171</v>
      </c>
      <c r="AK49" s="67">
        <v>7.5925709613362926</v>
      </c>
    </row>
    <row r="50" spans="29:37">
      <c r="AC50" t="str">
        <f t="shared" si="13"/>
        <v>BTG-Fax Mapping</v>
      </c>
      <c r="AD50" t="s">
        <v>183</v>
      </c>
      <c r="AE50" t="s">
        <v>117</v>
      </c>
      <c r="AF50" t="s">
        <v>999</v>
      </c>
      <c r="AG50" s="131">
        <v>6</v>
      </c>
      <c r="AH50" s="131">
        <v>6</v>
      </c>
      <c r="AI50" s="67">
        <v>1.33</v>
      </c>
      <c r="AJ50" s="67">
        <v>4.511278195488722</v>
      </c>
      <c r="AK50" s="67">
        <v>4.511278195488722</v>
      </c>
    </row>
    <row r="51" spans="29:37">
      <c r="AC51" t="str">
        <f t="shared" si="13"/>
        <v>BTG-Fax Mapping</v>
      </c>
      <c r="AD51" t="s">
        <v>183</v>
      </c>
      <c r="AE51" t="s">
        <v>117</v>
      </c>
      <c r="AF51" t="s">
        <v>1000</v>
      </c>
      <c r="AG51" s="131">
        <v>1</v>
      </c>
      <c r="AH51" s="131">
        <v>12</v>
      </c>
      <c r="AI51" s="67">
        <v>1.7156</v>
      </c>
      <c r="AJ51" s="67">
        <v>0.58288645371881553</v>
      </c>
      <c r="AK51" s="67">
        <v>6.9946374446257868</v>
      </c>
    </row>
    <row r="52" spans="29:37">
      <c r="AC52" t="str">
        <f t="shared" si="13"/>
        <v>BTG-Fax Mapping</v>
      </c>
      <c r="AD52" t="s">
        <v>183</v>
      </c>
      <c r="AE52" t="s">
        <v>117</v>
      </c>
      <c r="AF52" t="s">
        <v>1001</v>
      </c>
      <c r="AG52" s="131">
        <v>0</v>
      </c>
      <c r="AH52" s="131">
        <v>0</v>
      </c>
      <c r="AI52" s="67">
        <v>1.05</v>
      </c>
      <c r="AJ52" s="67">
        <v>0</v>
      </c>
      <c r="AK52" s="67">
        <v>0</v>
      </c>
    </row>
    <row r="53" spans="29:37">
      <c r="AC53" t="str">
        <f t="shared" si="13"/>
        <v>BTG-Fax Mapping</v>
      </c>
      <c r="AD53" t="s">
        <v>183</v>
      </c>
      <c r="AE53" t="s">
        <v>117</v>
      </c>
      <c r="AF53" t="s">
        <v>1002</v>
      </c>
      <c r="AG53" s="131">
        <v>10</v>
      </c>
      <c r="AH53" s="131">
        <v>10</v>
      </c>
      <c r="AI53" s="67">
        <v>1.4843999999999999</v>
      </c>
      <c r="AJ53" s="67">
        <v>6.7367286445701966</v>
      </c>
      <c r="AK53" s="67">
        <v>6.7367286445701966</v>
      </c>
    </row>
    <row r="54" spans="29:37">
      <c r="AC54" t="str">
        <f t="shared" si="13"/>
        <v>BTG-Fax Mapping</v>
      </c>
      <c r="AD54" t="s">
        <v>183</v>
      </c>
      <c r="AE54" t="s">
        <v>117</v>
      </c>
      <c r="AF54" t="s">
        <v>1003</v>
      </c>
      <c r="AG54" s="131">
        <v>2</v>
      </c>
      <c r="AH54" s="131">
        <v>12</v>
      </c>
      <c r="AI54" s="67">
        <v>2.5882999999999998</v>
      </c>
      <c r="AJ54" s="67">
        <v>0.77270795502839706</v>
      </c>
      <c r="AK54" s="67">
        <v>4.6362477301703828</v>
      </c>
    </row>
    <row r="55" spans="29:37">
      <c r="AC55" t="str">
        <f t="shared" si="13"/>
        <v>BTG-Confirmed Sales</v>
      </c>
      <c r="AD55" t="s">
        <v>183</v>
      </c>
      <c r="AE55" t="s">
        <v>30</v>
      </c>
      <c r="AF55" t="s">
        <v>1004</v>
      </c>
      <c r="AG55" s="131">
        <v>77</v>
      </c>
      <c r="AH55" s="131">
        <v>42</v>
      </c>
      <c r="AI55" s="67">
        <v>3.9571999999999998</v>
      </c>
      <c r="AJ55" s="67">
        <v>19.458202769635097</v>
      </c>
      <c r="AK55" s="67">
        <v>10.61356514707369</v>
      </c>
    </row>
    <row r="56" spans="29:37">
      <c r="AC56" t="str">
        <f t="shared" si="13"/>
        <v>BTG-Confirmed Sales</v>
      </c>
      <c r="AD56" t="s">
        <v>183</v>
      </c>
      <c r="AE56" t="s">
        <v>30</v>
      </c>
      <c r="AF56" t="s">
        <v>1005</v>
      </c>
      <c r="AG56" s="131">
        <v>84</v>
      </c>
      <c r="AH56" s="131">
        <v>26</v>
      </c>
      <c r="AI56" s="67">
        <v>3.3016999999999999</v>
      </c>
      <c r="AJ56" s="67">
        <v>25.441439258563772</v>
      </c>
      <c r="AK56" s="67">
        <v>7.8747311990792621</v>
      </c>
    </row>
    <row r="57" spans="29:37">
      <c r="AC57" t="str">
        <f t="shared" si="13"/>
        <v>BTG-Confirmed Sales</v>
      </c>
      <c r="AD57" t="s">
        <v>183</v>
      </c>
      <c r="AE57" t="s">
        <v>30</v>
      </c>
      <c r="AF57" t="s">
        <v>1006</v>
      </c>
      <c r="AG57" s="131">
        <v>20</v>
      </c>
      <c r="AH57" s="131">
        <v>16</v>
      </c>
      <c r="AI57" s="67">
        <v>2.0306000000000002</v>
      </c>
      <c r="AJ57" s="67">
        <v>9.8493056239535104</v>
      </c>
      <c r="AK57" s="67">
        <v>7.8794444991628083</v>
      </c>
    </row>
    <row r="58" spans="29:37">
      <c r="AC58" t="str">
        <f t="shared" si="13"/>
        <v>BTG-Confirmed Sales</v>
      </c>
      <c r="AD58" t="s">
        <v>183</v>
      </c>
      <c r="AE58" t="s">
        <v>30</v>
      </c>
      <c r="AF58" t="s">
        <v>1007</v>
      </c>
      <c r="AG58" s="131">
        <v>43</v>
      </c>
      <c r="AH58" s="131">
        <v>20</v>
      </c>
      <c r="AI58" s="67">
        <v>2.4792000000000001</v>
      </c>
      <c r="AJ58" s="67">
        <v>17.344304614391739</v>
      </c>
      <c r="AK58" s="67">
        <v>8.0671184252984833</v>
      </c>
    </row>
    <row r="59" spans="29:37">
      <c r="AC59" t="str">
        <f t="shared" si="13"/>
        <v>Grand Total-</v>
      </c>
      <c r="AD59" t="s">
        <v>25</v>
      </c>
      <c r="AG59" s="131">
        <v>818</v>
      </c>
      <c r="AH59" s="131">
        <v>961</v>
      </c>
      <c r="AI59" s="67">
        <v>113.59779999999995</v>
      </c>
      <c r="AJ59" s="67">
        <v>7.2008436783106751</v>
      </c>
      <c r="AK59" s="67">
        <v>8.4596708739077737</v>
      </c>
    </row>
    <row r="60" spans="29:37">
      <c r="AC60" t="str">
        <f t="shared" si="13"/>
        <v>-</v>
      </c>
    </row>
    <row r="61" spans="29:37">
      <c r="AC61" t="str">
        <f t="shared" si="13"/>
        <v>-</v>
      </c>
    </row>
    <row r="62" spans="29:37">
      <c r="AC62" t="str">
        <f t="shared" si="13"/>
        <v>-</v>
      </c>
    </row>
    <row r="63" spans="29:37">
      <c r="AC63" t="str">
        <f t="shared" si="13"/>
        <v>-</v>
      </c>
    </row>
    <row r="64" spans="29:37">
      <c r="AC64" t="str">
        <f t="shared" si="13"/>
        <v>-</v>
      </c>
    </row>
    <row r="65" spans="29:29">
      <c r="AC65" t="str">
        <f t="shared" si="13"/>
        <v>-</v>
      </c>
    </row>
    <row r="66" spans="29:29">
      <c r="AC66" t="str">
        <f t="shared" si="13"/>
        <v>-</v>
      </c>
    </row>
    <row r="67" spans="29:29">
      <c r="AC67" t="str">
        <f t="shared" ref="AC67:AC90" si="19">_xlfn.CONCAT(AD67,"-",AE67)</f>
        <v>-</v>
      </c>
    </row>
    <row r="68" spans="29:29">
      <c r="AC68" t="str">
        <f t="shared" si="19"/>
        <v>-</v>
      </c>
    </row>
    <row r="69" spans="29:29">
      <c r="AC69" t="str">
        <f t="shared" si="19"/>
        <v>-</v>
      </c>
    </row>
    <row r="70" spans="29:29">
      <c r="AC70" t="str">
        <f t="shared" si="19"/>
        <v>-</v>
      </c>
    </row>
    <row r="71" spans="29:29">
      <c r="AC71" t="str">
        <f t="shared" si="19"/>
        <v>-</v>
      </c>
    </row>
    <row r="72" spans="29:29">
      <c r="AC72" t="str">
        <f t="shared" si="19"/>
        <v>-</v>
      </c>
    </row>
    <row r="73" spans="29:29">
      <c r="AC73" t="str">
        <f t="shared" si="19"/>
        <v>-</v>
      </c>
    </row>
    <row r="74" spans="29:29">
      <c r="AC74" t="str">
        <f t="shared" si="19"/>
        <v>-</v>
      </c>
    </row>
    <row r="75" spans="29:29">
      <c r="AC75" t="str">
        <f t="shared" si="19"/>
        <v>-</v>
      </c>
    </row>
    <row r="76" spans="29:29">
      <c r="AC76" t="str">
        <f t="shared" si="19"/>
        <v>-</v>
      </c>
    </row>
    <row r="77" spans="29:29">
      <c r="AC77" t="str">
        <f t="shared" si="19"/>
        <v>-</v>
      </c>
    </row>
    <row r="78" spans="29:29">
      <c r="AC78" t="str">
        <f t="shared" si="19"/>
        <v>-</v>
      </c>
    </row>
    <row r="79" spans="29:29">
      <c r="AC79" t="str">
        <f t="shared" si="19"/>
        <v>-</v>
      </c>
    </row>
    <row r="80" spans="29:29">
      <c r="AC80" t="str">
        <f t="shared" si="19"/>
        <v>-</v>
      </c>
    </row>
    <row r="81" spans="29:29">
      <c r="AC81" t="str">
        <f t="shared" si="19"/>
        <v>-</v>
      </c>
    </row>
    <row r="82" spans="29:29">
      <c r="AC82" t="str">
        <f t="shared" si="19"/>
        <v>-</v>
      </c>
    </row>
    <row r="83" spans="29:29">
      <c r="AC83" t="str">
        <f t="shared" si="19"/>
        <v>-</v>
      </c>
    </row>
    <row r="84" spans="29:29">
      <c r="AC84" t="str">
        <f t="shared" si="19"/>
        <v>-</v>
      </c>
    </row>
    <row r="85" spans="29:29">
      <c r="AC85" t="str">
        <f t="shared" si="19"/>
        <v>-</v>
      </c>
    </row>
    <row r="86" spans="29:29">
      <c r="AC86" t="str">
        <f t="shared" si="19"/>
        <v>-</v>
      </c>
    </row>
    <row r="87" spans="29:29">
      <c r="AC87" t="str">
        <f t="shared" si="19"/>
        <v>-</v>
      </c>
    </row>
    <row r="88" spans="29:29">
      <c r="AC88" t="str">
        <f t="shared" si="19"/>
        <v>-</v>
      </c>
    </row>
    <row r="89" spans="29:29">
      <c r="AC89" t="str">
        <f t="shared" si="19"/>
        <v>-</v>
      </c>
    </row>
    <row r="90" spans="29:29">
      <c r="AC90" t="str">
        <f t="shared" si="19"/>
        <v>-</v>
      </c>
    </row>
  </sheetData>
  <phoneticPr fontId="13" type="noConversion"/>
  <pageMargins left="0.7" right="0.7" top="0.75" bottom="0.75" header="0.3" footer="0.3"/>
  <pageSetup orientation="portrait" horizontalDpi="1200" verticalDpi="12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  <outlinePr summaryBelow="0" summaryRight="0"/>
  </sheetPr>
  <dimension ref="A1:O119"/>
  <sheetViews>
    <sheetView tabSelected="1" zoomScale="85" zoomScaleNormal="85" workbookViewId="0">
      <selection activeCell="J93" sqref="J93:J118"/>
    </sheetView>
  </sheetViews>
  <sheetFormatPr defaultColWidth="12.6640625" defaultRowHeight="15.75" customHeight="1"/>
  <cols>
    <col min="1" max="1" width="17.6640625" style="105" bestFit="1" customWidth="1"/>
    <col min="2" max="4" width="0.33203125" customWidth="1"/>
    <col min="5" max="5" width="18.6640625" style="67" bestFit="1" customWidth="1"/>
    <col min="6" max="6" width="22.5546875" bestFit="1" customWidth="1"/>
    <col min="7" max="9" width="0.33203125" customWidth="1"/>
    <col min="10" max="10" width="15.5546875" customWidth="1"/>
    <col min="11" max="11" width="17.33203125" bestFit="1" customWidth="1"/>
    <col min="12" max="12" width="9.44140625" hidden="1" customWidth="1"/>
    <col min="13" max="13" width="25.88671875" hidden="1" customWidth="1"/>
    <col min="14" max="14" width="6.88671875" hidden="1" customWidth="1"/>
    <col min="15" max="15" width="24.44140625" customWidth="1"/>
  </cols>
  <sheetData>
    <row r="1" spans="1:15" ht="15.75" customHeight="1">
      <c r="A1" s="127" t="s">
        <v>266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14"/>
    </row>
    <row r="2" spans="1:15" ht="13.2">
      <c r="A2" s="101" t="s">
        <v>267</v>
      </c>
      <c r="B2" s="101" t="s">
        <v>268</v>
      </c>
      <c r="C2" s="101" t="s">
        <v>269</v>
      </c>
      <c r="D2" s="102" t="s">
        <v>270</v>
      </c>
      <c r="E2" s="106" t="s">
        <v>271</v>
      </c>
      <c r="F2" s="101" t="s">
        <v>272</v>
      </c>
      <c r="G2" s="101" t="s">
        <v>273</v>
      </c>
      <c r="H2" s="101" t="s">
        <v>274</v>
      </c>
      <c r="I2" s="101" t="s">
        <v>275</v>
      </c>
      <c r="J2" s="101" t="s">
        <v>148</v>
      </c>
      <c r="K2" s="101" t="s">
        <v>276</v>
      </c>
      <c r="L2" s="103" t="s">
        <v>277</v>
      </c>
      <c r="M2" s="103" t="s">
        <v>278</v>
      </c>
      <c r="N2" s="101" t="s">
        <v>279</v>
      </c>
    </row>
    <row r="3" spans="1:15" ht="13.2">
      <c r="A3" s="115" t="s">
        <v>30</v>
      </c>
      <c r="B3" s="92">
        <f t="shared" ref="B3:B29" si="0">C3*I3*8</f>
        <v>0</v>
      </c>
      <c r="C3" s="91"/>
      <c r="D3" s="91"/>
      <c r="E3" s="95">
        <f>IF(SUM(E33,E63,E93)=0,"",SUM(E33,E63,E93))</f>
        <v>14.784000000000001</v>
      </c>
      <c r="F3" s="93">
        <f>IF(SUM(F33,F63,F93)=0,"",SUM(F33,F63,F93))</f>
        <v>262</v>
      </c>
      <c r="G3" s="92">
        <f t="shared" ref="G3:G29" si="1">IFERROR(B3-F3,"")</f>
        <v>-262</v>
      </c>
      <c r="H3" s="94" t="str">
        <f t="shared" ref="H3:H29" si="2">IFERROR(F3/B3,"")</f>
        <v/>
      </c>
      <c r="I3" s="91"/>
      <c r="J3" s="93">
        <f>IF(SUM(J33,J63,J93)=0,"",SUM(J33,J63,J93))</f>
        <v>121</v>
      </c>
      <c r="K3" s="95">
        <f>IFERROR(F3/E3,"")</f>
        <v>17.72186147186147</v>
      </c>
      <c r="L3" s="96">
        <f t="shared" ref="L3:L29" si="3">IFERROR(G3/K3,"")</f>
        <v>-14.784000000000002</v>
      </c>
      <c r="M3" s="96">
        <f t="shared" ref="M3:M29" si="4">IFERROR(L3/8,"")</f>
        <v>-1.8480000000000003</v>
      </c>
      <c r="N3" s="91"/>
    </row>
    <row r="4" spans="1:15" ht="13.2">
      <c r="A4" s="115" t="s">
        <v>32</v>
      </c>
      <c r="B4" s="92">
        <f t="shared" si="0"/>
        <v>0</v>
      </c>
      <c r="C4" s="91"/>
      <c r="D4" s="91"/>
      <c r="E4" s="95">
        <f t="shared" ref="E4:E27" si="5">IF(SUM(E34,E64,E94)=0,"",SUM(E34,E64,E94))</f>
        <v>34.3005</v>
      </c>
      <c r="F4" s="93">
        <f t="shared" ref="F4" si="6">IF(SUM(F34,F64,F94)=0,"",SUM(F34,F64,F94))</f>
        <v>162</v>
      </c>
      <c r="G4" s="92">
        <f t="shared" si="1"/>
        <v>-162</v>
      </c>
      <c r="H4" s="94" t="str">
        <f t="shared" si="2"/>
        <v/>
      </c>
      <c r="I4" s="91"/>
      <c r="J4" s="93">
        <f t="shared" ref="J4:J29" si="7">IF(SUM(J34,J64,J94)=0,"",SUM(J34,J64,J94))</f>
        <v>41</v>
      </c>
      <c r="K4" s="95">
        <f t="shared" ref="K4:K28" si="8">IFERROR(F4/E4,"")</f>
        <v>4.7229632221104652</v>
      </c>
      <c r="L4" s="96">
        <f t="shared" si="3"/>
        <v>-34.3005</v>
      </c>
      <c r="M4" s="96">
        <f t="shared" si="4"/>
        <v>-4.2875624999999999</v>
      </c>
      <c r="N4" s="91"/>
    </row>
    <row r="5" spans="1:15" ht="13.2">
      <c r="A5" s="115" t="s">
        <v>280</v>
      </c>
      <c r="B5" s="92">
        <f t="shared" si="0"/>
        <v>0</v>
      </c>
      <c r="C5" s="91"/>
      <c r="D5" s="91"/>
      <c r="E5" s="95" t="str">
        <f t="shared" si="5"/>
        <v/>
      </c>
      <c r="F5" s="93" t="str">
        <f t="shared" ref="F5" si="9">IF(SUM(F35,F65,F95)=0,"",SUM(F35,F65,F95))</f>
        <v/>
      </c>
      <c r="G5" s="92" t="str">
        <f t="shared" si="1"/>
        <v/>
      </c>
      <c r="H5" s="94" t="str">
        <f t="shared" si="2"/>
        <v/>
      </c>
      <c r="I5" s="91"/>
      <c r="J5" s="93" t="str">
        <f t="shared" si="7"/>
        <v/>
      </c>
      <c r="K5" s="95" t="str">
        <f t="shared" si="8"/>
        <v/>
      </c>
      <c r="L5" s="96" t="str">
        <f t="shared" si="3"/>
        <v/>
      </c>
      <c r="M5" s="96" t="str">
        <f t="shared" si="4"/>
        <v/>
      </c>
      <c r="N5" s="91"/>
    </row>
    <row r="6" spans="1:15" ht="13.2">
      <c r="A6" s="115" t="s">
        <v>281</v>
      </c>
      <c r="B6" s="92">
        <f t="shared" si="0"/>
        <v>0</v>
      </c>
      <c r="C6" s="91"/>
      <c r="D6" s="91"/>
      <c r="E6" s="95">
        <f t="shared" si="5"/>
        <v>53.3703</v>
      </c>
      <c r="F6" s="93">
        <f t="shared" ref="F6" si="10">IF(SUM(F36,F66,F96)=0,"",SUM(F36,F66,F96))</f>
        <v>175</v>
      </c>
      <c r="G6" s="92">
        <f t="shared" si="1"/>
        <v>-175</v>
      </c>
      <c r="H6" s="94" t="str">
        <f t="shared" si="2"/>
        <v/>
      </c>
      <c r="I6" s="91"/>
      <c r="J6" s="93">
        <f t="shared" si="7"/>
        <v>21</v>
      </c>
      <c r="K6" s="95">
        <f t="shared" si="8"/>
        <v>3.2789772588874335</v>
      </c>
      <c r="L6" s="96">
        <f t="shared" si="3"/>
        <v>-53.3703</v>
      </c>
      <c r="M6" s="96">
        <f t="shared" si="4"/>
        <v>-6.6712875</v>
      </c>
      <c r="N6" s="91"/>
    </row>
    <row r="7" spans="1:15" ht="13.2">
      <c r="A7" s="115" t="s">
        <v>26</v>
      </c>
      <c r="B7" s="92">
        <f t="shared" si="0"/>
        <v>0</v>
      </c>
      <c r="C7" s="91"/>
      <c r="D7" s="91"/>
      <c r="E7" s="95">
        <f t="shared" si="5"/>
        <v>66.411300000000011</v>
      </c>
      <c r="F7" s="93">
        <f t="shared" ref="F7" si="11">IF(SUM(F37,F67,F97)=0,"",SUM(F37,F67,F97))</f>
        <v>681</v>
      </c>
      <c r="G7" s="92">
        <f t="shared" si="1"/>
        <v>-681</v>
      </c>
      <c r="H7" s="94" t="str">
        <f t="shared" si="2"/>
        <v/>
      </c>
      <c r="I7" s="91"/>
      <c r="J7" s="93">
        <f t="shared" si="7"/>
        <v>33</v>
      </c>
      <c r="K7" s="95">
        <f t="shared" si="8"/>
        <v>10.254279015769905</v>
      </c>
      <c r="L7" s="96">
        <f t="shared" si="3"/>
        <v>-66.411300000000011</v>
      </c>
      <c r="M7" s="96">
        <f t="shared" si="4"/>
        <v>-8.3014125000000014</v>
      </c>
      <c r="N7" s="91"/>
    </row>
    <row r="8" spans="1:15" ht="13.2">
      <c r="A8" s="115" t="s">
        <v>88</v>
      </c>
      <c r="B8" s="92">
        <f t="shared" si="0"/>
        <v>0</v>
      </c>
      <c r="C8" s="91"/>
      <c r="D8" s="91"/>
      <c r="E8" s="95">
        <f t="shared" si="5"/>
        <v>26.2502</v>
      </c>
      <c r="F8" s="93">
        <f t="shared" ref="F8" si="12">IF(SUM(F38,F68,F98)=0,"",SUM(F38,F68,F98))</f>
        <v>405</v>
      </c>
      <c r="G8" s="92">
        <f t="shared" si="1"/>
        <v>-405</v>
      </c>
      <c r="H8" s="94" t="str">
        <f t="shared" si="2"/>
        <v/>
      </c>
      <c r="I8" s="91"/>
      <c r="J8" s="93">
        <f t="shared" si="7"/>
        <v>52</v>
      </c>
      <c r="K8" s="95">
        <f t="shared" si="8"/>
        <v>15.428453878446641</v>
      </c>
      <c r="L8" s="96">
        <f t="shared" si="3"/>
        <v>-26.2502</v>
      </c>
      <c r="M8" s="96">
        <f t="shared" si="4"/>
        <v>-3.2812749999999999</v>
      </c>
      <c r="N8" s="91"/>
    </row>
    <row r="9" spans="1:15" ht="13.2">
      <c r="A9" s="115" t="s">
        <v>282</v>
      </c>
      <c r="B9" s="92">
        <f t="shared" si="0"/>
        <v>0</v>
      </c>
      <c r="C9" s="91"/>
      <c r="D9" s="91"/>
      <c r="E9" s="95">
        <f t="shared" si="5"/>
        <v>66.800200000000004</v>
      </c>
      <c r="F9" s="93">
        <f t="shared" ref="F9" si="13">IF(SUM(F39,F69,F99)=0,"",SUM(F39,F69,F99))</f>
        <v>846</v>
      </c>
      <c r="G9" s="92">
        <f t="shared" si="1"/>
        <v>-846</v>
      </c>
      <c r="H9" s="94" t="str">
        <f t="shared" si="2"/>
        <v/>
      </c>
      <c r="I9" s="91"/>
      <c r="J9" s="93">
        <f t="shared" si="7"/>
        <v>114</v>
      </c>
      <c r="K9" s="95">
        <f t="shared" si="8"/>
        <v>12.664632740620537</v>
      </c>
      <c r="L9" s="96">
        <f t="shared" si="3"/>
        <v>-66.800200000000004</v>
      </c>
      <c r="M9" s="96">
        <f t="shared" si="4"/>
        <v>-8.3500250000000005</v>
      </c>
      <c r="N9" s="91"/>
    </row>
    <row r="10" spans="1:15" ht="13.2">
      <c r="A10" s="115" t="s">
        <v>43</v>
      </c>
      <c r="B10" s="92">
        <f t="shared" si="0"/>
        <v>0</v>
      </c>
      <c r="C10" s="91"/>
      <c r="D10" s="91"/>
      <c r="E10" s="95">
        <f t="shared" si="5"/>
        <v>25.713500000000003</v>
      </c>
      <c r="F10" s="93">
        <f t="shared" ref="F10" si="14">IF(SUM(F40,F70,F100)=0,"",SUM(F40,F70,F100))</f>
        <v>547</v>
      </c>
      <c r="G10" s="92">
        <f t="shared" si="1"/>
        <v>-547</v>
      </c>
      <c r="H10" s="94" t="str">
        <f t="shared" si="2"/>
        <v/>
      </c>
      <c r="I10" s="91"/>
      <c r="J10" s="93">
        <f t="shared" si="7"/>
        <v>173</v>
      </c>
      <c r="K10" s="95">
        <f t="shared" si="8"/>
        <v>21.272872226651366</v>
      </c>
      <c r="L10" s="96">
        <f t="shared" si="3"/>
        <v>-25.713500000000003</v>
      </c>
      <c r="M10" s="96">
        <f t="shared" si="4"/>
        <v>-3.2141875000000004</v>
      </c>
      <c r="N10" s="91"/>
    </row>
    <row r="11" spans="1:15" ht="13.2">
      <c r="A11" s="115" t="s">
        <v>45</v>
      </c>
      <c r="B11" s="92">
        <f t="shared" si="0"/>
        <v>0</v>
      </c>
      <c r="C11" s="91"/>
      <c r="D11" s="91"/>
      <c r="E11" s="95" t="str">
        <f t="shared" si="5"/>
        <v/>
      </c>
      <c r="F11" s="93" t="str">
        <f t="shared" ref="F11" si="15">IF(SUM(F41,F71,F101)=0,"",SUM(F41,F71,F101))</f>
        <v/>
      </c>
      <c r="G11" s="92" t="str">
        <f t="shared" si="1"/>
        <v/>
      </c>
      <c r="H11" s="94" t="str">
        <f t="shared" si="2"/>
        <v/>
      </c>
      <c r="I11" s="91"/>
      <c r="J11" s="93" t="str">
        <f t="shared" si="7"/>
        <v/>
      </c>
      <c r="K11" s="95" t="str">
        <f t="shared" si="8"/>
        <v/>
      </c>
      <c r="L11" s="96" t="str">
        <f t="shared" si="3"/>
        <v/>
      </c>
      <c r="M11" s="96" t="str">
        <f t="shared" si="4"/>
        <v/>
      </c>
      <c r="N11" s="91"/>
    </row>
    <row r="12" spans="1:15" ht="13.2">
      <c r="A12" s="115" t="s">
        <v>42</v>
      </c>
      <c r="B12" s="92">
        <f t="shared" si="0"/>
        <v>0</v>
      </c>
      <c r="C12" s="91"/>
      <c r="D12" s="91"/>
      <c r="E12" s="95">
        <f t="shared" si="5"/>
        <v>2.145</v>
      </c>
      <c r="F12" s="93">
        <f t="shared" ref="F12" si="16">IF(SUM(F42,F72,F102)=0,"",SUM(F42,F72,F102))</f>
        <v>22</v>
      </c>
      <c r="G12" s="92">
        <f t="shared" si="1"/>
        <v>-22</v>
      </c>
      <c r="H12" s="94" t="str">
        <f t="shared" si="2"/>
        <v/>
      </c>
      <c r="I12" s="91"/>
      <c r="J12" s="93">
        <f t="shared" si="7"/>
        <v>4</v>
      </c>
      <c r="K12" s="95">
        <f t="shared" si="8"/>
        <v>10.256410256410255</v>
      </c>
      <c r="L12" s="96">
        <f t="shared" si="3"/>
        <v>-2.145</v>
      </c>
      <c r="M12" s="96">
        <f t="shared" si="4"/>
        <v>-0.268125</v>
      </c>
      <c r="N12" s="91"/>
    </row>
    <row r="13" spans="1:15" ht="13.2">
      <c r="A13" s="115" t="s">
        <v>283</v>
      </c>
      <c r="B13" s="92">
        <f t="shared" si="0"/>
        <v>0</v>
      </c>
      <c r="C13" s="91"/>
      <c r="D13" s="91"/>
      <c r="E13" s="95">
        <f t="shared" si="5"/>
        <v>9.3756000000000004</v>
      </c>
      <c r="F13" s="93">
        <f t="shared" ref="F13" si="17">IF(SUM(F43,F73,F103)=0,"",SUM(F43,F73,F103))</f>
        <v>89</v>
      </c>
      <c r="G13" s="92">
        <f t="shared" si="1"/>
        <v>-89</v>
      </c>
      <c r="H13" s="94" t="str">
        <f t="shared" si="2"/>
        <v/>
      </c>
      <c r="I13" s="91"/>
      <c r="J13" s="93">
        <f t="shared" si="7"/>
        <v>89</v>
      </c>
      <c r="K13" s="95">
        <f t="shared" si="8"/>
        <v>9.4927257988822049</v>
      </c>
      <c r="L13" s="96">
        <f t="shared" si="3"/>
        <v>-9.3756000000000004</v>
      </c>
      <c r="M13" s="96">
        <f t="shared" si="4"/>
        <v>-1.17195</v>
      </c>
      <c r="N13" s="91"/>
    </row>
    <row r="14" spans="1:15" ht="13.2">
      <c r="A14" s="115" t="s">
        <v>38</v>
      </c>
      <c r="B14" s="92">
        <f t="shared" si="0"/>
        <v>0</v>
      </c>
      <c r="C14" s="91"/>
      <c r="D14" s="91"/>
      <c r="E14" s="95">
        <f t="shared" si="5"/>
        <v>0.39169999999999999</v>
      </c>
      <c r="F14" s="93">
        <f t="shared" ref="F14" si="18">IF(SUM(F44,F74,F104)=0,"",SUM(F44,F74,F104))</f>
        <v>8</v>
      </c>
      <c r="G14" s="92">
        <f t="shared" si="1"/>
        <v>-8</v>
      </c>
      <c r="H14" s="94" t="str">
        <f t="shared" si="2"/>
        <v/>
      </c>
      <c r="I14" s="91"/>
      <c r="J14" s="93">
        <f t="shared" si="7"/>
        <v>15</v>
      </c>
      <c r="K14" s="95">
        <f t="shared" si="8"/>
        <v>20.423793719683431</v>
      </c>
      <c r="L14" s="96">
        <f t="shared" si="3"/>
        <v>-0.39169999999999999</v>
      </c>
      <c r="M14" s="96">
        <f t="shared" si="4"/>
        <v>-4.8962499999999999E-2</v>
      </c>
      <c r="N14" s="91"/>
    </row>
    <row r="15" spans="1:15" ht="13.2">
      <c r="A15" s="115" t="s">
        <v>117</v>
      </c>
      <c r="B15" s="92">
        <f t="shared" si="0"/>
        <v>0</v>
      </c>
      <c r="C15" s="91"/>
      <c r="D15" s="91"/>
      <c r="E15" s="95">
        <f t="shared" si="5"/>
        <v>63.125</v>
      </c>
      <c r="F15" s="93">
        <f t="shared" ref="F15" si="19">IF(SUM(F45,F75,F105)=0,"",SUM(F45,F75,F105))</f>
        <v>126</v>
      </c>
      <c r="G15" s="92">
        <f t="shared" si="1"/>
        <v>-126</v>
      </c>
      <c r="H15" s="94" t="str">
        <f t="shared" si="2"/>
        <v/>
      </c>
      <c r="I15" s="91"/>
      <c r="J15" s="93">
        <f t="shared" si="7"/>
        <v>711</v>
      </c>
      <c r="K15" s="95">
        <f>IFERROR(AVERAGE(K45,K75,K105),"")</f>
        <v>13.981382309315245</v>
      </c>
      <c r="L15" s="96">
        <f t="shared" si="3"/>
        <v>-9.0119844527855548</v>
      </c>
      <c r="M15" s="96">
        <f t="shared" si="4"/>
        <v>-1.1264980565981944</v>
      </c>
      <c r="N15" s="91"/>
    </row>
    <row r="16" spans="1:15" ht="13.2">
      <c r="A16" s="115" t="s">
        <v>122</v>
      </c>
      <c r="B16" s="92">
        <f t="shared" si="0"/>
        <v>0</v>
      </c>
      <c r="C16" s="91"/>
      <c r="D16" s="91"/>
      <c r="E16" s="95">
        <f t="shared" si="5"/>
        <v>3.8092000000000001</v>
      </c>
      <c r="F16" s="93" t="str">
        <f t="shared" ref="F16" si="20">IF(SUM(F46,F76,F106)=0,"",SUM(F46,F76,F106))</f>
        <v/>
      </c>
      <c r="G16" s="92" t="str">
        <f t="shared" si="1"/>
        <v/>
      </c>
      <c r="H16" s="94" t="str">
        <f t="shared" si="2"/>
        <v/>
      </c>
      <c r="I16" s="91"/>
      <c r="J16" s="93" t="str">
        <f t="shared" si="7"/>
        <v/>
      </c>
      <c r="K16" s="95" t="str">
        <f>IFERROR(AVERAGE(K46,K76,K106),"")</f>
        <v/>
      </c>
      <c r="L16" s="96" t="str">
        <f t="shared" si="3"/>
        <v/>
      </c>
      <c r="M16" s="96" t="str">
        <f t="shared" si="4"/>
        <v/>
      </c>
      <c r="N16" s="91"/>
    </row>
    <row r="17" spans="1:14" ht="13.2">
      <c r="A17" s="115" t="s">
        <v>76</v>
      </c>
      <c r="B17" s="92">
        <f t="shared" si="0"/>
        <v>0</v>
      </c>
      <c r="C17" s="91"/>
      <c r="D17" s="91"/>
      <c r="E17" s="95">
        <f t="shared" si="5"/>
        <v>76.246199999999988</v>
      </c>
      <c r="F17" s="93">
        <f t="shared" ref="F17" si="21">IF(SUM(F47,F77,F107)=0,"",SUM(F47,F77,F107))</f>
        <v>135</v>
      </c>
      <c r="G17" s="92">
        <f t="shared" si="1"/>
        <v>-135</v>
      </c>
      <c r="H17" s="94" t="str">
        <f t="shared" si="2"/>
        <v/>
      </c>
      <c r="I17" s="91"/>
      <c r="J17" s="93">
        <f t="shared" si="7"/>
        <v>756</v>
      </c>
      <c r="K17" s="95">
        <f t="shared" si="8"/>
        <v>1.7705800420217666</v>
      </c>
      <c r="L17" s="96">
        <f t="shared" si="3"/>
        <v>-76.246199999999988</v>
      </c>
      <c r="M17" s="96">
        <f t="shared" si="4"/>
        <v>-9.5307749999999984</v>
      </c>
      <c r="N17" s="91"/>
    </row>
    <row r="18" spans="1:14" ht="13.2">
      <c r="A18" s="115" t="s">
        <v>58</v>
      </c>
      <c r="B18" s="92">
        <f t="shared" si="0"/>
        <v>0</v>
      </c>
      <c r="C18" s="91"/>
      <c r="D18" s="91"/>
      <c r="E18" s="95">
        <f t="shared" si="5"/>
        <v>3.9327999999999999</v>
      </c>
      <c r="F18" s="93">
        <f t="shared" ref="F18" si="22">IF(SUM(F48,F78,F108)=0,"",SUM(F48,F78,F108))</f>
        <v>38</v>
      </c>
      <c r="G18" s="92">
        <f t="shared" si="1"/>
        <v>-38</v>
      </c>
      <c r="H18" s="94" t="str">
        <f t="shared" si="2"/>
        <v/>
      </c>
      <c r="I18" s="91"/>
      <c r="J18" s="93">
        <f t="shared" si="7"/>
        <v>31</v>
      </c>
      <c r="K18" s="95">
        <f t="shared" si="8"/>
        <v>9.6623270951993501</v>
      </c>
      <c r="L18" s="96">
        <f t="shared" si="3"/>
        <v>-3.9327999999999994</v>
      </c>
      <c r="M18" s="96">
        <f t="shared" si="4"/>
        <v>-0.49159999999999993</v>
      </c>
      <c r="N18" s="91"/>
    </row>
    <row r="19" spans="1:14" ht="13.2">
      <c r="A19" s="115" t="s">
        <v>284</v>
      </c>
      <c r="B19" s="92">
        <f t="shared" si="0"/>
        <v>0</v>
      </c>
      <c r="C19" s="91"/>
      <c r="D19" s="91"/>
      <c r="E19" s="95">
        <f t="shared" si="5"/>
        <v>9.1379999999999999</v>
      </c>
      <c r="F19" s="93">
        <f t="shared" ref="F19" si="23">IF(SUM(F49,F79,F109)=0,"",SUM(F49,F79,F109))</f>
        <v>139</v>
      </c>
      <c r="G19" s="92">
        <f t="shared" si="1"/>
        <v>-139</v>
      </c>
      <c r="H19" s="94" t="str">
        <f t="shared" si="2"/>
        <v/>
      </c>
      <c r="I19" s="91"/>
      <c r="J19" s="93">
        <f t="shared" si="7"/>
        <v>29</v>
      </c>
      <c r="K19" s="95">
        <f t="shared" si="8"/>
        <v>15.211205953162617</v>
      </c>
      <c r="L19" s="96">
        <f t="shared" si="3"/>
        <v>-9.1379999999999999</v>
      </c>
      <c r="M19" s="96">
        <f t="shared" si="4"/>
        <v>-1.14225</v>
      </c>
      <c r="N19" s="91"/>
    </row>
    <row r="20" spans="1:14" ht="13.2">
      <c r="A20" s="115" t="s">
        <v>49</v>
      </c>
      <c r="B20" s="92">
        <f t="shared" si="0"/>
        <v>0</v>
      </c>
      <c r="C20" s="91"/>
      <c r="D20" s="91"/>
      <c r="E20" s="95" t="str">
        <f t="shared" si="5"/>
        <v/>
      </c>
      <c r="F20" s="93" t="str">
        <f t="shared" ref="F20" si="24">IF(SUM(F50,F80,F110)=0,"",SUM(F50,F80,F110))</f>
        <v/>
      </c>
      <c r="G20" s="92" t="str">
        <f t="shared" si="1"/>
        <v/>
      </c>
      <c r="H20" s="94" t="str">
        <f t="shared" si="2"/>
        <v/>
      </c>
      <c r="I20" s="91"/>
      <c r="J20" s="93" t="str">
        <f t="shared" si="7"/>
        <v/>
      </c>
      <c r="K20" s="95" t="str">
        <f t="shared" si="8"/>
        <v/>
      </c>
      <c r="L20" s="96" t="str">
        <f t="shared" si="3"/>
        <v/>
      </c>
      <c r="M20" s="96" t="str">
        <f t="shared" si="4"/>
        <v/>
      </c>
      <c r="N20" s="91"/>
    </row>
    <row r="21" spans="1:14" ht="13.2">
      <c r="A21" s="115" t="s">
        <v>36</v>
      </c>
      <c r="B21" s="92">
        <f t="shared" si="0"/>
        <v>0</v>
      </c>
      <c r="C21" s="91"/>
      <c r="D21" s="91"/>
      <c r="E21" s="95" t="str">
        <f t="shared" si="5"/>
        <v/>
      </c>
      <c r="F21" s="93" t="str">
        <f t="shared" ref="F21" si="25">IF(SUM(F51,F81,F111)=0,"",SUM(F51,F81,F111))</f>
        <v/>
      </c>
      <c r="G21" s="92" t="str">
        <f t="shared" si="1"/>
        <v/>
      </c>
      <c r="H21" s="94" t="str">
        <f t="shared" si="2"/>
        <v/>
      </c>
      <c r="I21" s="91"/>
      <c r="J21" s="93" t="str">
        <f t="shared" si="7"/>
        <v/>
      </c>
      <c r="K21" s="95" t="str">
        <f t="shared" si="8"/>
        <v/>
      </c>
      <c r="L21" s="96" t="str">
        <f t="shared" si="3"/>
        <v/>
      </c>
      <c r="M21" s="96" t="str">
        <f t="shared" si="4"/>
        <v/>
      </c>
      <c r="N21" s="91"/>
    </row>
    <row r="22" spans="1:14" ht="13.2">
      <c r="A22" s="115" t="s">
        <v>50</v>
      </c>
      <c r="B22" s="92">
        <f t="shared" si="0"/>
        <v>0</v>
      </c>
      <c r="C22" s="91"/>
      <c r="D22" s="91"/>
      <c r="E22" s="95">
        <f t="shared" si="5"/>
        <v>3.2728000000000002</v>
      </c>
      <c r="F22" s="93">
        <f t="shared" ref="F22" si="26">IF(SUM(F52,F82,F112)=0,"",SUM(F52,F82,F112))</f>
        <v>8</v>
      </c>
      <c r="G22" s="92">
        <f t="shared" si="1"/>
        <v>-8</v>
      </c>
      <c r="H22" s="94" t="str">
        <f t="shared" si="2"/>
        <v/>
      </c>
      <c r="I22" s="91"/>
      <c r="J22" s="93">
        <f t="shared" si="7"/>
        <v>40</v>
      </c>
      <c r="K22" s="95">
        <f t="shared" si="8"/>
        <v>2.4443901246638964</v>
      </c>
      <c r="L22" s="96">
        <f t="shared" si="3"/>
        <v>-3.2728000000000002</v>
      </c>
      <c r="M22" s="96">
        <f t="shared" si="4"/>
        <v>-0.40910000000000002</v>
      </c>
      <c r="N22" s="91"/>
    </row>
    <row r="23" spans="1:14" ht="13.2">
      <c r="A23" s="115" t="s">
        <v>285</v>
      </c>
      <c r="B23" s="92">
        <f t="shared" si="0"/>
        <v>0</v>
      </c>
      <c r="C23" s="91"/>
      <c r="D23" s="91"/>
      <c r="E23" s="95" t="str">
        <f t="shared" si="5"/>
        <v/>
      </c>
      <c r="F23" s="93" t="str">
        <f t="shared" ref="F23" si="27">IF(SUM(F53,F83,F113)=0,"",SUM(F53,F83,F113))</f>
        <v/>
      </c>
      <c r="G23" s="92" t="str">
        <f t="shared" si="1"/>
        <v/>
      </c>
      <c r="H23" s="94" t="str">
        <f t="shared" si="2"/>
        <v/>
      </c>
      <c r="I23" s="91"/>
      <c r="J23" s="93" t="str">
        <f t="shared" si="7"/>
        <v/>
      </c>
      <c r="K23" s="95" t="str">
        <f t="shared" si="8"/>
        <v/>
      </c>
      <c r="L23" s="96" t="str">
        <f t="shared" si="3"/>
        <v/>
      </c>
      <c r="M23" s="96" t="str">
        <f t="shared" si="4"/>
        <v/>
      </c>
      <c r="N23" s="91"/>
    </row>
    <row r="24" spans="1:14" ht="13.2">
      <c r="A24" s="115" t="s">
        <v>124</v>
      </c>
      <c r="B24" s="92">
        <f t="shared" si="0"/>
        <v>0</v>
      </c>
      <c r="C24" s="91"/>
      <c r="D24" s="91"/>
      <c r="E24" s="95" t="str">
        <f t="shared" si="5"/>
        <v/>
      </c>
      <c r="F24" s="93" t="str">
        <f t="shared" ref="F24" si="28">IF(SUM(F54,F84,F114)=0,"",SUM(F54,F84,F114))</f>
        <v/>
      </c>
      <c r="G24" s="92" t="str">
        <f t="shared" si="1"/>
        <v/>
      </c>
      <c r="H24" s="94" t="str">
        <f t="shared" si="2"/>
        <v/>
      </c>
      <c r="I24" s="91"/>
      <c r="J24" s="93" t="str">
        <f t="shared" si="7"/>
        <v/>
      </c>
      <c r="K24" s="95" t="str">
        <f t="shared" si="8"/>
        <v/>
      </c>
      <c r="L24" s="96" t="str">
        <f t="shared" si="3"/>
        <v/>
      </c>
      <c r="M24" s="96" t="str">
        <f t="shared" si="4"/>
        <v/>
      </c>
      <c r="N24" s="91"/>
    </row>
    <row r="25" spans="1:14" ht="13.2">
      <c r="A25" s="115" t="s">
        <v>286</v>
      </c>
      <c r="B25" s="92">
        <f t="shared" si="0"/>
        <v>0</v>
      </c>
      <c r="C25" s="91"/>
      <c r="D25" s="91"/>
      <c r="E25" s="95" t="str">
        <f t="shared" si="5"/>
        <v/>
      </c>
      <c r="F25" s="93" t="str">
        <f t="shared" ref="F25" si="29">IF(SUM(F55,F85,F115)=0,"",SUM(F55,F85,F115))</f>
        <v/>
      </c>
      <c r="G25" s="92" t="str">
        <f t="shared" si="1"/>
        <v/>
      </c>
      <c r="H25" s="94" t="str">
        <f t="shared" si="2"/>
        <v/>
      </c>
      <c r="I25" s="91"/>
      <c r="J25" s="93" t="str">
        <f t="shared" si="7"/>
        <v/>
      </c>
      <c r="K25" s="95" t="str">
        <f t="shared" si="8"/>
        <v/>
      </c>
      <c r="L25" s="96" t="str">
        <f t="shared" si="3"/>
        <v/>
      </c>
      <c r="M25" s="96" t="str">
        <f t="shared" si="4"/>
        <v/>
      </c>
      <c r="N25" s="91"/>
    </row>
    <row r="26" spans="1:14" ht="13.2">
      <c r="A26" s="115" t="s">
        <v>133</v>
      </c>
      <c r="B26" s="92">
        <f t="shared" si="0"/>
        <v>0</v>
      </c>
      <c r="C26" s="91"/>
      <c r="D26" s="91"/>
      <c r="E26" s="95" t="str">
        <f t="shared" si="5"/>
        <v/>
      </c>
      <c r="F26" s="93" t="str">
        <f>IF(SUM(F56,F86,F116)=0,"",SUM(F56,F86,F116))</f>
        <v/>
      </c>
      <c r="G26" s="92" t="str">
        <f t="shared" si="1"/>
        <v/>
      </c>
      <c r="H26" s="94" t="str">
        <f t="shared" si="2"/>
        <v/>
      </c>
      <c r="I26" s="91"/>
      <c r="J26" s="93" t="str">
        <f t="shared" si="7"/>
        <v/>
      </c>
      <c r="K26" s="95" t="str">
        <f t="shared" si="8"/>
        <v/>
      </c>
      <c r="L26" s="96" t="str">
        <f t="shared" si="3"/>
        <v/>
      </c>
      <c r="M26" s="96" t="str">
        <f t="shared" si="4"/>
        <v/>
      </c>
      <c r="N26" s="91"/>
    </row>
    <row r="27" spans="1:14" ht="13.2">
      <c r="A27" s="115" t="s">
        <v>130</v>
      </c>
      <c r="B27" s="92">
        <f t="shared" ref="B27" si="30">C27*I27*8</f>
        <v>0</v>
      </c>
      <c r="C27" s="91"/>
      <c r="D27" s="91"/>
      <c r="E27" s="95" t="str">
        <f t="shared" si="5"/>
        <v/>
      </c>
      <c r="F27" s="93" t="str">
        <f>IF(SUM(F57,F87,F117)=0,"",SUM(F57,F87,F117))</f>
        <v/>
      </c>
      <c r="G27" s="92" t="str">
        <f t="shared" ref="G27" si="31">IFERROR(B27-F27,"")</f>
        <v/>
      </c>
      <c r="H27" s="94" t="str">
        <f t="shared" ref="H27" si="32">IFERROR(F27/B27,"")</f>
        <v/>
      </c>
      <c r="I27" s="91"/>
      <c r="J27" s="93" t="str">
        <f t="shared" si="7"/>
        <v/>
      </c>
      <c r="K27" s="95" t="str">
        <f t="shared" si="8"/>
        <v/>
      </c>
      <c r="L27" s="96" t="str">
        <f t="shared" ref="L27" si="33">IFERROR(G27/K27,"")</f>
        <v/>
      </c>
      <c r="M27" s="96" t="str">
        <f t="shared" ref="M27" si="34">IFERROR(L27/8,"")</f>
        <v/>
      </c>
      <c r="N27" s="91"/>
    </row>
    <row r="28" spans="1:14" ht="13.2">
      <c r="A28" s="115"/>
      <c r="B28" s="92"/>
      <c r="C28" s="91"/>
      <c r="D28" s="91"/>
      <c r="E28" s="95"/>
      <c r="F28" s="93"/>
      <c r="G28" s="92"/>
      <c r="H28" s="94"/>
      <c r="I28" s="91"/>
      <c r="J28" s="93" t="str">
        <f t="shared" si="7"/>
        <v/>
      </c>
      <c r="K28" s="95" t="str">
        <f t="shared" si="8"/>
        <v/>
      </c>
      <c r="L28" s="96"/>
      <c r="M28" s="96"/>
      <c r="N28" s="91"/>
    </row>
    <row r="29" spans="1:14" ht="13.2">
      <c r="A29" s="116" t="s">
        <v>287</v>
      </c>
      <c r="B29" s="92" t="e">
        <f t="shared" si="0"/>
        <v>#VALUE!</v>
      </c>
      <c r="C29" s="97">
        <f>SUM(C3:C26)</f>
        <v>0</v>
      </c>
      <c r="D29" s="97"/>
      <c r="E29" s="99">
        <f>IF(SUM(E59,E89,E119)=0,"",SUM(E59,E89,E119))</f>
        <v>459.06630000000007</v>
      </c>
      <c r="F29" s="98">
        <f t="shared" ref="F29" si="35">IF(SUM(F59,F89,F119)=0,"",SUM(F59,F89,F119))</f>
        <v>3643</v>
      </c>
      <c r="G29" s="92" t="str">
        <f t="shared" si="1"/>
        <v/>
      </c>
      <c r="H29" s="94" t="str">
        <f t="shared" si="2"/>
        <v/>
      </c>
      <c r="I29" s="97" t="str">
        <f>IFERROR(AVERAGE(I3:I26),"")</f>
        <v/>
      </c>
      <c r="J29" s="98">
        <f t="shared" si="7"/>
        <v>2230</v>
      </c>
      <c r="K29" s="99">
        <f>IFERROR(AVERAGE(K59,K89,K119),"")</f>
        <v>11.334202922369419</v>
      </c>
      <c r="L29" s="96" t="str">
        <f t="shared" si="3"/>
        <v/>
      </c>
      <c r="M29" s="96" t="str">
        <f t="shared" si="4"/>
        <v/>
      </c>
      <c r="N29" s="91"/>
    </row>
    <row r="30" spans="1:14" ht="13.2">
      <c r="A30" s="104"/>
      <c r="B30" s="100"/>
      <c r="C30" s="100"/>
      <c r="D30" s="100"/>
      <c r="E30" s="107"/>
      <c r="F30" s="100"/>
      <c r="G30" s="100"/>
      <c r="H30" s="100"/>
      <c r="I30" s="100"/>
      <c r="J30" s="100"/>
      <c r="K30" s="100"/>
      <c r="L30" s="100"/>
      <c r="M30" s="100"/>
      <c r="N30" s="100"/>
    </row>
    <row r="31" spans="1:14" ht="15.75" customHeight="1">
      <c r="A31" s="129" t="s">
        <v>178</v>
      </c>
      <c r="B31" s="130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</row>
    <row r="32" spans="1:14" ht="13.2">
      <c r="A32" s="101" t="s">
        <v>267</v>
      </c>
      <c r="B32" s="101" t="s">
        <v>268</v>
      </c>
      <c r="C32" s="101" t="s">
        <v>269</v>
      </c>
      <c r="D32" s="102" t="s">
        <v>270</v>
      </c>
      <c r="E32" s="106" t="s">
        <v>271</v>
      </c>
      <c r="F32" s="101" t="s">
        <v>272</v>
      </c>
      <c r="G32" s="101" t="s">
        <v>273</v>
      </c>
      <c r="H32" s="101" t="s">
        <v>274</v>
      </c>
      <c r="I32" s="101" t="s">
        <v>275</v>
      </c>
      <c r="J32" s="101" t="s">
        <v>148</v>
      </c>
      <c r="K32" s="101" t="s">
        <v>289</v>
      </c>
      <c r="L32" s="103" t="s">
        <v>277</v>
      </c>
      <c r="M32" s="103" t="s">
        <v>278</v>
      </c>
      <c r="N32" s="101" t="s">
        <v>279</v>
      </c>
    </row>
    <row r="33" spans="1:14" ht="13.2">
      <c r="A33" s="115" t="s">
        <v>30</v>
      </c>
      <c r="B33" s="92">
        <f t="shared" ref="B33:B59" si="36">C33*I33*8</f>
        <v>0</v>
      </c>
      <c r="C33" s="91"/>
      <c r="D33" s="91"/>
      <c r="E33" s="95">
        <f>Pivots!C2</f>
        <v>2.2755999999999998</v>
      </c>
      <c r="F33" s="132">
        <f>Pivots!D2</f>
        <v>29</v>
      </c>
      <c r="G33" s="92">
        <f t="shared" ref="G33:G59" si="37">IFERROR(B33-F33,"")</f>
        <v>-29</v>
      </c>
      <c r="H33" s="94" t="str">
        <f t="shared" ref="H33:H59" si="38">IFERROR(F33/B33,"")</f>
        <v/>
      </c>
      <c r="I33" s="91"/>
      <c r="J33" s="133">
        <f>Pivots!E2</f>
        <v>12</v>
      </c>
      <c r="K33" s="95">
        <f>IFERROR(F33/E33,"")</f>
        <v>12.743891720864827</v>
      </c>
      <c r="L33" s="95">
        <f>IFERROR(G33/F33,"")</f>
        <v>-1</v>
      </c>
      <c r="M33" s="95" t="str">
        <f>IFERROR(H33/G33,"")</f>
        <v/>
      </c>
      <c r="N33" s="95" t="str">
        <f>IFERROR(I33/H33,"")</f>
        <v/>
      </c>
    </row>
    <row r="34" spans="1:14" ht="13.2">
      <c r="A34" s="115" t="s">
        <v>32</v>
      </c>
      <c r="B34" s="92">
        <f t="shared" si="36"/>
        <v>0</v>
      </c>
      <c r="C34" s="91"/>
      <c r="D34" s="91"/>
      <c r="E34" s="95">
        <f>Pivots!C3</f>
        <v>34.3005</v>
      </c>
      <c r="F34" s="132">
        <f>Pivots!D3</f>
        <v>162</v>
      </c>
      <c r="G34" s="92">
        <f t="shared" si="37"/>
        <v>-162</v>
      </c>
      <c r="H34" s="94" t="str">
        <f t="shared" si="38"/>
        <v/>
      </c>
      <c r="I34" s="91"/>
      <c r="J34" s="133">
        <f>Pivots!E3</f>
        <v>41</v>
      </c>
      <c r="K34" s="95">
        <f t="shared" ref="K34:K58" si="39">IFERROR(F34/E34,"")</f>
        <v>4.7229632221104652</v>
      </c>
      <c r="L34" s="96">
        <f t="shared" ref="L34:L59" si="40">IFERROR(G34/K34,"")</f>
        <v>-34.3005</v>
      </c>
      <c r="M34" s="96">
        <f t="shared" ref="M34:M59" si="41">IFERROR(L34/8,"")</f>
        <v>-4.2875624999999999</v>
      </c>
      <c r="N34" s="91"/>
    </row>
    <row r="35" spans="1:14" ht="13.2">
      <c r="A35" s="115" t="s">
        <v>280</v>
      </c>
      <c r="B35" s="92">
        <f t="shared" si="36"/>
        <v>0</v>
      </c>
      <c r="C35" s="91"/>
      <c r="D35" s="91"/>
      <c r="E35" s="95" t="str">
        <f>Pivots!C4</f>
        <v/>
      </c>
      <c r="F35" s="132" t="str">
        <f>Pivots!D4</f>
        <v/>
      </c>
      <c r="G35" s="92" t="str">
        <f t="shared" si="37"/>
        <v/>
      </c>
      <c r="H35" s="94" t="str">
        <f t="shared" si="38"/>
        <v/>
      </c>
      <c r="I35" s="91"/>
      <c r="J35" s="133" t="str">
        <f>Pivots!E4</f>
        <v/>
      </c>
      <c r="K35" s="95" t="str">
        <f t="shared" si="39"/>
        <v/>
      </c>
      <c r="L35" s="96" t="str">
        <f t="shared" si="40"/>
        <v/>
      </c>
      <c r="M35" s="96" t="str">
        <f t="shared" si="41"/>
        <v/>
      </c>
      <c r="N35" s="91"/>
    </row>
    <row r="36" spans="1:14" ht="13.2">
      <c r="A36" s="115" t="s">
        <v>281</v>
      </c>
      <c r="B36" s="92">
        <f t="shared" si="36"/>
        <v>0</v>
      </c>
      <c r="C36" s="91"/>
      <c r="D36" s="91"/>
      <c r="E36" s="95">
        <f>Pivots!C5</f>
        <v>11.163799999999998</v>
      </c>
      <c r="F36" s="132">
        <f>Pivots!D5</f>
        <v>133</v>
      </c>
      <c r="G36" s="92">
        <f t="shared" si="37"/>
        <v>-133</v>
      </c>
      <c r="H36" s="94" t="str">
        <f t="shared" si="38"/>
        <v/>
      </c>
      <c r="I36" s="91"/>
      <c r="J36" s="133">
        <f>Pivots!E5</f>
        <v>15</v>
      </c>
      <c r="K36" s="95">
        <f t="shared" si="39"/>
        <v>11.913506153818593</v>
      </c>
      <c r="L36" s="96">
        <f t="shared" si="40"/>
        <v>-11.163799999999998</v>
      </c>
      <c r="M36" s="96">
        <f t="shared" si="41"/>
        <v>-1.3954749999999998</v>
      </c>
      <c r="N36" s="91"/>
    </row>
    <row r="37" spans="1:14" ht="13.2">
      <c r="A37" s="115" t="s">
        <v>26</v>
      </c>
      <c r="B37" s="92">
        <f t="shared" si="36"/>
        <v>0</v>
      </c>
      <c r="C37" s="91"/>
      <c r="D37" s="91"/>
      <c r="E37" s="95" t="str">
        <f>Pivots!C6</f>
        <v/>
      </c>
      <c r="F37" s="132" t="str">
        <f>Pivots!D6</f>
        <v/>
      </c>
      <c r="G37" s="92" t="str">
        <f t="shared" si="37"/>
        <v/>
      </c>
      <c r="H37" s="94" t="str">
        <f t="shared" si="38"/>
        <v/>
      </c>
      <c r="I37" s="91"/>
      <c r="J37" s="133" t="str">
        <f>Pivots!E6</f>
        <v/>
      </c>
      <c r="K37" s="95" t="str">
        <f t="shared" si="39"/>
        <v/>
      </c>
      <c r="L37" s="96" t="str">
        <f t="shared" si="40"/>
        <v/>
      </c>
      <c r="M37" s="96" t="str">
        <f t="shared" si="41"/>
        <v/>
      </c>
      <c r="N37" s="91"/>
    </row>
    <row r="38" spans="1:14" ht="13.2">
      <c r="A38" s="115" t="s">
        <v>88</v>
      </c>
      <c r="B38" s="92">
        <f t="shared" si="36"/>
        <v>0</v>
      </c>
      <c r="C38" s="91"/>
      <c r="D38" s="91"/>
      <c r="E38" s="95" t="str">
        <f>Pivots!C7</f>
        <v/>
      </c>
      <c r="F38" s="132" t="str">
        <f>Pivots!D7</f>
        <v/>
      </c>
      <c r="G38" s="92" t="str">
        <f t="shared" si="37"/>
        <v/>
      </c>
      <c r="H38" s="94" t="str">
        <f t="shared" si="38"/>
        <v/>
      </c>
      <c r="I38" s="91"/>
      <c r="J38" s="133" t="str">
        <f>Pivots!E7</f>
        <v/>
      </c>
      <c r="K38" s="95" t="str">
        <f t="shared" si="39"/>
        <v/>
      </c>
      <c r="L38" s="96" t="str">
        <f t="shared" si="40"/>
        <v/>
      </c>
      <c r="M38" s="96" t="str">
        <f t="shared" si="41"/>
        <v/>
      </c>
      <c r="N38" s="91"/>
    </row>
    <row r="39" spans="1:14" ht="13.2">
      <c r="A39" s="115" t="s">
        <v>282</v>
      </c>
      <c r="B39" s="92">
        <f t="shared" si="36"/>
        <v>0</v>
      </c>
      <c r="C39" s="91"/>
      <c r="D39" s="91"/>
      <c r="E39" s="95" t="str">
        <f>Pivots!C8</f>
        <v/>
      </c>
      <c r="F39" s="132" t="str">
        <f>Pivots!D8</f>
        <v/>
      </c>
      <c r="G39" s="92" t="str">
        <f t="shared" si="37"/>
        <v/>
      </c>
      <c r="H39" s="94" t="str">
        <f t="shared" si="38"/>
        <v/>
      </c>
      <c r="I39" s="91"/>
      <c r="J39" s="133" t="str">
        <f>Pivots!E8</f>
        <v/>
      </c>
      <c r="K39" s="95" t="str">
        <f t="shared" si="39"/>
        <v/>
      </c>
      <c r="L39" s="96" t="str">
        <f t="shared" si="40"/>
        <v/>
      </c>
      <c r="M39" s="96" t="str">
        <f t="shared" si="41"/>
        <v/>
      </c>
      <c r="N39" s="91"/>
    </row>
    <row r="40" spans="1:14" ht="13.2">
      <c r="A40" s="115" t="s">
        <v>43</v>
      </c>
      <c r="B40" s="92">
        <f t="shared" si="36"/>
        <v>0</v>
      </c>
      <c r="C40" s="91"/>
      <c r="D40" s="91"/>
      <c r="E40" s="95">
        <f>Pivots!C9</f>
        <v>6.6852</v>
      </c>
      <c r="F40" s="132">
        <f>Pivots!D9</f>
        <v>165</v>
      </c>
      <c r="G40" s="92">
        <f t="shared" si="37"/>
        <v>-165</v>
      </c>
      <c r="H40" s="94" t="str">
        <f t="shared" si="38"/>
        <v/>
      </c>
      <c r="I40" s="91"/>
      <c r="J40" s="133">
        <f>Pivots!E9</f>
        <v>107</v>
      </c>
      <c r="K40" s="95">
        <f t="shared" si="39"/>
        <v>24.681385747621611</v>
      </c>
      <c r="L40" s="96">
        <f t="shared" si="40"/>
        <v>-6.6852</v>
      </c>
      <c r="M40" s="96">
        <f t="shared" si="41"/>
        <v>-0.83565</v>
      </c>
      <c r="N40" s="91"/>
    </row>
    <row r="41" spans="1:14" ht="13.2">
      <c r="A41" s="115" t="s">
        <v>45</v>
      </c>
      <c r="B41" s="92">
        <f t="shared" si="36"/>
        <v>0</v>
      </c>
      <c r="C41" s="91"/>
      <c r="D41" s="91"/>
      <c r="E41" s="95" t="str">
        <f>Pivots!C10</f>
        <v/>
      </c>
      <c r="F41" s="132" t="str">
        <f>Pivots!D10</f>
        <v/>
      </c>
      <c r="G41" s="92" t="str">
        <f t="shared" si="37"/>
        <v/>
      </c>
      <c r="H41" s="94" t="str">
        <f t="shared" si="38"/>
        <v/>
      </c>
      <c r="I41" s="91"/>
      <c r="J41" s="133" t="str">
        <f>Pivots!E10</f>
        <v/>
      </c>
      <c r="K41" s="95" t="str">
        <f t="shared" si="39"/>
        <v/>
      </c>
      <c r="L41" s="96" t="str">
        <f t="shared" si="40"/>
        <v/>
      </c>
      <c r="M41" s="96" t="str">
        <f t="shared" si="41"/>
        <v/>
      </c>
      <c r="N41" s="91"/>
    </row>
    <row r="42" spans="1:14" ht="13.2">
      <c r="A42" s="115" t="s">
        <v>42</v>
      </c>
      <c r="B42" s="92">
        <f t="shared" si="36"/>
        <v>0</v>
      </c>
      <c r="C42" s="91"/>
      <c r="D42" s="91"/>
      <c r="E42" s="95" t="str">
        <f>Pivots!C11</f>
        <v/>
      </c>
      <c r="F42" s="132" t="str">
        <f>Pivots!D11</f>
        <v/>
      </c>
      <c r="G42" s="92" t="str">
        <f t="shared" si="37"/>
        <v/>
      </c>
      <c r="H42" s="94" t="str">
        <f t="shared" si="38"/>
        <v/>
      </c>
      <c r="I42" s="91"/>
      <c r="J42" s="133" t="str">
        <f>Pivots!E11</f>
        <v/>
      </c>
      <c r="K42" s="95" t="str">
        <f t="shared" si="39"/>
        <v/>
      </c>
      <c r="L42" s="96" t="str">
        <f t="shared" si="40"/>
        <v/>
      </c>
      <c r="M42" s="96" t="str">
        <f t="shared" si="41"/>
        <v/>
      </c>
      <c r="N42" s="91"/>
    </row>
    <row r="43" spans="1:14" ht="13.2">
      <c r="A43" s="115" t="s">
        <v>283</v>
      </c>
      <c r="B43" s="92">
        <f t="shared" si="36"/>
        <v>0</v>
      </c>
      <c r="C43" s="91"/>
      <c r="D43" s="91"/>
      <c r="E43" s="95">
        <f>Pivots!C12</f>
        <v>3.3831000000000002</v>
      </c>
      <c r="F43" s="132">
        <f>Pivots!D12</f>
        <v>22</v>
      </c>
      <c r="G43" s="92">
        <f t="shared" si="37"/>
        <v>-22</v>
      </c>
      <c r="H43" s="94" t="str">
        <f t="shared" si="38"/>
        <v/>
      </c>
      <c r="I43" s="91"/>
      <c r="J43" s="133">
        <f>Pivots!E12</f>
        <v>22</v>
      </c>
      <c r="K43" s="95">
        <f t="shared" si="39"/>
        <v>6.5029115308444911</v>
      </c>
      <c r="L43" s="96">
        <f t="shared" si="40"/>
        <v>-3.3831000000000002</v>
      </c>
      <c r="M43" s="96">
        <f t="shared" si="41"/>
        <v>-0.42288750000000003</v>
      </c>
      <c r="N43" s="91"/>
    </row>
    <row r="44" spans="1:14" ht="13.2">
      <c r="A44" s="115" t="s">
        <v>38</v>
      </c>
      <c r="B44" s="92">
        <f t="shared" si="36"/>
        <v>0</v>
      </c>
      <c r="C44" s="91"/>
      <c r="D44" s="91"/>
      <c r="E44" s="95" t="str">
        <f>Pivots!C13</f>
        <v/>
      </c>
      <c r="F44" s="132" t="str">
        <f>Pivots!D13</f>
        <v/>
      </c>
      <c r="G44" s="92" t="str">
        <f t="shared" si="37"/>
        <v/>
      </c>
      <c r="H44" s="94" t="str">
        <f t="shared" si="38"/>
        <v/>
      </c>
      <c r="I44" s="91"/>
      <c r="J44" s="133" t="str">
        <f>Pivots!E13</f>
        <v/>
      </c>
      <c r="K44" s="95" t="str">
        <f t="shared" si="39"/>
        <v/>
      </c>
      <c r="L44" s="96" t="str">
        <f t="shared" si="40"/>
        <v/>
      </c>
      <c r="M44" s="96" t="str">
        <f t="shared" si="41"/>
        <v/>
      </c>
      <c r="N44" s="91"/>
    </row>
    <row r="45" spans="1:14" ht="13.2">
      <c r="A45" s="115" t="s">
        <v>117</v>
      </c>
      <c r="B45" s="92">
        <f t="shared" si="36"/>
        <v>0</v>
      </c>
      <c r="C45" s="91"/>
      <c r="D45" s="91"/>
      <c r="E45" s="95">
        <f>Pivots!C14</f>
        <v>15.173300000000001</v>
      </c>
      <c r="F45" s="132">
        <f>Pivots!D14</f>
        <v>27</v>
      </c>
      <c r="G45" s="92">
        <f t="shared" si="37"/>
        <v>-27</v>
      </c>
      <c r="H45" s="94" t="str">
        <f t="shared" si="38"/>
        <v/>
      </c>
      <c r="I45" s="91"/>
      <c r="J45" s="133">
        <f>Pivots!E14</f>
        <v>234</v>
      </c>
      <c r="K45" s="95">
        <f>IFERROR(J45/E45,"")</f>
        <v>15.421826497861375</v>
      </c>
      <c r="L45" s="96">
        <f t="shared" si="40"/>
        <v>-1.7507653846153846</v>
      </c>
      <c r="M45" s="96">
        <f t="shared" si="41"/>
        <v>-0.21884567307692307</v>
      </c>
      <c r="N45" s="91"/>
    </row>
    <row r="46" spans="1:14" ht="13.2">
      <c r="A46" s="115" t="s">
        <v>122</v>
      </c>
      <c r="B46" s="92">
        <f t="shared" si="36"/>
        <v>0</v>
      </c>
      <c r="C46" s="91"/>
      <c r="D46" s="91"/>
      <c r="E46" s="95" t="str">
        <f>Pivots!C15</f>
        <v/>
      </c>
      <c r="F46" s="132" t="str">
        <f>Pivots!D15</f>
        <v/>
      </c>
      <c r="G46" s="92" t="str">
        <f t="shared" si="37"/>
        <v/>
      </c>
      <c r="H46" s="94" t="str">
        <f t="shared" si="38"/>
        <v/>
      </c>
      <c r="I46" s="91"/>
      <c r="J46" s="133" t="str">
        <f>Pivots!E15</f>
        <v/>
      </c>
      <c r="K46" s="95" t="str">
        <f>IFERROR(J46/E46,"")</f>
        <v/>
      </c>
      <c r="L46" s="96" t="str">
        <f t="shared" si="40"/>
        <v/>
      </c>
      <c r="M46" s="96" t="str">
        <f t="shared" si="41"/>
        <v/>
      </c>
      <c r="N46" s="91"/>
    </row>
    <row r="47" spans="1:14" ht="13.2">
      <c r="A47" s="115" t="s">
        <v>76</v>
      </c>
      <c r="B47" s="92">
        <f t="shared" si="36"/>
        <v>0</v>
      </c>
      <c r="C47" s="91"/>
      <c r="D47" s="91"/>
      <c r="E47" s="95">
        <f>Pivots!C16</f>
        <v>21.097299999999997</v>
      </c>
      <c r="F47" s="132">
        <f>Pivots!D16</f>
        <v>28</v>
      </c>
      <c r="G47" s="92">
        <f t="shared" si="37"/>
        <v>-28</v>
      </c>
      <c r="H47" s="94" t="str">
        <f t="shared" si="38"/>
        <v/>
      </c>
      <c r="I47" s="91"/>
      <c r="J47" s="133">
        <f>Pivots!E16</f>
        <v>239</v>
      </c>
      <c r="K47" s="95">
        <f t="shared" si="39"/>
        <v>1.3271840472477523</v>
      </c>
      <c r="L47" s="96">
        <f t="shared" si="40"/>
        <v>-21.097299999999997</v>
      </c>
      <c r="M47" s="96">
        <f t="shared" si="41"/>
        <v>-2.6371624999999996</v>
      </c>
      <c r="N47" s="91"/>
    </row>
    <row r="48" spans="1:14" ht="13.2">
      <c r="A48" s="115" t="s">
        <v>58</v>
      </c>
      <c r="B48" s="92">
        <f t="shared" si="36"/>
        <v>0</v>
      </c>
      <c r="C48" s="91"/>
      <c r="D48" s="91"/>
      <c r="E48" s="95">
        <f>Pivots!C17</f>
        <v>3.9327999999999999</v>
      </c>
      <c r="F48" s="132">
        <f>Pivots!D17</f>
        <v>38</v>
      </c>
      <c r="G48" s="92">
        <f t="shared" si="37"/>
        <v>-38</v>
      </c>
      <c r="H48" s="94" t="str">
        <f t="shared" si="38"/>
        <v/>
      </c>
      <c r="I48" s="91"/>
      <c r="J48" s="133">
        <f>Pivots!E17</f>
        <v>31</v>
      </c>
      <c r="K48" s="95">
        <f t="shared" si="39"/>
        <v>9.6623270951993501</v>
      </c>
      <c r="L48" s="96">
        <f t="shared" si="40"/>
        <v>-3.9327999999999994</v>
      </c>
      <c r="M48" s="96">
        <f t="shared" si="41"/>
        <v>-0.49159999999999993</v>
      </c>
      <c r="N48" s="91"/>
    </row>
    <row r="49" spans="1:14" ht="13.2">
      <c r="A49" s="115" t="s">
        <v>284</v>
      </c>
      <c r="B49" s="92">
        <f t="shared" si="36"/>
        <v>0</v>
      </c>
      <c r="C49" s="91"/>
      <c r="D49" s="91"/>
      <c r="E49" s="95">
        <f>Pivots!C18</f>
        <v>3.3519000000000001</v>
      </c>
      <c r="F49" s="132">
        <f>Pivots!D18</f>
        <v>54</v>
      </c>
      <c r="G49" s="92">
        <f t="shared" si="37"/>
        <v>-54</v>
      </c>
      <c r="H49" s="94" t="str">
        <f t="shared" si="38"/>
        <v/>
      </c>
      <c r="I49" s="91"/>
      <c r="J49" s="133">
        <f>Pivots!E18</f>
        <v>12</v>
      </c>
      <c r="K49" s="95">
        <f t="shared" si="39"/>
        <v>16.110265819386019</v>
      </c>
      <c r="L49" s="96">
        <f t="shared" si="40"/>
        <v>-3.3519000000000001</v>
      </c>
      <c r="M49" s="96">
        <f t="shared" si="41"/>
        <v>-0.41898750000000001</v>
      </c>
      <c r="N49" s="91"/>
    </row>
    <row r="50" spans="1:14" ht="13.2">
      <c r="A50" s="115" t="s">
        <v>49</v>
      </c>
      <c r="B50" s="92">
        <f t="shared" si="36"/>
        <v>0</v>
      </c>
      <c r="C50" s="91"/>
      <c r="D50" s="91"/>
      <c r="E50" s="95" t="str">
        <f>Pivots!C19</f>
        <v/>
      </c>
      <c r="F50" s="132" t="str">
        <f>Pivots!D19</f>
        <v/>
      </c>
      <c r="G50" s="92" t="str">
        <f t="shared" si="37"/>
        <v/>
      </c>
      <c r="H50" s="94" t="str">
        <f t="shared" si="38"/>
        <v/>
      </c>
      <c r="I50" s="91"/>
      <c r="J50" s="133" t="str">
        <f>Pivots!E19</f>
        <v/>
      </c>
      <c r="K50" s="95" t="str">
        <f t="shared" si="39"/>
        <v/>
      </c>
      <c r="L50" s="96" t="str">
        <f t="shared" si="40"/>
        <v/>
      </c>
      <c r="M50" s="96" t="str">
        <f t="shared" si="41"/>
        <v/>
      </c>
      <c r="N50" s="91"/>
    </row>
    <row r="51" spans="1:14" ht="13.2">
      <c r="A51" s="115" t="s">
        <v>36</v>
      </c>
      <c r="B51" s="92">
        <f t="shared" si="36"/>
        <v>0</v>
      </c>
      <c r="C51" s="91"/>
      <c r="D51" s="91"/>
      <c r="E51" s="95" t="str">
        <f>Pivots!C20</f>
        <v/>
      </c>
      <c r="F51" s="132" t="str">
        <f>Pivots!D20</f>
        <v/>
      </c>
      <c r="G51" s="92" t="str">
        <f t="shared" si="37"/>
        <v/>
      </c>
      <c r="H51" s="94" t="str">
        <f t="shared" si="38"/>
        <v/>
      </c>
      <c r="I51" s="91"/>
      <c r="J51" s="133" t="str">
        <f>Pivots!E20</f>
        <v/>
      </c>
      <c r="K51" s="95" t="str">
        <f t="shared" si="39"/>
        <v/>
      </c>
      <c r="L51" s="96" t="str">
        <f t="shared" si="40"/>
        <v/>
      </c>
      <c r="M51" s="96" t="str">
        <f t="shared" si="41"/>
        <v/>
      </c>
      <c r="N51" s="91"/>
    </row>
    <row r="52" spans="1:14" ht="13.2">
      <c r="A52" s="115" t="s">
        <v>50</v>
      </c>
      <c r="B52" s="92">
        <f t="shared" si="36"/>
        <v>0</v>
      </c>
      <c r="C52" s="91"/>
      <c r="D52" s="91"/>
      <c r="E52" s="95" t="str">
        <f>Pivots!C21</f>
        <v/>
      </c>
      <c r="F52" s="132" t="str">
        <f>Pivots!D21</f>
        <v/>
      </c>
      <c r="G52" s="92" t="str">
        <f t="shared" si="37"/>
        <v/>
      </c>
      <c r="H52" s="94" t="str">
        <f t="shared" si="38"/>
        <v/>
      </c>
      <c r="I52" s="91"/>
      <c r="J52" s="133" t="str">
        <f>Pivots!E21</f>
        <v/>
      </c>
      <c r="K52" s="95" t="str">
        <f t="shared" si="39"/>
        <v/>
      </c>
      <c r="L52" s="96" t="str">
        <f t="shared" si="40"/>
        <v/>
      </c>
      <c r="M52" s="96" t="str">
        <f t="shared" si="41"/>
        <v/>
      </c>
      <c r="N52" s="91"/>
    </row>
    <row r="53" spans="1:14" ht="13.2">
      <c r="A53" s="115" t="s">
        <v>285</v>
      </c>
      <c r="B53" s="92">
        <f t="shared" si="36"/>
        <v>0</v>
      </c>
      <c r="C53" s="91"/>
      <c r="D53" s="91"/>
      <c r="E53" s="95" t="str">
        <f>Pivots!C22</f>
        <v/>
      </c>
      <c r="F53" s="132" t="str">
        <f>Pivots!D22</f>
        <v/>
      </c>
      <c r="G53" s="92" t="str">
        <f t="shared" si="37"/>
        <v/>
      </c>
      <c r="H53" s="94" t="str">
        <f t="shared" si="38"/>
        <v/>
      </c>
      <c r="I53" s="91"/>
      <c r="J53" s="133" t="str">
        <f>Pivots!E22</f>
        <v/>
      </c>
      <c r="K53" s="95" t="str">
        <f t="shared" si="39"/>
        <v/>
      </c>
      <c r="L53" s="96" t="str">
        <f t="shared" si="40"/>
        <v/>
      </c>
      <c r="M53" s="96" t="str">
        <f t="shared" si="41"/>
        <v/>
      </c>
      <c r="N53" s="91"/>
    </row>
    <row r="54" spans="1:14" ht="13.2">
      <c r="A54" s="115" t="s">
        <v>124</v>
      </c>
      <c r="B54" s="92">
        <f t="shared" si="36"/>
        <v>0</v>
      </c>
      <c r="C54" s="91"/>
      <c r="D54" s="91"/>
      <c r="E54" s="95" t="str">
        <f>Pivots!C23</f>
        <v/>
      </c>
      <c r="F54" s="132" t="str">
        <f>Pivots!D23</f>
        <v/>
      </c>
      <c r="G54" s="92" t="str">
        <f t="shared" si="37"/>
        <v/>
      </c>
      <c r="H54" s="94" t="str">
        <f t="shared" si="38"/>
        <v/>
      </c>
      <c r="I54" s="91"/>
      <c r="J54" s="133" t="str">
        <f>Pivots!E23</f>
        <v/>
      </c>
      <c r="K54" s="95" t="str">
        <f t="shared" si="39"/>
        <v/>
      </c>
      <c r="L54" s="96" t="str">
        <f t="shared" si="40"/>
        <v/>
      </c>
      <c r="M54" s="96" t="str">
        <f t="shared" si="41"/>
        <v/>
      </c>
      <c r="N54" s="91"/>
    </row>
    <row r="55" spans="1:14" ht="13.2">
      <c r="A55" s="115" t="s">
        <v>286</v>
      </c>
      <c r="B55" s="92">
        <f t="shared" si="36"/>
        <v>0</v>
      </c>
      <c r="C55" s="91"/>
      <c r="D55" s="91"/>
      <c r="E55" s="95" t="str">
        <f>Pivots!C24</f>
        <v/>
      </c>
      <c r="F55" s="132" t="str">
        <f>Pivots!D24</f>
        <v/>
      </c>
      <c r="G55" s="92" t="str">
        <f t="shared" si="37"/>
        <v/>
      </c>
      <c r="H55" s="94" t="str">
        <f t="shared" si="38"/>
        <v/>
      </c>
      <c r="I55" s="91"/>
      <c r="J55" s="133" t="str">
        <f>Pivots!E24</f>
        <v/>
      </c>
      <c r="K55" s="95" t="str">
        <f t="shared" si="39"/>
        <v/>
      </c>
      <c r="L55" s="96" t="str">
        <f t="shared" si="40"/>
        <v/>
      </c>
      <c r="M55" s="96" t="str">
        <f t="shared" si="41"/>
        <v/>
      </c>
      <c r="N55" s="91"/>
    </row>
    <row r="56" spans="1:14" ht="13.2">
      <c r="A56" s="115" t="s">
        <v>133</v>
      </c>
      <c r="B56" s="92">
        <f t="shared" si="36"/>
        <v>0</v>
      </c>
      <c r="C56" s="91"/>
      <c r="D56" s="91"/>
      <c r="E56" s="95" t="str">
        <f>Pivots!C25</f>
        <v/>
      </c>
      <c r="F56" s="132" t="str">
        <f>Pivots!D25</f>
        <v/>
      </c>
      <c r="G56" s="92" t="str">
        <f t="shared" si="37"/>
        <v/>
      </c>
      <c r="H56" s="94" t="str">
        <f t="shared" si="38"/>
        <v/>
      </c>
      <c r="I56" s="91"/>
      <c r="J56" s="133" t="str">
        <f>Pivots!E25</f>
        <v/>
      </c>
      <c r="K56" s="95" t="str">
        <f t="shared" si="39"/>
        <v/>
      </c>
      <c r="L56" s="96" t="str">
        <f t="shared" si="40"/>
        <v/>
      </c>
      <c r="M56" s="96" t="str">
        <f t="shared" si="41"/>
        <v/>
      </c>
      <c r="N56" s="91"/>
    </row>
    <row r="57" spans="1:14" ht="13.2">
      <c r="A57" s="115" t="s">
        <v>130</v>
      </c>
      <c r="B57" s="92"/>
      <c r="C57" s="91"/>
      <c r="D57" s="91"/>
      <c r="E57" s="95" t="str">
        <f>Pivots!C26</f>
        <v/>
      </c>
      <c r="F57" s="132" t="str">
        <f>Pivots!D26</f>
        <v/>
      </c>
      <c r="G57" s="92"/>
      <c r="H57" s="94"/>
      <c r="I57" s="91"/>
      <c r="J57" s="133" t="str">
        <f>Pivots!E26</f>
        <v/>
      </c>
      <c r="K57" s="95" t="str">
        <f t="shared" si="39"/>
        <v/>
      </c>
      <c r="L57" s="96"/>
      <c r="M57" s="96"/>
      <c r="N57" s="91"/>
    </row>
    <row r="58" spans="1:14" ht="13.2">
      <c r="A58" s="115"/>
      <c r="B58" s="92"/>
      <c r="C58" s="91"/>
      <c r="D58" s="91"/>
      <c r="E58" s="95" t="str">
        <f>Pivots!C27</f>
        <v/>
      </c>
      <c r="F58" s="132" t="str">
        <f>Pivots!D27</f>
        <v/>
      </c>
      <c r="G58" s="92"/>
      <c r="H58" s="94"/>
      <c r="I58" s="91"/>
      <c r="J58" s="133" t="str">
        <f>Pivots!E27</f>
        <v/>
      </c>
      <c r="K58" s="95" t="str">
        <f t="shared" si="39"/>
        <v/>
      </c>
      <c r="L58" s="96"/>
      <c r="M58" s="96"/>
      <c r="N58" s="91"/>
    </row>
    <row r="59" spans="1:14" ht="13.2">
      <c r="A59" s="116" t="s">
        <v>287</v>
      </c>
      <c r="B59" s="92" t="e">
        <f t="shared" si="36"/>
        <v>#VALUE!</v>
      </c>
      <c r="C59" s="97">
        <f>SUM(C33:C56)</f>
        <v>0</v>
      </c>
      <c r="D59" s="97"/>
      <c r="E59" s="99">
        <f>SUM(E33:E58)</f>
        <v>101.3635</v>
      </c>
      <c r="F59" s="98">
        <f>SUM(F33:F58)</f>
        <v>658</v>
      </c>
      <c r="G59" s="92" t="str">
        <f t="shared" si="37"/>
        <v/>
      </c>
      <c r="H59" s="94" t="str">
        <f t="shared" si="38"/>
        <v/>
      </c>
      <c r="I59" s="97" t="str">
        <f>IFERROR(AVERAGE(I33:I56),"")</f>
        <v/>
      </c>
      <c r="J59" s="97">
        <f>SUM(J33:J58)</f>
        <v>713</v>
      </c>
      <c r="K59" s="99">
        <f>IFERROR(AVERAGE(K33:K58),"")</f>
        <v>11.45402909277272</v>
      </c>
      <c r="L59" s="96" t="str">
        <f t="shared" si="40"/>
        <v/>
      </c>
      <c r="M59" s="96" t="str">
        <f t="shared" si="41"/>
        <v/>
      </c>
      <c r="N59" s="91"/>
    </row>
    <row r="60" spans="1:14" ht="15.75" customHeight="1">
      <c r="A60" s="104"/>
      <c r="B60" s="100"/>
      <c r="C60" s="100"/>
      <c r="D60" s="100"/>
      <c r="E60" s="107"/>
      <c r="F60" s="100"/>
      <c r="G60" s="100"/>
      <c r="H60" s="100"/>
      <c r="I60" s="100"/>
      <c r="J60" s="100"/>
      <c r="K60" s="100"/>
      <c r="L60" s="100"/>
      <c r="M60" s="100"/>
      <c r="N60" s="100"/>
    </row>
    <row r="61" spans="1:14" ht="15.75" customHeight="1">
      <c r="A61" s="129" t="s">
        <v>182</v>
      </c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</row>
    <row r="62" spans="1:14" ht="13.2">
      <c r="A62" s="101" t="s">
        <v>267</v>
      </c>
      <c r="B62" s="101" t="s">
        <v>268</v>
      </c>
      <c r="C62" s="101" t="s">
        <v>288</v>
      </c>
      <c r="D62" s="101"/>
      <c r="E62" s="106" t="s">
        <v>271</v>
      </c>
      <c r="F62" s="101" t="s">
        <v>272</v>
      </c>
      <c r="G62" s="101" t="s">
        <v>273</v>
      </c>
      <c r="H62" s="101" t="s">
        <v>274</v>
      </c>
      <c r="I62" s="101" t="s">
        <v>275</v>
      </c>
      <c r="J62" s="101" t="s">
        <v>148</v>
      </c>
      <c r="K62" s="101" t="s">
        <v>289</v>
      </c>
      <c r="L62" s="103" t="s">
        <v>277</v>
      </c>
      <c r="M62" s="103" t="s">
        <v>278</v>
      </c>
      <c r="N62" s="101" t="s">
        <v>279</v>
      </c>
    </row>
    <row r="63" spans="1:14" ht="13.2">
      <c r="A63" s="115" t="s">
        <v>30</v>
      </c>
      <c r="B63" s="92">
        <f t="shared" ref="B63:B89" si="42">C63*I63*8</f>
        <v>0</v>
      </c>
      <c r="C63" s="91"/>
      <c r="D63" s="91"/>
      <c r="E63" s="95">
        <f>Pivots!I2</f>
        <v>0.73970000000000002</v>
      </c>
      <c r="F63" s="132">
        <f>Pivots!J2</f>
        <v>9</v>
      </c>
      <c r="G63" s="92">
        <f t="shared" ref="G63:G89" si="43">IFERROR(B63-F63,"")</f>
        <v>-9</v>
      </c>
      <c r="H63" s="94" t="str">
        <f t="shared" ref="H63:H89" si="44">IFERROR(F63/B63,"")</f>
        <v/>
      </c>
      <c r="I63" s="91"/>
      <c r="J63" s="133">
        <f>Pivots!K2</f>
        <v>5</v>
      </c>
      <c r="K63" s="95">
        <f>IFERROR(F63/E63,"")</f>
        <v>12.16709476814925</v>
      </c>
      <c r="L63" s="96">
        <f t="shared" ref="L63:L89" si="45">IFERROR(G63/K63,"")</f>
        <v>-0.73970000000000002</v>
      </c>
      <c r="M63" s="96">
        <f t="shared" ref="M63:M89" si="46">IFERROR(L63/8,"")</f>
        <v>-9.2462500000000003E-2</v>
      </c>
      <c r="N63" s="91"/>
    </row>
    <row r="64" spans="1:14" ht="13.2">
      <c r="A64" s="115" t="s">
        <v>32</v>
      </c>
      <c r="B64" s="92">
        <f t="shared" si="42"/>
        <v>0</v>
      </c>
      <c r="C64" s="91"/>
      <c r="D64" s="91"/>
      <c r="E64" s="95" t="str">
        <f>Pivots!I3</f>
        <v/>
      </c>
      <c r="F64" s="132" t="str">
        <f>Pivots!J3</f>
        <v/>
      </c>
      <c r="G64" s="92" t="str">
        <f t="shared" si="43"/>
        <v/>
      </c>
      <c r="H64" s="94" t="str">
        <f t="shared" si="44"/>
        <v/>
      </c>
      <c r="I64" s="91"/>
      <c r="J64" s="133" t="str">
        <f>Pivots!K3</f>
        <v/>
      </c>
      <c r="K64" s="95" t="str">
        <f t="shared" ref="K64:K88" si="47">IFERROR(F64/E64,"")</f>
        <v/>
      </c>
      <c r="L64" s="96" t="str">
        <f t="shared" si="45"/>
        <v/>
      </c>
      <c r="M64" s="96" t="str">
        <f t="shared" si="46"/>
        <v/>
      </c>
      <c r="N64" s="91"/>
    </row>
    <row r="65" spans="1:14" ht="13.2">
      <c r="A65" s="115" t="s">
        <v>280</v>
      </c>
      <c r="B65" s="92">
        <f t="shared" si="42"/>
        <v>0</v>
      </c>
      <c r="C65" s="91"/>
      <c r="D65" s="91"/>
      <c r="E65" s="95" t="str">
        <f>Pivots!I4</f>
        <v/>
      </c>
      <c r="F65" s="132" t="str">
        <f>Pivots!J4</f>
        <v/>
      </c>
      <c r="G65" s="92" t="str">
        <f t="shared" si="43"/>
        <v/>
      </c>
      <c r="H65" s="94" t="str">
        <f t="shared" si="44"/>
        <v/>
      </c>
      <c r="I65" s="91"/>
      <c r="J65" s="133" t="str">
        <f>Pivots!K4</f>
        <v/>
      </c>
      <c r="K65" s="95" t="str">
        <f t="shared" si="47"/>
        <v/>
      </c>
      <c r="L65" s="96" t="str">
        <f t="shared" si="45"/>
        <v/>
      </c>
      <c r="M65" s="96" t="str">
        <f t="shared" si="46"/>
        <v/>
      </c>
      <c r="N65" s="91"/>
    </row>
    <row r="66" spans="1:14" ht="13.2">
      <c r="A66" s="115" t="s">
        <v>281</v>
      </c>
      <c r="B66" s="92">
        <f t="shared" si="42"/>
        <v>0</v>
      </c>
      <c r="C66" s="91"/>
      <c r="D66" s="91"/>
      <c r="E66" s="95" t="str">
        <f>Pivots!I5</f>
        <v/>
      </c>
      <c r="F66" s="132" t="str">
        <f>Pivots!J5</f>
        <v/>
      </c>
      <c r="G66" s="92" t="str">
        <f t="shared" si="43"/>
        <v/>
      </c>
      <c r="H66" s="94" t="str">
        <f t="shared" si="44"/>
        <v/>
      </c>
      <c r="I66" s="91"/>
      <c r="J66" s="133" t="str">
        <f>Pivots!K5</f>
        <v/>
      </c>
      <c r="K66" s="95" t="str">
        <f t="shared" si="47"/>
        <v/>
      </c>
      <c r="L66" s="96" t="str">
        <f t="shared" si="45"/>
        <v/>
      </c>
      <c r="M66" s="96" t="str">
        <f t="shared" si="46"/>
        <v/>
      </c>
      <c r="N66" s="91"/>
    </row>
    <row r="67" spans="1:14" ht="13.2">
      <c r="A67" s="115" t="s">
        <v>26</v>
      </c>
      <c r="B67" s="92">
        <f t="shared" si="42"/>
        <v>0</v>
      </c>
      <c r="C67" s="91"/>
      <c r="D67" s="91"/>
      <c r="E67" s="95">
        <f>Pivots!I6</f>
        <v>4.8122000000000007</v>
      </c>
      <c r="F67" s="132">
        <f>Pivots!J6</f>
        <v>41</v>
      </c>
      <c r="G67" s="92">
        <f t="shared" si="43"/>
        <v>-41</v>
      </c>
      <c r="H67" s="94" t="str">
        <f t="shared" si="44"/>
        <v/>
      </c>
      <c r="I67" s="91"/>
      <c r="J67" s="133">
        <f>Pivots!K6</f>
        <v>2</v>
      </c>
      <c r="K67" s="95">
        <f t="shared" si="47"/>
        <v>8.5200116370890644</v>
      </c>
      <c r="L67" s="96">
        <f t="shared" si="45"/>
        <v>-4.8122000000000007</v>
      </c>
      <c r="M67" s="96">
        <f t="shared" si="46"/>
        <v>-0.60152500000000009</v>
      </c>
      <c r="N67" s="91"/>
    </row>
    <row r="68" spans="1:14" ht="13.2">
      <c r="A68" s="115" t="s">
        <v>88</v>
      </c>
      <c r="B68" s="92">
        <f t="shared" si="42"/>
        <v>0</v>
      </c>
      <c r="C68" s="91"/>
      <c r="D68" s="91"/>
      <c r="E68" s="95">
        <f>Pivots!I7</f>
        <v>26.2502</v>
      </c>
      <c r="F68" s="132">
        <f>Pivots!J7</f>
        <v>405</v>
      </c>
      <c r="G68" s="92">
        <f t="shared" si="43"/>
        <v>-405</v>
      </c>
      <c r="H68" s="94" t="str">
        <f t="shared" si="44"/>
        <v/>
      </c>
      <c r="I68" s="91"/>
      <c r="J68" s="133">
        <f>Pivots!K7</f>
        <v>52</v>
      </c>
      <c r="K68" s="95">
        <f t="shared" si="47"/>
        <v>15.428453878446641</v>
      </c>
      <c r="L68" s="96">
        <f t="shared" si="45"/>
        <v>-26.2502</v>
      </c>
      <c r="M68" s="96">
        <f t="shared" si="46"/>
        <v>-3.2812749999999999</v>
      </c>
      <c r="N68" s="91"/>
    </row>
    <row r="69" spans="1:14" ht="13.2">
      <c r="A69" s="115" t="s">
        <v>282</v>
      </c>
      <c r="B69" s="92">
        <f t="shared" si="42"/>
        <v>0</v>
      </c>
      <c r="C69" s="91"/>
      <c r="D69" s="91"/>
      <c r="E69" s="95">
        <f>Pivots!I8</f>
        <v>28.121000000000002</v>
      </c>
      <c r="F69" s="132">
        <f>Pivots!J8</f>
        <v>400</v>
      </c>
      <c r="G69" s="92">
        <f t="shared" si="43"/>
        <v>-400</v>
      </c>
      <c r="H69" s="94" t="str">
        <f t="shared" si="44"/>
        <v/>
      </c>
      <c r="I69" s="91"/>
      <c r="J69" s="133">
        <f>Pivots!K8</f>
        <v>56</v>
      </c>
      <c r="K69" s="95">
        <f t="shared" si="47"/>
        <v>14.224245225987694</v>
      </c>
      <c r="L69" s="96">
        <f t="shared" si="45"/>
        <v>-28.121000000000002</v>
      </c>
      <c r="M69" s="96">
        <f t="shared" si="46"/>
        <v>-3.5151250000000003</v>
      </c>
      <c r="N69" s="91"/>
    </row>
    <row r="70" spans="1:14" ht="13.2">
      <c r="A70" s="115" t="s">
        <v>43</v>
      </c>
      <c r="B70" s="92">
        <f t="shared" si="42"/>
        <v>0</v>
      </c>
      <c r="C70" s="91"/>
      <c r="D70" s="91"/>
      <c r="E70" s="95">
        <f>Pivots!I9</f>
        <v>17.514400000000002</v>
      </c>
      <c r="F70" s="132">
        <f>Pivots!J9</f>
        <v>359</v>
      </c>
      <c r="G70" s="92">
        <f t="shared" si="43"/>
        <v>-359</v>
      </c>
      <c r="H70" s="94" t="str">
        <f t="shared" si="44"/>
        <v/>
      </c>
      <c r="I70" s="91"/>
      <c r="J70" s="133">
        <f>Pivots!K9</f>
        <v>63</v>
      </c>
      <c r="K70" s="95">
        <f t="shared" si="47"/>
        <v>20.497419266432189</v>
      </c>
      <c r="L70" s="96">
        <f t="shared" si="45"/>
        <v>-17.514400000000002</v>
      </c>
      <c r="M70" s="96">
        <f t="shared" si="46"/>
        <v>-2.1893000000000002</v>
      </c>
      <c r="N70" s="91"/>
    </row>
    <row r="71" spans="1:14" ht="13.2">
      <c r="A71" s="115" t="s">
        <v>45</v>
      </c>
      <c r="B71" s="92">
        <f t="shared" si="42"/>
        <v>0</v>
      </c>
      <c r="C71" s="91"/>
      <c r="D71" s="91"/>
      <c r="E71" s="95" t="str">
        <f>Pivots!I10</f>
        <v/>
      </c>
      <c r="F71" s="132" t="str">
        <f>Pivots!J10</f>
        <v/>
      </c>
      <c r="G71" s="92" t="str">
        <f t="shared" si="43"/>
        <v/>
      </c>
      <c r="H71" s="94" t="str">
        <f t="shared" si="44"/>
        <v/>
      </c>
      <c r="I71" s="91"/>
      <c r="J71" s="133" t="str">
        <f>Pivots!K10</f>
        <v/>
      </c>
      <c r="K71" s="95" t="str">
        <f t="shared" si="47"/>
        <v/>
      </c>
      <c r="L71" s="96" t="str">
        <f t="shared" si="45"/>
        <v/>
      </c>
      <c r="M71" s="96" t="str">
        <f t="shared" si="46"/>
        <v/>
      </c>
      <c r="N71" s="91"/>
    </row>
    <row r="72" spans="1:14" ht="13.2">
      <c r="A72" s="115" t="s">
        <v>42</v>
      </c>
      <c r="B72" s="92">
        <f t="shared" si="42"/>
        <v>0</v>
      </c>
      <c r="C72" s="91"/>
      <c r="D72" s="91"/>
      <c r="E72" s="95">
        <f>Pivots!I11</f>
        <v>2.145</v>
      </c>
      <c r="F72" s="132">
        <f>Pivots!J11</f>
        <v>22</v>
      </c>
      <c r="G72" s="92">
        <f t="shared" si="43"/>
        <v>-22</v>
      </c>
      <c r="H72" s="94" t="str">
        <f t="shared" si="44"/>
        <v/>
      </c>
      <c r="I72" s="91"/>
      <c r="J72" s="133">
        <f>Pivots!K11</f>
        <v>4</v>
      </c>
      <c r="K72" s="95">
        <f t="shared" si="47"/>
        <v>10.256410256410255</v>
      </c>
      <c r="L72" s="96">
        <f t="shared" si="45"/>
        <v>-2.145</v>
      </c>
      <c r="M72" s="96">
        <f t="shared" si="46"/>
        <v>-0.268125</v>
      </c>
      <c r="N72" s="91"/>
    </row>
    <row r="73" spans="1:14" ht="13.2">
      <c r="A73" s="115" t="s">
        <v>283</v>
      </c>
      <c r="B73" s="92">
        <f t="shared" si="42"/>
        <v>0</v>
      </c>
      <c r="C73" s="91"/>
      <c r="D73" s="91"/>
      <c r="E73" s="95">
        <f>Pivots!I12</f>
        <v>5.9924999999999997</v>
      </c>
      <c r="F73" s="132">
        <f>Pivots!J12</f>
        <v>67</v>
      </c>
      <c r="G73" s="92">
        <f t="shared" si="43"/>
        <v>-67</v>
      </c>
      <c r="H73" s="94" t="str">
        <f t="shared" si="44"/>
        <v/>
      </c>
      <c r="I73" s="91"/>
      <c r="J73" s="133">
        <f>Pivots!K12</f>
        <v>67</v>
      </c>
      <c r="K73" s="95">
        <f t="shared" si="47"/>
        <v>11.18064246975386</v>
      </c>
      <c r="L73" s="96">
        <f t="shared" si="45"/>
        <v>-5.9924999999999997</v>
      </c>
      <c r="M73" s="96">
        <f t="shared" si="46"/>
        <v>-0.74906249999999996</v>
      </c>
      <c r="N73" s="91"/>
    </row>
    <row r="74" spans="1:14" ht="13.2">
      <c r="A74" s="115" t="s">
        <v>38</v>
      </c>
      <c r="B74" s="92">
        <f t="shared" si="42"/>
        <v>0</v>
      </c>
      <c r="C74" s="91"/>
      <c r="D74" s="91"/>
      <c r="E74" s="95">
        <f>Pivots!I13</f>
        <v>0.39169999999999999</v>
      </c>
      <c r="F74" s="132">
        <f>Pivots!J13</f>
        <v>8</v>
      </c>
      <c r="G74" s="92">
        <f t="shared" si="43"/>
        <v>-8</v>
      </c>
      <c r="H74" s="94" t="str">
        <f t="shared" si="44"/>
        <v/>
      </c>
      <c r="I74" s="91"/>
      <c r="J74" s="133">
        <f>Pivots!K13</f>
        <v>15</v>
      </c>
      <c r="K74" s="95">
        <f t="shared" si="47"/>
        <v>20.423793719683431</v>
      </c>
      <c r="L74" s="96">
        <f t="shared" si="45"/>
        <v>-0.39169999999999999</v>
      </c>
      <c r="M74" s="96">
        <f t="shared" si="46"/>
        <v>-4.8962499999999999E-2</v>
      </c>
      <c r="N74" s="91"/>
    </row>
    <row r="75" spans="1:14" ht="13.2">
      <c r="A75" s="115" t="s">
        <v>117</v>
      </c>
      <c r="B75" s="92">
        <f t="shared" si="42"/>
        <v>0</v>
      </c>
      <c r="C75" s="91"/>
      <c r="D75" s="91"/>
      <c r="E75" s="95">
        <f>Pivots!I14</f>
        <v>11.934199999999999</v>
      </c>
      <c r="F75" s="132">
        <f>Pivots!J14</f>
        <v>32</v>
      </c>
      <c r="G75" s="92">
        <f t="shared" si="43"/>
        <v>-32</v>
      </c>
      <c r="H75" s="94" t="str">
        <f t="shared" si="44"/>
        <v/>
      </c>
      <c r="I75" s="91"/>
      <c r="J75" s="133">
        <f>Pivots!K14</f>
        <v>237</v>
      </c>
      <c r="K75" s="95">
        <f>IFERROR(J75/E75,"")</f>
        <v>19.858892929563776</v>
      </c>
      <c r="L75" s="96">
        <f t="shared" si="45"/>
        <v>-1.6113687763713078</v>
      </c>
      <c r="M75" s="96">
        <f t="shared" si="46"/>
        <v>-0.20142109704641348</v>
      </c>
      <c r="N75" s="91"/>
    </row>
    <row r="76" spans="1:14" ht="13.2">
      <c r="A76" s="115" t="s">
        <v>122</v>
      </c>
      <c r="B76" s="92">
        <f t="shared" si="42"/>
        <v>0</v>
      </c>
      <c r="C76" s="91"/>
      <c r="D76" s="91"/>
      <c r="E76" s="95">
        <f>Pivots!I15</f>
        <v>3.8092000000000001</v>
      </c>
      <c r="F76" s="132" t="str">
        <f>Pivots!J15</f>
        <v/>
      </c>
      <c r="G76" s="92" t="str">
        <f t="shared" si="43"/>
        <v/>
      </c>
      <c r="H76" s="94" t="str">
        <f t="shared" si="44"/>
        <v/>
      </c>
      <c r="I76" s="91"/>
      <c r="J76" s="133" t="str">
        <f>Pivots!K15</f>
        <v/>
      </c>
      <c r="K76" s="95" t="str">
        <f>IFERROR(J76/E76,"")</f>
        <v/>
      </c>
      <c r="L76" s="96" t="str">
        <f t="shared" si="45"/>
        <v/>
      </c>
      <c r="M76" s="96" t="str">
        <f t="shared" si="46"/>
        <v/>
      </c>
      <c r="N76" s="91"/>
    </row>
    <row r="77" spans="1:14" ht="13.2">
      <c r="A77" s="115" t="s">
        <v>76</v>
      </c>
      <c r="B77" s="92">
        <f t="shared" si="42"/>
        <v>0</v>
      </c>
      <c r="C77" s="91"/>
      <c r="D77" s="91"/>
      <c r="E77" s="95">
        <f>Pivots!I16</f>
        <v>19.108299999999996</v>
      </c>
      <c r="F77" s="132">
        <f>Pivots!J16</f>
        <v>40</v>
      </c>
      <c r="G77" s="92">
        <f t="shared" si="43"/>
        <v>-40</v>
      </c>
      <c r="H77" s="94" t="str">
        <f t="shared" si="44"/>
        <v/>
      </c>
      <c r="I77" s="91"/>
      <c r="J77" s="133">
        <f>Pivots!K16</f>
        <v>277</v>
      </c>
      <c r="K77" s="95">
        <f t="shared" si="47"/>
        <v>2.0933311702244577</v>
      </c>
      <c r="L77" s="96">
        <f t="shared" si="45"/>
        <v>-19.108299999999996</v>
      </c>
      <c r="M77" s="96">
        <f t="shared" si="46"/>
        <v>-2.3885374999999995</v>
      </c>
      <c r="N77" s="91"/>
    </row>
    <row r="78" spans="1:14" ht="13.2">
      <c r="A78" s="115" t="s">
        <v>58</v>
      </c>
      <c r="B78" s="92">
        <f t="shared" si="42"/>
        <v>0</v>
      </c>
      <c r="C78" s="91"/>
      <c r="D78" s="91"/>
      <c r="E78" s="95" t="str">
        <f>Pivots!I17</f>
        <v/>
      </c>
      <c r="F78" s="132" t="str">
        <f>Pivots!J17</f>
        <v/>
      </c>
      <c r="G78" s="92" t="str">
        <f t="shared" si="43"/>
        <v/>
      </c>
      <c r="H78" s="94" t="str">
        <f t="shared" si="44"/>
        <v/>
      </c>
      <c r="I78" s="91"/>
      <c r="J78" s="133" t="str">
        <f>Pivots!K17</f>
        <v/>
      </c>
      <c r="K78" s="95" t="str">
        <f t="shared" si="47"/>
        <v/>
      </c>
      <c r="L78" s="96" t="str">
        <f t="shared" si="45"/>
        <v/>
      </c>
      <c r="M78" s="96" t="str">
        <f t="shared" si="46"/>
        <v/>
      </c>
      <c r="N78" s="91"/>
    </row>
    <row r="79" spans="1:14" ht="13.2">
      <c r="A79" s="115" t="s">
        <v>284</v>
      </c>
      <c r="B79" s="92">
        <f t="shared" si="42"/>
        <v>0</v>
      </c>
      <c r="C79" s="91"/>
      <c r="D79" s="91"/>
      <c r="E79" s="95">
        <f>Pivots!I18</f>
        <v>3.1208</v>
      </c>
      <c r="F79" s="132">
        <f>Pivots!J18</f>
        <v>53</v>
      </c>
      <c r="G79" s="92">
        <f t="shared" si="43"/>
        <v>-53</v>
      </c>
      <c r="H79" s="94" t="str">
        <f t="shared" si="44"/>
        <v/>
      </c>
      <c r="I79" s="91"/>
      <c r="J79" s="133">
        <f>Pivots!K18</f>
        <v>9</v>
      </c>
      <c r="K79" s="95">
        <f t="shared" si="47"/>
        <v>16.982824916688028</v>
      </c>
      <c r="L79" s="96">
        <f t="shared" si="45"/>
        <v>-3.1208</v>
      </c>
      <c r="M79" s="96">
        <f t="shared" si="46"/>
        <v>-0.3901</v>
      </c>
      <c r="N79" s="91"/>
    </row>
    <row r="80" spans="1:14" ht="13.2">
      <c r="A80" s="115" t="s">
        <v>49</v>
      </c>
      <c r="B80" s="92">
        <f t="shared" si="42"/>
        <v>0</v>
      </c>
      <c r="C80" s="91"/>
      <c r="D80" s="91"/>
      <c r="E80" s="95" t="str">
        <f>Pivots!I19</f>
        <v/>
      </c>
      <c r="F80" s="132" t="str">
        <f>Pivots!J19</f>
        <v/>
      </c>
      <c r="G80" s="92" t="str">
        <f t="shared" si="43"/>
        <v/>
      </c>
      <c r="H80" s="94" t="str">
        <f t="shared" si="44"/>
        <v/>
      </c>
      <c r="I80" s="91"/>
      <c r="J80" s="133" t="str">
        <f>Pivots!K19</f>
        <v/>
      </c>
      <c r="K80" s="95" t="str">
        <f t="shared" si="47"/>
        <v/>
      </c>
      <c r="L80" s="96" t="str">
        <f t="shared" si="45"/>
        <v/>
      </c>
      <c r="M80" s="96" t="str">
        <f t="shared" si="46"/>
        <v/>
      </c>
      <c r="N80" s="91"/>
    </row>
    <row r="81" spans="1:14" ht="13.2">
      <c r="A81" s="115" t="s">
        <v>36</v>
      </c>
      <c r="B81" s="92">
        <f t="shared" si="42"/>
        <v>0</v>
      </c>
      <c r="C81" s="91"/>
      <c r="D81" s="91"/>
      <c r="E81" s="95" t="str">
        <f>Pivots!I20</f>
        <v/>
      </c>
      <c r="F81" s="132" t="str">
        <f>Pivots!J20</f>
        <v/>
      </c>
      <c r="G81" s="92" t="str">
        <f t="shared" si="43"/>
        <v/>
      </c>
      <c r="H81" s="94" t="str">
        <f t="shared" si="44"/>
        <v/>
      </c>
      <c r="I81" s="91"/>
      <c r="J81" s="133" t="str">
        <f>Pivots!K20</f>
        <v/>
      </c>
      <c r="K81" s="95" t="str">
        <f t="shared" si="47"/>
        <v/>
      </c>
      <c r="L81" s="96" t="str">
        <f t="shared" si="45"/>
        <v/>
      </c>
      <c r="M81" s="96" t="str">
        <f t="shared" si="46"/>
        <v/>
      </c>
      <c r="N81" s="91"/>
    </row>
    <row r="82" spans="1:14" ht="13.2">
      <c r="A82" s="115" t="s">
        <v>50</v>
      </c>
      <c r="B82" s="92">
        <f t="shared" si="42"/>
        <v>0</v>
      </c>
      <c r="C82" s="91"/>
      <c r="D82" s="91"/>
      <c r="E82" s="95">
        <f>Pivots!I21</f>
        <v>3.2728000000000002</v>
      </c>
      <c r="F82" s="132">
        <f>Pivots!J21</f>
        <v>8</v>
      </c>
      <c r="G82" s="92">
        <f t="shared" si="43"/>
        <v>-8</v>
      </c>
      <c r="H82" s="94" t="str">
        <f t="shared" si="44"/>
        <v/>
      </c>
      <c r="I82" s="91"/>
      <c r="J82" s="133">
        <f>Pivots!K21</f>
        <v>40</v>
      </c>
      <c r="K82" s="95">
        <f t="shared" si="47"/>
        <v>2.4443901246638964</v>
      </c>
      <c r="L82" s="96">
        <f t="shared" si="45"/>
        <v>-3.2728000000000002</v>
      </c>
      <c r="M82" s="96">
        <f t="shared" si="46"/>
        <v>-0.40910000000000002</v>
      </c>
      <c r="N82" s="91"/>
    </row>
    <row r="83" spans="1:14" ht="13.2">
      <c r="A83" s="115" t="s">
        <v>285</v>
      </c>
      <c r="B83" s="92">
        <f t="shared" si="42"/>
        <v>0</v>
      </c>
      <c r="C83" s="91"/>
      <c r="D83" s="91"/>
      <c r="E83" s="95" t="str">
        <f>Pivots!I22</f>
        <v/>
      </c>
      <c r="F83" s="132" t="str">
        <f>Pivots!J22</f>
        <v/>
      </c>
      <c r="G83" s="92" t="str">
        <f t="shared" si="43"/>
        <v/>
      </c>
      <c r="H83" s="94" t="str">
        <f t="shared" si="44"/>
        <v/>
      </c>
      <c r="I83" s="91"/>
      <c r="J83" s="133" t="str">
        <f>Pivots!K22</f>
        <v/>
      </c>
      <c r="K83" s="95" t="str">
        <f t="shared" si="47"/>
        <v/>
      </c>
      <c r="L83" s="96" t="str">
        <f t="shared" si="45"/>
        <v/>
      </c>
      <c r="M83" s="96" t="str">
        <f t="shared" si="46"/>
        <v/>
      </c>
      <c r="N83" s="91"/>
    </row>
    <row r="84" spans="1:14" ht="13.2">
      <c r="A84" s="115" t="s">
        <v>124</v>
      </c>
      <c r="B84" s="92">
        <f t="shared" si="42"/>
        <v>0</v>
      </c>
      <c r="C84" s="91"/>
      <c r="D84" s="91"/>
      <c r="E84" s="95" t="str">
        <f>Pivots!I23</f>
        <v/>
      </c>
      <c r="F84" s="132" t="str">
        <f>Pivots!J23</f>
        <v/>
      </c>
      <c r="G84" s="92" t="str">
        <f t="shared" si="43"/>
        <v/>
      </c>
      <c r="H84" s="94" t="str">
        <f t="shared" si="44"/>
        <v/>
      </c>
      <c r="I84" s="91"/>
      <c r="J84" s="133" t="str">
        <f>Pivots!K23</f>
        <v/>
      </c>
      <c r="K84" s="95" t="str">
        <f t="shared" si="47"/>
        <v/>
      </c>
      <c r="L84" s="96" t="str">
        <f t="shared" si="45"/>
        <v/>
      </c>
      <c r="M84" s="96" t="str">
        <f t="shared" si="46"/>
        <v/>
      </c>
      <c r="N84" s="91"/>
    </row>
    <row r="85" spans="1:14" ht="13.2">
      <c r="A85" s="115" t="s">
        <v>286</v>
      </c>
      <c r="B85" s="92">
        <f t="shared" si="42"/>
        <v>0</v>
      </c>
      <c r="C85" s="91"/>
      <c r="D85" s="91"/>
      <c r="E85" s="95" t="str">
        <f>Pivots!I24</f>
        <v/>
      </c>
      <c r="F85" s="132" t="str">
        <f>Pivots!J24</f>
        <v/>
      </c>
      <c r="G85" s="92" t="str">
        <f t="shared" si="43"/>
        <v/>
      </c>
      <c r="H85" s="94" t="str">
        <f t="shared" si="44"/>
        <v/>
      </c>
      <c r="I85" s="91"/>
      <c r="J85" s="133" t="str">
        <f>Pivots!K24</f>
        <v/>
      </c>
      <c r="K85" s="95" t="str">
        <f t="shared" si="47"/>
        <v/>
      </c>
      <c r="L85" s="96" t="str">
        <f t="shared" si="45"/>
        <v/>
      </c>
      <c r="M85" s="96" t="str">
        <f t="shared" si="46"/>
        <v/>
      </c>
      <c r="N85" s="91"/>
    </row>
    <row r="86" spans="1:14" ht="13.2">
      <c r="A86" s="115" t="s">
        <v>133</v>
      </c>
      <c r="B86" s="92">
        <f t="shared" si="42"/>
        <v>0</v>
      </c>
      <c r="C86" s="91"/>
      <c r="D86" s="91"/>
      <c r="E86" s="95" t="str">
        <f>Pivots!I25</f>
        <v/>
      </c>
      <c r="F86" s="132" t="str">
        <f>Pivots!J25</f>
        <v/>
      </c>
      <c r="G86" s="92" t="str">
        <f t="shared" si="43"/>
        <v/>
      </c>
      <c r="H86" s="94" t="str">
        <f t="shared" si="44"/>
        <v/>
      </c>
      <c r="I86" s="91"/>
      <c r="J86" s="133" t="str">
        <f>Pivots!K25</f>
        <v/>
      </c>
      <c r="K86" s="95" t="str">
        <f t="shared" si="47"/>
        <v/>
      </c>
      <c r="L86" s="96" t="str">
        <f t="shared" si="45"/>
        <v/>
      </c>
      <c r="M86" s="96" t="str">
        <f t="shared" si="46"/>
        <v/>
      </c>
      <c r="N86" s="91"/>
    </row>
    <row r="87" spans="1:14" ht="13.2">
      <c r="A87" s="115" t="s">
        <v>130</v>
      </c>
      <c r="B87" s="92"/>
      <c r="C87" s="91"/>
      <c r="D87" s="91"/>
      <c r="E87" s="95" t="str">
        <f>Pivots!I26</f>
        <v/>
      </c>
      <c r="F87" s="132" t="str">
        <f>Pivots!J26</f>
        <v/>
      </c>
      <c r="G87" s="92"/>
      <c r="H87" s="94"/>
      <c r="I87" s="91"/>
      <c r="J87" s="133" t="str">
        <f>Pivots!K26</f>
        <v/>
      </c>
      <c r="K87" s="95" t="str">
        <f t="shared" si="47"/>
        <v/>
      </c>
      <c r="L87" s="96"/>
      <c r="M87" s="96"/>
      <c r="N87" s="91"/>
    </row>
    <row r="88" spans="1:14" ht="13.2">
      <c r="A88" s="115"/>
      <c r="B88" s="92"/>
      <c r="C88" s="91"/>
      <c r="D88" s="91"/>
      <c r="E88" s="95" t="str">
        <f>Pivots!I27</f>
        <v/>
      </c>
      <c r="F88" s="132" t="str">
        <f>Pivots!J27</f>
        <v/>
      </c>
      <c r="G88" s="92"/>
      <c r="H88" s="94"/>
      <c r="I88" s="91"/>
      <c r="J88" s="133" t="str">
        <f>Pivots!K27</f>
        <v/>
      </c>
      <c r="K88" s="95" t="str">
        <f t="shared" si="47"/>
        <v/>
      </c>
      <c r="L88" s="96"/>
      <c r="M88" s="96"/>
      <c r="N88" s="91"/>
    </row>
    <row r="89" spans="1:14" ht="13.2">
      <c r="A89" s="116" t="s">
        <v>287</v>
      </c>
      <c r="B89" s="92" t="e">
        <f t="shared" si="42"/>
        <v>#VALUE!</v>
      </c>
      <c r="C89" s="97">
        <f>SUM(C63:C86)</f>
        <v>0</v>
      </c>
      <c r="D89" s="97"/>
      <c r="E89" s="99">
        <f>SUM(E63:E88)</f>
        <v>127.212</v>
      </c>
      <c r="F89" s="98">
        <f>SUM(F63:F88)</f>
        <v>1444</v>
      </c>
      <c r="G89" s="92" t="str">
        <f t="shared" si="43"/>
        <v/>
      </c>
      <c r="H89" s="94" t="str">
        <f t="shared" si="44"/>
        <v/>
      </c>
      <c r="I89" s="97" t="str">
        <f>IFERROR(AVERAGE(I63:I86),"")</f>
        <v/>
      </c>
      <c r="J89" s="97">
        <f>SUM(J63:J88)</f>
        <v>827</v>
      </c>
      <c r="K89" s="99">
        <f>IFERROR(AVERAGE(K63:K88),"")</f>
        <v>12.839792530257711</v>
      </c>
      <c r="L89" s="96" t="str">
        <f t="shared" si="45"/>
        <v/>
      </c>
      <c r="M89" s="96" t="str">
        <f t="shared" si="46"/>
        <v/>
      </c>
      <c r="N89" s="91"/>
    </row>
    <row r="90" spans="1:14" ht="15.75" customHeight="1">
      <c r="A90" s="104"/>
      <c r="B90" s="100"/>
      <c r="C90" s="100"/>
      <c r="D90" s="100"/>
      <c r="E90" s="107"/>
      <c r="F90" s="100"/>
      <c r="G90" s="100"/>
      <c r="H90" s="100"/>
      <c r="I90" s="100"/>
      <c r="J90" s="100"/>
      <c r="K90" s="100"/>
      <c r="L90" s="100"/>
      <c r="M90" s="100"/>
      <c r="N90" s="100"/>
    </row>
    <row r="91" spans="1:14" ht="15.75" customHeight="1">
      <c r="A91" s="129" t="s">
        <v>183</v>
      </c>
      <c r="B91" s="130"/>
      <c r="C91" s="130"/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</row>
    <row r="92" spans="1:14" ht="15.75" customHeight="1">
      <c r="A92" s="101" t="s">
        <v>267</v>
      </c>
      <c r="B92" s="101" t="s">
        <v>268</v>
      </c>
      <c r="C92" s="101" t="s">
        <v>288</v>
      </c>
      <c r="D92" s="101"/>
      <c r="E92" s="106" t="s">
        <v>271</v>
      </c>
      <c r="F92" s="101" t="s">
        <v>272</v>
      </c>
      <c r="G92" s="101" t="s">
        <v>273</v>
      </c>
      <c r="H92" s="101" t="s">
        <v>274</v>
      </c>
      <c r="I92" s="101" t="s">
        <v>275</v>
      </c>
      <c r="J92" s="101" t="s">
        <v>148</v>
      </c>
      <c r="K92" s="101" t="s">
        <v>289</v>
      </c>
      <c r="L92" s="103" t="s">
        <v>277</v>
      </c>
      <c r="M92" s="103" t="s">
        <v>278</v>
      </c>
      <c r="N92" s="101" t="s">
        <v>279</v>
      </c>
    </row>
    <row r="93" spans="1:14" ht="15.75" customHeight="1">
      <c r="A93" s="115" t="s">
        <v>30</v>
      </c>
      <c r="B93" s="92">
        <f t="shared" ref="B93:B119" si="48">C93*I93*8</f>
        <v>0</v>
      </c>
      <c r="C93" s="91"/>
      <c r="D93" s="91"/>
      <c r="E93" s="95">
        <f>Pivots!O2</f>
        <v>11.768700000000001</v>
      </c>
      <c r="F93" s="93">
        <f>Pivots!P2</f>
        <v>224</v>
      </c>
      <c r="G93" s="92">
        <f>IFERROR(B93-F93,"")</f>
        <v>-224</v>
      </c>
      <c r="H93" s="94" t="str">
        <f>IFERROR(F93/B93,"")</f>
        <v/>
      </c>
      <c r="I93" s="91"/>
      <c r="J93" s="133">
        <f>Pivots!Q2</f>
        <v>104</v>
      </c>
      <c r="K93" s="95">
        <f>IFERROR(F93/E93,"")</f>
        <v>19.033538113810359</v>
      </c>
      <c r="L93" s="96">
        <f>IFERROR(G93/K93,"")</f>
        <v>-11.768700000000003</v>
      </c>
      <c r="M93" s="96">
        <f>IFERROR(L93/8,"")</f>
        <v>-1.4710875000000003</v>
      </c>
      <c r="N93" s="91"/>
    </row>
    <row r="94" spans="1:14" ht="15.75" customHeight="1">
      <c r="A94" s="115" t="s">
        <v>32</v>
      </c>
      <c r="B94" s="92">
        <f t="shared" si="48"/>
        <v>0</v>
      </c>
      <c r="C94" s="91"/>
      <c r="D94" s="91"/>
      <c r="E94" s="95" t="str">
        <f>Pivots!O3</f>
        <v/>
      </c>
      <c r="F94" s="93" t="str">
        <f>Pivots!P3</f>
        <v/>
      </c>
      <c r="G94" s="92" t="str">
        <f t="shared" ref="G94:G119" si="49">IFERROR(B94-F94,"")</f>
        <v/>
      </c>
      <c r="H94" s="94" t="str">
        <f t="shared" ref="H94:H119" si="50">IFERROR(F94/B94,"")</f>
        <v/>
      </c>
      <c r="I94" s="91"/>
      <c r="J94" s="133" t="str">
        <f>Pivots!Q3</f>
        <v/>
      </c>
      <c r="K94" s="95" t="str">
        <f t="shared" ref="K94:K118" si="51">IFERROR(F94/E94,"")</f>
        <v/>
      </c>
      <c r="L94" s="96" t="str">
        <f t="shared" ref="L94:L119" si="52">IFERROR(G94/K94,"")</f>
        <v/>
      </c>
      <c r="M94" s="96" t="str">
        <f t="shared" ref="M94:M119" si="53">IFERROR(L94/8,"")</f>
        <v/>
      </c>
      <c r="N94" s="91"/>
    </row>
    <row r="95" spans="1:14" ht="15.75" customHeight="1">
      <c r="A95" s="115" t="s">
        <v>280</v>
      </c>
      <c r="B95" s="92">
        <f t="shared" si="48"/>
        <v>0</v>
      </c>
      <c r="C95" s="91"/>
      <c r="D95" s="91"/>
      <c r="E95" s="95" t="str">
        <f>Pivots!O4</f>
        <v/>
      </c>
      <c r="F95" s="93" t="str">
        <f>Pivots!P4</f>
        <v/>
      </c>
      <c r="G95" s="92" t="str">
        <f t="shared" si="49"/>
        <v/>
      </c>
      <c r="H95" s="94" t="str">
        <f t="shared" si="50"/>
        <v/>
      </c>
      <c r="I95" s="91"/>
      <c r="J95" s="133" t="str">
        <f>Pivots!Q4</f>
        <v/>
      </c>
      <c r="K95" s="95" t="str">
        <f t="shared" si="51"/>
        <v/>
      </c>
      <c r="L95" s="96" t="str">
        <f t="shared" si="52"/>
        <v/>
      </c>
      <c r="M95" s="96" t="str">
        <f t="shared" si="53"/>
        <v/>
      </c>
      <c r="N95" s="91"/>
    </row>
    <row r="96" spans="1:14" ht="15.75" customHeight="1">
      <c r="A96" s="115" t="s">
        <v>281</v>
      </c>
      <c r="B96" s="92">
        <f t="shared" si="48"/>
        <v>0</v>
      </c>
      <c r="C96" s="91"/>
      <c r="D96" s="91"/>
      <c r="E96" s="95">
        <f>Pivots!O5</f>
        <v>42.206499999999998</v>
      </c>
      <c r="F96" s="93">
        <f>Pivots!P5</f>
        <v>42</v>
      </c>
      <c r="G96" s="92">
        <f t="shared" si="49"/>
        <v>-42</v>
      </c>
      <c r="H96" s="94" t="str">
        <f t="shared" si="50"/>
        <v/>
      </c>
      <c r="I96" s="91"/>
      <c r="J96" s="133">
        <f>Pivots!Q5</f>
        <v>6</v>
      </c>
      <c r="K96" s="95">
        <f t="shared" si="51"/>
        <v>0.99510738867236093</v>
      </c>
      <c r="L96" s="96">
        <f t="shared" si="52"/>
        <v>-42.206499999999998</v>
      </c>
      <c r="M96" s="96">
        <f t="shared" si="53"/>
        <v>-5.2758124999999998</v>
      </c>
      <c r="N96" s="91"/>
    </row>
    <row r="97" spans="1:14" ht="15.75" customHeight="1">
      <c r="A97" s="115" t="s">
        <v>26</v>
      </c>
      <c r="B97" s="92">
        <f t="shared" si="48"/>
        <v>0</v>
      </c>
      <c r="C97" s="91"/>
      <c r="D97" s="91"/>
      <c r="E97" s="95">
        <f>Pivots!O6</f>
        <v>61.599100000000014</v>
      </c>
      <c r="F97" s="93">
        <f>Pivots!P6</f>
        <v>640</v>
      </c>
      <c r="G97" s="92">
        <f t="shared" si="49"/>
        <v>-640</v>
      </c>
      <c r="H97" s="94" t="str">
        <f t="shared" si="50"/>
        <v/>
      </c>
      <c r="I97" s="91"/>
      <c r="J97" s="133">
        <f>Pivots!Q6</f>
        <v>31</v>
      </c>
      <c r="K97" s="95">
        <f t="shared" si="51"/>
        <v>10.389762188083914</v>
      </c>
      <c r="L97" s="96">
        <f t="shared" si="52"/>
        <v>-61.599100000000014</v>
      </c>
      <c r="M97" s="96">
        <f t="shared" si="53"/>
        <v>-7.6998875000000018</v>
      </c>
      <c r="N97" s="91"/>
    </row>
    <row r="98" spans="1:14" ht="15.75" customHeight="1">
      <c r="A98" s="115" t="s">
        <v>88</v>
      </c>
      <c r="B98" s="92">
        <f t="shared" si="48"/>
        <v>0</v>
      </c>
      <c r="C98" s="91"/>
      <c r="D98" s="91"/>
      <c r="E98" s="95" t="str">
        <f>Pivots!O7</f>
        <v/>
      </c>
      <c r="F98" s="93" t="str">
        <f>Pivots!P7</f>
        <v/>
      </c>
      <c r="G98" s="92" t="str">
        <f t="shared" si="49"/>
        <v/>
      </c>
      <c r="H98" s="94" t="str">
        <f t="shared" si="50"/>
        <v/>
      </c>
      <c r="I98" s="91"/>
      <c r="J98" s="133" t="str">
        <f>Pivots!Q7</f>
        <v/>
      </c>
      <c r="K98" s="95" t="str">
        <f t="shared" si="51"/>
        <v/>
      </c>
      <c r="L98" s="96" t="str">
        <f t="shared" si="52"/>
        <v/>
      </c>
      <c r="M98" s="96" t="str">
        <f t="shared" si="53"/>
        <v/>
      </c>
      <c r="N98" s="91"/>
    </row>
    <row r="99" spans="1:14" ht="15.75" customHeight="1">
      <c r="A99" s="115" t="s">
        <v>282</v>
      </c>
      <c r="B99" s="92">
        <f t="shared" si="48"/>
        <v>0</v>
      </c>
      <c r="C99" s="91"/>
      <c r="D99" s="91"/>
      <c r="E99" s="95">
        <f>Pivots!O8</f>
        <v>38.679200000000002</v>
      </c>
      <c r="F99" s="93">
        <f>Pivots!P8</f>
        <v>446</v>
      </c>
      <c r="G99" s="92">
        <f t="shared" si="49"/>
        <v>-446</v>
      </c>
      <c r="H99" s="94" t="str">
        <f t="shared" si="50"/>
        <v/>
      </c>
      <c r="I99" s="91"/>
      <c r="J99" s="133">
        <f>Pivots!Q8</f>
        <v>58</v>
      </c>
      <c r="K99" s="95">
        <f t="shared" si="51"/>
        <v>11.530745206726095</v>
      </c>
      <c r="L99" s="96">
        <f t="shared" si="52"/>
        <v>-38.679200000000002</v>
      </c>
      <c r="M99" s="96">
        <f t="shared" si="53"/>
        <v>-4.8349000000000002</v>
      </c>
      <c r="N99" s="91"/>
    </row>
    <row r="100" spans="1:14" ht="15.75" customHeight="1">
      <c r="A100" s="115" t="s">
        <v>43</v>
      </c>
      <c r="B100" s="92">
        <f t="shared" si="48"/>
        <v>0</v>
      </c>
      <c r="C100" s="91"/>
      <c r="D100" s="91"/>
      <c r="E100" s="95">
        <f>Pivots!O9</f>
        <v>1.5139</v>
      </c>
      <c r="F100" s="93">
        <f>Pivots!P9</f>
        <v>23</v>
      </c>
      <c r="G100" s="92">
        <f t="shared" si="49"/>
        <v>-23</v>
      </c>
      <c r="H100" s="94" t="str">
        <f t="shared" si="50"/>
        <v/>
      </c>
      <c r="I100" s="91"/>
      <c r="J100" s="133">
        <f>Pivots!Q9</f>
        <v>3</v>
      </c>
      <c r="K100" s="95">
        <f t="shared" si="51"/>
        <v>15.192549045511592</v>
      </c>
      <c r="L100" s="96">
        <f t="shared" si="52"/>
        <v>-1.5139</v>
      </c>
      <c r="M100" s="96">
        <f t="shared" si="53"/>
        <v>-0.1892375</v>
      </c>
      <c r="N100" s="91"/>
    </row>
    <row r="101" spans="1:14" ht="15.75" customHeight="1">
      <c r="A101" s="115" t="s">
        <v>45</v>
      </c>
      <c r="B101" s="92">
        <f t="shared" si="48"/>
        <v>0</v>
      </c>
      <c r="C101" s="91"/>
      <c r="D101" s="91"/>
      <c r="E101" s="95" t="str">
        <f>Pivots!O10</f>
        <v/>
      </c>
      <c r="F101" s="93" t="str">
        <f>Pivots!P10</f>
        <v/>
      </c>
      <c r="G101" s="92" t="str">
        <f t="shared" si="49"/>
        <v/>
      </c>
      <c r="H101" s="94" t="str">
        <f t="shared" si="50"/>
        <v/>
      </c>
      <c r="I101" s="91"/>
      <c r="J101" s="133" t="str">
        <f>Pivots!Q10</f>
        <v/>
      </c>
      <c r="K101" s="95" t="str">
        <f t="shared" si="51"/>
        <v/>
      </c>
      <c r="L101" s="96" t="str">
        <f t="shared" si="52"/>
        <v/>
      </c>
      <c r="M101" s="96" t="str">
        <f t="shared" si="53"/>
        <v/>
      </c>
      <c r="N101" s="91"/>
    </row>
    <row r="102" spans="1:14" ht="15.75" customHeight="1">
      <c r="A102" s="115" t="s">
        <v>42</v>
      </c>
      <c r="B102" s="92">
        <f t="shared" si="48"/>
        <v>0</v>
      </c>
      <c r="C102" s="91"/>
      <c r="D102" s="91"/>
      <c r="E102" s="95" t="str">
        <f>Pivots!O11</f>
        <v/>
      </c>
      <c r="F102" s="93" t="str">
        <f>Pivots!P11</f>
        <v/>
      </c>
      <c r="G102" s="92" t="str">
        <f t="shared" si="49"/>
        <v/>
      </c>
      <c r="H102" s="94" t="str">
        <f t="shared" si="50"/>
        <v/>
      </c>
      <c r="I102" s="91"/>
      <c r="J102" s="133" t="str">
        <f>Pivots!Q11</f>
        <v/>
      </c>
      <c r="K102" s="95" t="str">
        <f t="shared" si="51"/>
        <v/>
      </c>
      <c r="L102" s="96" t="str">
        <f t="shared" si="52"/>
        <v/>
      </c>
      <c r="M102" s="96" t="str">
        <f t="shared" si="53"/>
        <v/>
      </c>
      <c r="N102" s="91"/>
    </row>
    <row r="103" spans="1:14" ht="15.75" customHeight="1">
      <c r="A103" s="115" t="s">
        <v>283</v>
      </c>
      <c r="B103" s="92">
        <f t="shared" si="48"/>
        <v>0</v>
      </c>
      <c r="C103" s="91"/>
      <c r="D103" s="91"/>
      <c r="E103" s="95" t="str">
        <f>Pivots!O12</f>
        <v/>
      </c>
      <c r="F103" s="93" t="str">
        <f>Pivots!P12</f>
        <v/>
      </c>
      <c r="G103" s="92" t="str">
        <f t="shared" si="49"/>
        <v/>
      </c>
      <c r="H103" s="94" t="str">
        <f t="shared" si="50"/>
        <v/>
      </c>
      <c r="I103" s="91"/>
      <c r="J103" s="133" t="str">
        <f>Pivots!Q12</f>
        <v/>
      </c>
      <c r="K103" s="95" t="str">
        <f t="shared" si="51"/>
        <v/>
      </c>
      <c r="L103" s="96" t="str">
        <f t="shared" si="52"/>
        <v/>
      </c>
      <c r="M103" s="96" t="str">
        <f t="shared" si="53"/>
        <v/>
      </c>
      <c r="N103" s="91"/>
    </row>
    <row r="104" spans="1:14" ht="15.75" customHeight="1">
      <c r="A104" s="115" t="s">
        <v>38</v>
      </c>
      <c r="B104" s="92">
        <f t="shared" si="48"/>
        <v>0</v>
      </c>
      <c r="C104" s="91"/>
      <c r="D104" s="91"/>
      <c r="E104" s="95" t="str">
        <f>Pivots!O13</f>
        <v/>
      </c>
      <c r="F104" s="93" t="str">
        <f>Pivots!P13</f>
        <v/>
      </c>
      <c r="G104" s="92" t="str">
        <f t="shared" si="49"/>
        <v/>
      </c>
      <c r="H104" s="94" t="str">
        <f t="shared" si="50"/>
        <v/>
      </c>
      <c r="I104" s="91"/>
      <c r="J104" s="133" t="str">
        <f>Pivots!Q13</f>
        <v/>
      </c>
      <c r="K104" s="95" t="str">
        <f t="shared" si="51"/>
        <v/>
      </c>
      <c r="L104" s="96" t="str">
        <f t="shared" si="52"/>
        <v/>
      </c>
      <c r="M104" s="96" t="str">
        <f t="shared" si="53"/>
        <v/>
      </c>
      <c r="N104" s="91"/>
    </row>
    <row r="105" spans="1:14" ht="15.75" customHeight="1">
      <c r="A105" s="115" t="s">
        <v>117</v>
      </c>
      <c r="B105" s="92">
        <f t="shared" si="48"/>
        <v>0</v>
      </c>
      <c r="C105" s="91"/>
      <c r="D105" s="91"/>
      <c r="E105" s="95">
        <f>Pivots!O14</f>
        <v>36.017499999999998</v>
      </c>
      <c r="F105" s="93">
        <f>Pivots!P14</f>
        <v>67</v>
      </c>
      <c r="G105" s="92">
        <f t="shared" si="49"/>
        <v>-67</v>
      </c>
      <c r="H105" s="94" t="str">
        <f t="shared" si="50"/>
        <v/>
      </c>
      <c r="I105" s="91"/>
      <c r="J105" s="133">
        <f>Pivots!Q14</f>
        <v>240</v>
      </c>
      <c r="K105" s="95">
        <f>IFERROR(J105/E105,"")</f>
        <v>6.663427500520581</v>
      </c>
      <c r="L105" s="96">
        <f t="shared" si="52"/>
        <v>-10.054885416666666</v>
      </c>
      <c r="M105" s="96">
        <f t="shared" si="53"/>
        <v>-1.2568606770833333</v>
      </c>
      <c r="N105" s="91"/>
    </row>
    <row r="106" spans="1:14" ht="15.75" customHeight="1">
      <c r="A106" s="115" t="s">
        <v>122</v>
      </c>
      <c r="B106" s="92">
        <f t="shared" si="48"/>
        <v>0</v>
      </c>
      <c r="C106" s="91"/>
      <c r="D106" s="91"/>
      <c r="E106" s="95" t="str">
        <f>Pivots!O15</f>
        <v/>
      </c>
      <c r="F106" s="93" t="str">
        <f>Pivots!P15</f>
        <v/>
      </c>
      <c r="G106" s="92" t="str">
        <f t="shared" si="49"/>
        <v/>
      </c>
      <c r="H106" s="94" t="str">
        <f t="shared" si="50"/>
        <v/>
      </c>
      <c r="I106" s="91"/>
      <c r="J106" s="133" t="str">
        <f>Pivots!Q15</f>
        <v/>
      </c>
      <c r="K106" s="95" t="str">
        <f>IFERROR(J106/E106,"")</f>
        <v/>
      </c>
      <c r="L106" s="96" t="str">
        <f t="shared" si="52"/>
        <v/>
      </c>
      <c r="M106" s="96" t="str">
        <f t="shared" si="53"/>
        <v/>
      </c>
      <c r="N106" s="91"/>
    </row>
    <row r="107" spans="1:14" ht="15.75" customHeight="1">
      <c r="A107" s="115" t="s">
        <v>76</v>
      </c>
      <c r="B107" s="92">
        <f t="shared" si="48"/>
        <v>0</v>
      </c>
      <c r="C107" s="91"/>
      <c r="D107" s="91"/>
      <c r="E107" s="95">
        <f>Pivots!O16</f>
        <v>36.040600000000005</v>
      </c>
      <c r="F107" s="93">
        <f>Pivots!P16</f>
        <v>67</v>
      </c>
      <c r="G107" s="92">
        <f t="shared" si="49"/>
        <v>-67</v>
      </c>
      <c r="H107" s="94" t="str">
        <f t="shared" si="50"/>
        <v/>
      </c>
      <c r="I107" s="91"/>
      <c r="J107" s="133">
        <f>Pivots!Q16</f>
        <v>240</v>
      </c>
      <c r="K107" s="95">
        <f t="shared" si="51"/>
        <v>1.8590145558065068</v>
      </c>
      <c r="L107" s="96">
        <f t="shared" si="52"/>
        <v>-36.040600000000005</v>
      </c>
      <c r="M107" s="96">
        <f t="shared" si="53"/>
        <v>-4.5050750000000006</v>
      </c>
      <c r="N107" s="91"/>
    </row>
    <row r="108" spans="1:14" ht="15.75" customHeight="1">
      <c r="A108" s="115" t="s">
        <v>58</v>
      </c>
      <c r="B108" s="92">
        <f t="shared" si="48"/>
        <v>0</v>
      </c>
      <c r="C108" s="91"/>
      <c r="D108" s="91"/>
      <c r="E108" s="95" t="str">
        <f>Pivots!O17</f>
        <v/>
      </c>
      <c r="F108" s="93" t="str">
        <f>Pivots!P17</f>
        <v/>
      </c>
      <c r="G108" s="92" t="str">
        <f t="shared" si="49"/>
        <v/>
      </c>
      <c r="H108" s="94" t="str">
        <f t="shared" si="50"/>
        <v/>
      </c>
      <c r="I108" s="91"/>
      <c r="J108" s="133" t="str">
        <f>Pivots!Q17</f>
        <v/>
      </c>
      <c r="K108" s="95" t="str">
        <f t="shared" si="51"/>
        <v/>
      </c>
      <c r="L108" s="96" t="str">
        <f t="shared" si="52"/>
        <v/>
      </c>
      <c r="M108" s="96" t="str">
        <f t="shared" si="53"/>
        <v/>
      </c>
      <c r="N108" s="91"/>
    </row>
    <row r="109" spans="1:14" ht="15.75" customHeight="1">
      <c r="A109" s="115" t="s">
        <v>284</v>
      </c>
      <c r="B109" s="92">
        <f t="shared" si="48"/>
        <v>0</v>
      </c>
      <c r="C109" s="91"/>
      <c r="D109" s="91"/>
      <c r="E109" s="95">
        <f>Pivots!O18</f>
        <v>2.6652999999999998</v>
      </c>
      <c r="F109" s="93">
        <f>Pivots!P18</f>
        <v>32</v>
      </c>
      <c r="G109" s="92">
        <f t="shared" si="49"/>
        <v>-32</v>
      </c>
      <c r="H109" s="94" t="str">
        <f t="shared" si="50"/>
        <v/>
      </c>
      <c r="I109" s="91"/>
      <c r="J109" s="133">
        <f>Pivots!Q18</f>
        <v>8</v>
      </c>
      <c r="K109" s="95">
        <f t="shared" si="51"/>
        <v>12.006153153491166</v>
      </c>
      <c r="L109" s="96">
        <f t="shared" si="52"/>
        <v>-2.6652999999999998</v>
      </c>
      <c r="M109" s="96">
        <f t="shared" si="53"/>
        <v>-0.33316249999999997</v>
      </c>
      <c r="N109" s="91"/>
    </row>
    <row r="110" spans="1:14" ht="15.75" customHeight="1">
      <c r="A110" s="115" t="s">
        <v>49</v>
      </c>
      <c r="B110" s="92">
        <f t="shared" si="48"/>
        <v>0</v>
      </c>
      <c r="C110" s="91"/>
      <c r="D110" s="91"/>
      <c r="E110" s="95" t="str">
        <f>Pivots!O19</f>
        <v/>
      </c>
      <c r="F110" s="93" t="str">
        <f>Pivots!P19</f>
        <v/>
      </c>
      <c r="G110" s="92" t="str">
        <f t="shared" si="49"/>
        <v/>
      </c>
      <c r="H110" s="94" t="str">
        <f t="shared" si="50"/>
        <v/>
      </c>
      <c r="I110" s="91"/>
      <c r="J110" s="133" t="str">
        <f>Pivots!Q19</f>
        <v/>
      </c>
      <c r="K110" s="95" t="str">
        <f t="shared" si="51"/>
        <v/>
      </c>
      <c r="L110" s="96" t="str">
        <f t="shared" si="52"/>
        <v/>
      </c>
      <c r="M110" s="96" t="str">
        <f t="shared" si="53"/>
        <v/>
      </c>
      <c r="N110" s="91"/>
    </row>
    <row r="111" spans="1:14" ht="15.75" customHeight="1">
      <c r="A111" s="115" t="s">
        <v>36</v>
      </c>
      <c r="B111" s="92">
        <f t="shared" si="48"/>
        <v>0</v>
      </c>
      <c r="C111" s="91"/>
      <c r="D111" s="91"/>
      <c r="E111" s="95" t="str">
        <f>Pivots!O20</f>
        <v/>
      </c>
      <c r="F111" s="93" t="str">
        <f>Pivots!P20</f>
        <v/>
      </c>
      <c r="G111" s="92" t="str">
        <f t="shared" si="49"/>
        <v/>
      </c>
      <c r="H111" s="94" t="str">
        <f t="shared" si="50"/>
        <v/>
      </c>
      <c r="I111" s="91"/>
      <c r="J111" s="133" t="str">
        <f>Pivots!Q20</f>
        <v/>
      </c>
      <c r="K111" s="95" t="str">
        <f t="shared" si="51"/>
        <v/>
      </c>
      <c r="L111" s="96" t="str">
        <f t="shared" si="52"/>
        <v/>
      </c>
      <c r="M111" s="96" t="str">
        <f t="shared" si="53"/>
        <v/>
      </c>
      <c r="N111" s="91"/>
    </row>
    <row r="112" spans="1:14" ht="15.75" customHeight="1">
      <c r="A112" s="115" t="s">
        <v>50</v>
      </c>
      <c r="B112" s="92">
        <f t="shared" si="48"/>
        <v>0</v>
      </c>
      <c r="C112" s="91"/>
      <c r="D112" s="91"/>
      <c r="E112" s="95" t="str">
        <f>Pivots!O21</f>
        <v/>
      </c>
      <c r="F112" s="93" t="str">
        <f>Pivots!P21</f>
        <v/>
      </c>
      <c r="G112" s="92" t="str">
        <f t="shared" si="49"/>
        <v/>
      </c>
      <c r="H112" s="94" t="str">
        <f t="shared" si="50"/>
        <v/>
      </c>
      <c r="I112" s="91"/>
      <c r="J112" s="133" t="str">
        <f>Pivots!Q21</f>
        <v/>
      </c>
      <c r="K112" s="95" t="str">
        <f t="shared" si="51"/>
        <v/>
      </c>
      <c r="L112" s="96" t="str">
        <f t="shared" si="52"/>
        <v/>
      </c>
      <c r="M112" s="96" t="str">
        <f t="shared" si="53"/>
        <v/>
      </c>
      <c r="N112" s="91"/>
    </row>
    <row r="113" spans="1:14" ht="15.75" customHeight="1">
      <c r="A113" s="115" t="s">
        <v>285</v>
      </c>
      <c r="B113" s="92">
        <f t="shared" si="48"/>
        <v>0</v>
      </c>
      <c r="C113" s="91"/>
      <c r="D113" s="91"/>
      <c r="E113" s="95" t="str">
        <f>Pivots!O22</f>
        <v/>
      </c>
      <c r="F113" s="93" t="str">
        <f>Pivots!P22</f>
        <v/>
      </c>
      <c r="G113" s="92" t="str">
        <f t="shared" si="49"/>
        <v/>
      </c>
      <c r="H113" s="94" t="str">
        <f t="shared" si="50"/>
        <v/>
      </c>
      <c r="I113" s="91"/>
      <c r="J113" s="133" t="str">
        <f>Pivots!Q22</f>
        <v/>
      </c>
      <c r="K113" s="95" t="str">
        <f t="shared" si="51"/>
        <v/>
      </c>
      <c r="L113" s="96" t="str">
        <f t="shared" si="52"/>
        <v/>
      </c>
      <c r="M113" s="96" t="str">
        <f t="shared" si="53"/>
        <v/>
      </c>
      <c r="N113" s="91"/>
    </row>
    <row r="114" spans="1:14" ht="15.75" customHeight="1">
      <c r="A114" s="115" t="s">
        <v>124</v>
      </c>
      <c r="B114" s="92">
        <f t="shared" si="48"/>
        <v>0</v>
      </c>
      <c r="C114" s="91"/>
      <c r="D114" s="91"/>
      <c r="E114" s="95" t="str">
        <f>Pivots!O23</f>
        <v/>
      </c>
      <c r="F114" s="93" t="str">
        <f>Pivots!P23</f>
        <v/>
      </c>
      <c r="G114" s="92" t="str">
        <f t="shared" si="49"/>
        <v/>
      </c>
      <c r="H114" s="94" t="str">
        <f t="shared" si="50"/>
        <v/>
      </c>
      <c r="I114" s="91"/>
      <c r="J114" s="133" t="str">
        <f>Pivots!Q23</f>
        <v/>
      </c>
      <c r="K114" s="95" t="str">
        <f t="shared" si="51"/>
        <v/>
      </c>
      <c r="L114" s="96" t="str">
        <f t="shared" si="52"/>
        <v/>
      </c>
      <c r="M114" s="96" t="str">
        <f t="shared" si="53"/>
        <v/>
      </c>
      <c r="N114" s="91"/>
    </row>
    <row r="115" spans="1:14" ht="15.75" customHeight="1">
      <c r="A115" s="115" t="s">
        <v>286</v>
      </c>
      <c r="B115" s="92">
        <f t="shared" si="48"/>
        <v>0</v>
      </c>
      <c r="C115" s="91"/>
      <c r="D115" s="91"/>
      <c r="E115" s="95" t="str">
        <f>Pivots!O24</f>
        <v/>
      </c>
      <c r="F115" s="93" t="str">
        <f>Pivots!P24</f>
        <v/>
      </c>
      <c r="G115" s="92" t="str">
        <f t="shared" si="49"/>
        <v/>
      </c>
      <c r="H115" s="94" t="str">
        <f t="shared" si="50"/>
        <v/>
      </c>
      <c r="I115" s="91"/>
      <c r="J115" s="133" t="str">
        <f>Pivots!Q24</f>
        <v/>
      </c>
      <c r="K115" s="95" t="str">
        <f t="shared" si="51"/>
        <v/>
      </c>
      <c r="L115" s="96" t="str">
        <f t="shared" si="52"/>
        <v/>
      </c>
      <c r="M115" s="96" t="str">
        <f t="shared" si="53"/>
        <v/>
      </c>
      <c r="N115" s="91"/>
    </row>
    <row r="116" spans="1:14" ht="15.75" customHeight="1">
      <c r="A116" s="115" t="s">
        <v>133</v>
      </c>
      <c r="B116" s="92">
        <f t="shared" si="48"/>
        <v>0</v>
      </c>
      <c r="C116" s="91"/>
      <c r="D116" s="91"/>
      <c r="E116" s="95" t="str">
        <f>Pivots!O25</f>
        <v/>
      </c>
      <c r="F116" s="93" t="str">
        <f>Pivots!P25</f>
        <v/>
      </c>
      <c r="G116" s="92" t="str">
        <f t="shared" si="49"/>
        <v/>
      </c>
      <c r="H116" s="94" t="str">
        <f t="shared" si="50"/>
        <v/>
      </c>
      <c r="I116" s="91"/>
      <c r="J116" s="133" t="str">
        <f>Pivots!Q25</f>
        <v/>
      </c>
      <c r="K116" s="95" t="str">
        <f t="shared" si="51"/>
        <v/>
      </c>
      <c r="L116" s="96" t="str">
        <f t="shared" si="52"/>
        <v/>
      </c>
      <c r="M116" s="96" t="str">
        <f t="shared" si="53"/>
        <v/>
      </c>
      <c r="N116" s="91"/>
    </row>
    <row r="117" spans="1:14" ht="15.75" customHeight="1">
      <c r="A117" s="115" t="s">
        <v>130</v>
      </c>
      <c r="B117" s="92"/>
      <c r="C117" s="91"/>
      <c r="D117" s="91"/>
      <c r="E117" s="95" t="str">
        <f>Pivots!O26</f>
        <v/>
      </c>
      <c r="F117" s="93" t="str">
        <f>Pivots!P26</f>
        <v/>
      </c>
      <c r="G117" s="92"/>
      <c r="H117" s="94"/>
      <c r="I117" s="91"/>
      <c r="J117" s="133" t="str">
        <f>Pivots!Q26</f>
        <v/>
      </c>
      <c r="K117" s="95" t="str">
        <f t="shared" si="51"/>
        <v/>
      </c>
      <c r="L117" s="96"/>
      <c r="M117" s="96"/>
      <c r="N117" s="91"/>
    </row>
    <row r="118" spans="1:14" ht="15.75" customHeight="1">
      <c r="A118" s="115"/>
      <c r="B118" s="92"/>
      <c r="C118" s="91"/>
      <c r="D118" s="91"/>
      <c r="E118" s="95" t="str">
        <f>Pivots!O27</f>
        <v/>
      </c>
      <c r="F118" s="93" t="str">
        <f>Pivots!P27</f>
        <v/>
      </c>
      <c r="G118" s="92"/>
      <c r="H118" s="94"/>
      <c r="I118" s="91"/>
      <c r="J118" s="133" t="str">
        <f>Pivots!Q27</f>
        <v/>
      </c>
      <c r="K118" s="95" t="str">
        <f t="shared" si="51"/>
        <v/>
      </c>
      <c r="L118" s="96"/>
      <c r="M118" s="96"/>
      <c r="N118" s="91"/>
    </row>
    <row r="119" spans="1:14" ht="15.75" customHeight="1">
      <c r="A119" s="116" t="s">
        <v>287</v>
      </c>
      <c r="B119" s="92" t="e">
        <f t="shared" si="48"/>
        <v>#VALUE!</v>
      </c>
      <c r="C119" s="97">
        <f>SUM(C93:C116)</f>
        <v>0</v>
      </c>
      <c r="D119" s="97"/>
      <c r="E119" s="99">
        <f>SUM(E93:E118)</f>
        <v>230.49080000000006</v>
      </c>
      <c r="F119" s="98">
        <f>SUM(F93:F118)</f>
        <v>1541</v>
      </c>
      <c r="G119" s="92" t="str">
        <f t="shared" si="49"/>
        <v/>
      </c>
      <c r="H119" s="94" t="str">
        <f t="shared" si="50"/>
        <v/>
      </c>
      <c r="I119" s="97" t="str">
        <f>IFERROR(AVERAGE(I93:I116),"")</f>
        <v/>
      </c>
      <c r="J119" s="97">
        <f>SUM(J93:J118)</f>
        <v>690</v>
      </c>
      <c r="K119" s="99">
        <f>IFERROR(AVERAGE(K93:K118),"")</f>
        <v>9.7087871440778226</v>
      </c>
      <c r="L119" s="96" t="str">
        <f t="shared" si="52"/>
        <v/>
      </c>
      <c r="M119" s="96" t="str">
        <f t="shared" si="53"/>
        <v/>
      </c>
      <c r="N119" s="91"/>
    </row>
  </sheetData>
  <mergeCells count="4">
    <mergeCell ref="A1:N1"/>
    <mergeCell ref="A31:N31"/>
    <mergeCell ref="A61:N61"/>
    <mergeCell ref="A91:N9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5C6C-0E83-4C21-96CF-8A7ED0551DD9}"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42C2FB-B545-4A45-94E0-31353FCC87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Links</vt:lpstr>
      <vt:lpstr>SLA</vt:lpstr>
      <vt:lpstr>reference</vt:lpstr>
      <vt:lpstr>Team Report</vt:lpstr>
      <vt:lpstr>Campaign Report</vt:lpstr>
      <vt:lpstr>Pivots</vt:lpstr>
      <vt:lpstr>Completion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Alodia Keith C. Bendicio</cp:lastModifiedBy>
  <cp:revision/>
  <dcterms:created xsi:type="dcterms:W3CDTF">2024-09-19T00:02:53Z</dcterms:created>
  <dcterms:modified xsi:type="dcterms:W3CDTF">2025-10-20T08:06:19Z</dcterms:modified>
  <cp:category/>
  <cp:contentStatus/>
</cp:coreProperties>
</file>