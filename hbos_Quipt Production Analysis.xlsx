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dia Bendicio\Downloads\"/>
    </mc:Choice>
  </mc:AlternateContent>
  <xr:revisionPtr revIDLastSave="0" documentId="13_ncr:1_{A5B2FE12-528C-4D6A-A68C-6D0029B9D1B8}" xr6:coauthVersionLast="47" xr6:coauthVersionMax="47" xr10:uidLastSave="{00000000-0000-0000-0000-000000000000}"/>
  <bookViews>
    <workbookView xWindow="-108" yWindow="-108" windowWidth="23256" windowHeight="12456" xr2:uid="{B47426D3-2918-4F08-AFFE-29679C23E1F4}"/>
  </bookViews>
  <sheets>
    <sheet name="Pivot Table" sheetId="4" r:id="rId1"/>
    <sheet name="Quipt Prod Data" sheetId="2" r:id="rId2"/>
    <sheet name="RAW DATA" sheetId="3" r:id="rId3"/>
  </sheets>
  <definedNames>
    <definedName name="_xlcn.WorksheetConnection_Book1Quipt_Prod_Data" hidden="1">Quipt_Prod_Data[]</definedName>
    <definedName name="_xlcn.WorksheetConnection_QuiptProdAnalysisTEMPLATE.xlsxData1" hidden="1">Data[]</definedName>
    <definedName name="ExternalData_1" localSheetId="1" hidden="1">'Quipt Prod Data'!$A$1:$Q$116</definedName>
    <definedName name="ExternalData_1" localSheetId="2" hidden="1">'RAW DATA'!$A$1:$C$1109</definedName>
  </definedNames>
  <calcPr calcId="191029"/>
  <pivotCaches>
    <pivotCache cacheId="18" r:id="rId4"/>
    <pivotCache cacheId="19" r:id="rId5"/>
    <pivotCache cacheId="2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1" name="Data1" connection="WorksheetConnection_Quipt Prod Analysis TEMPLATE.xlsx!Data1"/>
          <x15:modelTable id="Quipt_Prod_Data" name="Quipt_Prod_Data" connection="WorksheetConnection_Book1!Quipt_Prod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1" i="2" l="1"/>
  <c r="S101" i="2"/>
  <c r="R97" i="2"/>
  <c r="S97" i="2"/>
  <c r="R98" i="2"/>
  <c r="S98" i="2"/>
  <c r="R95" i="2"/>
  <c r="S95" i="2"/>
  <c r="R92" i="2"/>
  <c r="S92" i="2"/>
  <c r="R93" i="2"/>
  <c r="S93" i="2"/>
  <c r="R88" i="2"/>
  <c r="S88" i="2"/>
  <c r="R89" i="2"/>
  <c r="S89" i="2"/>
  <c r="R90" i="2"/>
  <c r="S90" i="2"/>
  <c r="R83" i="2"/>
  <c r="S83" i="2"/>
  <c r="R84" i="2"/>
  <c r="S84" i="2"/>
  <c r="R85" i="2"/>
  <c r="S85" i="2"/>
  <c r="R79" i="2"/>
  <c r="S79" i="2"/>
  <c r="R74" i="2"/>
  <c r="S74" i="2"/>
  <c r="R75" i="2"/>
  <c r="S75" i="2"/>
  <c r="R76" i="2"/>
  <c r="S76" i="2"/>
  <c r="R77" i="2"/>
  <c r="S77" i="2"/>
  <c r="R3" i="2"/>
  <c r="S3" i="2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R2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8" i="2"/>
  <c r="R80" i="2"/>
  <c r="R81" i="2"/>
  <c r="R82" i="2"/>
  <c r="R86" i="2"/>
  <c r="R87" i="2"/>
  <c r="R91" i="2"/>
  <c r="R94" i="2"/>
  <c r="R96" i="2"/>
  <c r="R99" i="2"/>
  <c r="R100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S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8" i="2"/>
  <c r="S80" i="2"/>
  <c r="S81" i="2"/>
  <c r="S82" i="2"/>
  <c r="S86" i="2"/>
  <c r="S87" i="2"/>
  <c r="S91" i="2"/>
  <c r="S94" i="2"/>
  <c r="S96" i="2"/>
  <c r="S99" i="2"/>
  <c r="S100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77C4E2-F363-414F-87A1-07E13A55D74A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04AEA85E-163F-4EA1-A7F4-A33D34B4905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9D5EC554-C53C-41DE-8939-D649F01DF8E7}" keepAlive="1" name="Query - QUIPT PROD CAMP FILES" description="Connection to the 'QUIPT PROD CAMP FILES' query in the workbook." type="5" refreshedVersion="8" background="1" saveData="1">
    <dbPr connection="Provider=Microsoft.Mashup.OleDb.1;Data Source=$Workbook$;Location=&quot;QUIPT PROD CAMP FILES&quot;;Extended Properties=&quot;&quot;" command="SELECT * FROM [QUIPT PROD CAMP FILES]"/>
  </connection>
  <connection id="4" xr16:uid="{905DC1D2-6564-4755-A1F7-2EEB27C4D52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7404F71A-5726-4474-A53E-64302C334CF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1BA71EF5-5E03-41FA-BF53-808B5CF8F92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F3A948DC-547F-47BC-A42A-81A1DA58022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D55C580A-6129-48D1-B4A3-1849C1B2A746}" name="WorksheetConnection_Book1!Quipt_Prod_Data" type="102" refreshedVersion="8" minRefreshableVersion="5">
    <extLst>
      <ext xmlns:x15="http://schemas.microsoft.com/office/spreadsheetml/2010/11/main" uri="{DE250136-89BD-433C-8126-D09CA5730AF9}">
        <x15:connection id="Quipt_Prod_Data" autoDelete="1">
          <x15:rangePr sourceName="_xlcn.WorksheetConnection_Book1Quipt_Prod_Data"/>
        </x15:connection>
      </ext>
    </extLst>
  </connection>
  <connection id="9" xr16:uid="{CF49EB8C-E98B-4DAD-BB9B-82F97A886DCC}" name="WorksheetConnection_Quipt Prod Analysis TEMPLATE.xlsx!Data1" type="102" refreshedVersion="8" minRefreshableVersion="5">
    <extLst>
      <ext xmlns:x15="http://schemas.microsoft.com/office/spreadsheetml/2010/11/main" uri="{DE250136-89BD-433C-8126-D09CA5730AF9}">
        <x15:connection id="Data1" autoDelete="1">
          <x15:rangePr sourceName="_xlcn.WorksheetConnection_QuiptProdAnalysisTEMPLATE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1].[Campaig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<sst xmlns="http://schemas.openxmlformats.org/spreadsheetml/2006/main" count="4293" uniqueCount="1324">
  <si>
    <t>CallID</t>
  </si>
  <si>
    <t>Campaign</t>
  </si>
  <si>
    <t>Direction</t>
  </si>
  <si>
    <t>From</t>
  </si>
  <si>
    <t>To</t>
  </si>
  <si>
    <t>AgentID</t>
  </si>
  <si>
    <t>AgentEmail</t>
  </si>
  <si>
    <t>StartTime</t>
  </si>
  <si>
    <t>Duration</t>
  </si>
  <si>
    <t>Result</t>
  </si>
  <si>
    <t>LeadID</t>
  </si>
  <si>
    <t>ExternalLeadID</t>
  </si>
  <si>
    <t>PubID</t>
  </si>
  <si>
    <t>SubID</t>
  </si>
  <si>
    <t>TalkTime</t>
  </si>
  <si>
    <t>WrapUpDuration</t>
  </si>
  <si>
    <t>CompletedDate</t>
  </si>
  <si>
    <t>SubStatus</t>
  </si>
  <si>
    <t>Days Grouping</t>
  </si>
  <si>
    <t>unqid</t>
  </si>
  <si>
    <t>Row Number</t>
  </si>
  <si>
    <t>Touch Count</t>
  </si>
  <si>
    <t>Record Count</t>
  </si>
  <si>
    <t>Complete Count</t>
  </si>
  <si>
    <t>All</t>
  </si>
  <si>
    <t>Count of unqid</t>
  </si>
  <si>
    <t>-</t>
  </si>
  <si>
    <t>3 or less</t>
  </si>
  <si>
    <t>Medical Records Missing</t>
  </si>
  <si>
    <t>Medical Records Need Review</t>
  </si>
  <si>
    <t>Bad Fax Number</t>
  </si>
  <si>
    <t>Not a Patient at this Location</t>
  </si>
  <si>
    <t>EDocument</t>
  </si>
  <si>
    <t>Needs Appointment</t>
  </si>
  <si>
    <t>Wrong Doctor</t>
  </si>
  <si>
    <t>Date</t>
  </si>
  <si>
    <t>Doctor Does not Accept Fax</t>
  </si>
  <si>
    <t>Signature</t>
  </si>
  <si>
    <t>Doctor No Longer Practicing/Not At Location</t>
  </si>
  <si>
    <t>New Doctor Information Incomplete</t>
  </si>
  <si>
    <t>Did Not Order</t>
  </si>
  <si>
    <t>Medical Records Approved</t>
  </si>
  <si>
    <t>Max Attempts</t>
  </si>
  <si>
    <t>15 to 21</t>
  </si>
  <si>
    <t>31 to 60</t>
  </si>
  <si>
    <t>4 to 7</t>
  </si>
  <si>
    <t>7 to 10</t>
  </si>
  <si>
    <t>Wrong Number / Could not Reached</t>
  </si>
  <si>
    <t>22 to 30</t>
  </si>
  <si>
    <t>Medical Records Rework</t>
  </si>
  <si>
    <t>Patient Call Max Attempts</t>
  </si>
  <si>
    <t>Appointment Reminder</t>
  </si>
  <si>
    <t>11 to 14</t>
  </si>
  <si>
    <t>91 to 120</t>
  </si>
  <si>
    <t>61 to 90</t>
  </si>
  <si>
    <t>Fax Attempts Exhausted</t>
  </si>
  <si>
    <t>Edocument Attempts Exhausted</t>
  </si>
  <si>
    <t>No longer needs</t>
  </si>
  <si>
    <t>Patient Deceased</t>
  </si>
  <si>
    <t>Patient Do Not Call</t>
  </si>
  <si>
    <t>5 to 10 Attempts</t>
  </si>
  <si>
    <t>Client Removal Request</t>
  </si>
  <si>
    <t>Portal Quipt All Calls</t>
  </si>
  <si>
    <t>Inbound</t>
  </si>
  <si>
    <t>IB_Successful Inquiry</t>
  </si>
  <si>
    <t/>
  </si>
  <si>
    <t>Outbound</t>
  </si>
  <si>
    <t>SPOKE with NURSE</t>
  </si>
  <si>
    <t>New Doctor</t>
  </si>
  <si>
    <t>Portal Quipt-Edocument</t>
  </si>
  <si>
    <t>VerfiedO2Requirement</t>
  </si>
  <si>
    <t>Dialer - Busy</t>
  </si>
  <si>
    <t>Dialer - No Answer</t>
  </si>
  <si>
    <t>Portal Quipt-Manual</t>
  </si>
  <si>
    <t>Wrong Number</t>
  </si>
  <si>
    <t>NoMNAvailable</t>
  </si>
  <si>
    <t>Missing CMN</t>
  </si>
  <si>
    <t>Missing Chart Notes</t>
  </si>
  <si>
    <t>Successful Fax | SP</t>
  </si>
  <si>
    <t>DRForFollowUp</t>
  </si>
  <si>
    <t>Missing PAR</t>
  </si>
  <si>
    <t>Portal Quipt-PTCall</t>
  </si>
  <si>
    <t>Confirmed New Doctor</t>
  </si>
  <si>
    <t>Voice Mail</t>
  </si>
  <si>
    <t>No New Dr Info</t>
  </si>
  <si>
    <t>Dialer - Cancel</t>
  </si>
  <si>
    <t>Grand Total</t>
  </si>
  <si>
    <t>1</t>
  </si>
  <si>
    <t>2</t>
  </si>
  <si>
    <t>#N/A</t>
  </si>
  <si>
    <t>Agent0001@company.com</t>
  </si>
  <si>
    <t>Agent0002@company.com</t>
  </si>
  <si>
    <t>Agent0003@company.com</t>
  </si>
  <si>
    <t>Agent0004@company.com</t>
  </si>
  <si>
    <t>Agent0005@company.com</t>
  </si>
  <si>
    <t>14744348</t>
  </si>
  <si>
    <t>15394230</t>
  </si>
  <si>
    <t>15489479</t>
  </si>
  <si>
    <t>15524204</t>
  </si>
  <si>
    <t>14690348</t>
  </si>
  <si>
    <t>14692060</t>
  </si>
  <si>
    <t>14694932</t>
  </si>
  <si>
    <t>14696465</t>
  </si>
  <si>
    <t>14698177</t>
  </si>
  <si>
    <t>14699815</t>
  </si>
  <si>
    <t>14701957</t>
  </si>
  <si>
    <t>14704269</t>
  </si>
  <si>
    <t>14707064</t>
  </si>
  <si>
    <t>14708987</t>
  </si>
  <si>
    <t>14713293</t>
  </si>
  <si>
    <t>14716248</t>
  </si>
  <si>
    <t>14721432</t>
  </si>
  <si>
    <t>14723951</t>
  </si>
  <si>
    <t>14726576</t>
  </si>
  <si>
    <t>14728620</t>
  </si>
  <si>
    <t>14730542</t>
  </si>
  <si>
    <t>14733721</t>
  </si>
  <si>
    <t>14738324</t>
  </si>
  <si>
    <t>14742754</t>
  </si>
  <si>
    <t>14744589</t>
  </si>
  <si>
    <t>14748333</t>
  </si>
  <si>
    <t>14755307</t>
  </si>
  <si>
    <t>14761923</t>
  </si>
  <si>
    <t>14768766</t>
  </si>
  <si>
    <t>14772858</t>
  </si>
  <si>
    <t>14775100</t>
  </si>
  <si>
    <t>14782009</t>
  </si>
  <si>
    <t>14785470</t>
  </si>
  <si>
    <t>14787451</t>
  </si>
  <si>
    <t>14789671</t>
  </si>
  <si>
    <t>14794273</t>
  </si>
  <si>
    <t>14814911</t>
  </si>
  <si>
    <t>14816112</t>
  </si>
  <si>
    <t>14817269</t>
  </si>
  <si>
    <t>14818467</t>
  </si>
  <si>
    <t>14822036</t>
  </si>
  <si>
    <t>15435937</t>
  </si>
  <si>
    <t>15508171</t>
  </si>
  <si>
    <t>15531138</t>
  </si>
  <si>
    <t>15535997</t>
  </si>
  <si>
    <t>15564505</t>
  </si>
  <si>
    <t>15569617</t>
  </si>
  <si>
    <t>15574462</t>
  </si>
  <si>
    <t>16035893</t>
  </si>
  <si>
    <t>16037807</t>
  </si>
  <si>
    <t>16039564</t>
  </si>
  <si>
    <t>16044061</t>
  </si>
  <si>
    <t>16045457</t>
  </si>
  <si>
    <t>16047518</t>
  </si>
  <si>
    <t>16049012</t>
  </si>
  <si>
    <t>16052175</t>
  </si>
  <si>
    <t>16056841</t>
  </si>
  <si>
    <t>16058545</t>
  </si>
  <si>
    <t>16060818</t>
  </si>
  <si>
    <t>16064624</t>
  </si>
  <si>
    <t>16068430</t>
  </si>
  <si>
    <t>16070273</t>
  </si>
  <si>
    <t>16072002</t>
  </si>
  <si>
    <t>16073426</t>
  </si>
  <si>
    <t>16074321</t>
  </si>
  <si>
    <t>16075786</t>
  </si>
  <si>
    <t>16078074</t>
  </si>
  <si>
    <t>16079759</t>
  </si>
  <si>
    <t>16082617</t>
  </si>
  <si>
    <t>16084421</t>
  </si>
  <si>
    <t>16086113</t>
  </si>
  <si>
    <t>14368416</t>
  </si>
  <si>
    <t>14593839</t>
  </si>
  <si>
    <t>14608317</t>
  </si>
  <si>
    <t>14627673</t>
  </si>
  <si>
    <t>14667524</t>
  </si>
  <si>
    <t>14677046</t>
  </si>
  <si>
    <t>14707478</t>
  </si>
  <si>
    <t>14754097</t>
  </si>
  <si>
    <t>14789047</t>
  </si>
  <si>
    <t>14813726</t>
  </si>
  <si>
    <t>15105537</t>
  </si>
  <si>
    <t>15143016</t>
  </si>
  <si>
    <t>15165958</t>
  </si>
  <si>
    <t>15217910</t>
  </si>
  <si>
    <t>15259249</t>
  </si>
  <si>
    <t>15289881</t>
  </si>
  <si>
    <t>15306645</t>
  </si>
  <si>
    <t>15331558</t>
  </si>
  <si>
    <t>15345756</t>
  </si>
  <si>
    <t>15376274</t>
  </si>
  <si>
    <t>15396548</t>
  </si>
  <si>
    <t>15398623</t>
  </si>
  <si>
    <t>15419160</t>
  </si>
  <si>
    <t>15603880</t>
  </si>
  <si>
    <t>15611521</t>
  </si>
  <si>
    <t>15668787</t>
  </si>
  <si>
    <t>15699368</t>
  </si>
  <si>
    <t>15735118</t>
  </si>
  <si>
    <t>15765341</t>
  </si>
  <si>
    <t>14524750</t>
  </si>
  <si>
    <t>14556249</t>
  </si>
  <si>
    <t>14598771</t>
  </si>
  <si>
    <t>14619537</t>
  </si>
  <si>
    <t>14641374</t>
  </si>
  <si>
    <t>14682481</t>
  </si>
  <si>
    <t>14705173</t>
  </si>
  <si>
    <t>14749150</t>
  </si>
  <si>
    <t>14812968</t>
  </si>
  <si>
    <t>14846209</t>
  </si>
  <si>
    <t>14866037</t>
  </si>
  <si>
    <t>15252893</t>
  </si>
  <si>
    <t>16029476</t>
  </si>
  <si>
    <t>16073257</t>
  </si>
  <si>
    <t>16122046</t>
  </si>
  <si>
    <t>hb43886</t>
  </si>
  <si>
    <t>hb50855</t>
  </si>
  <si>
    <t>hb50151</t>
  </si>
  <si>
    <t>hb42611</t>
  </si>
  <si>
    <t>hb42608</t>
  </si>
  <si>
    <t>QPT000928</t>
  </si>
  <si>
    <t>QPT000634</t>
  </si>
  <si>
    <t>QPT000758</t>
  </si>
  <si>
    <t>QPT001020</t>
  </si>
  <si>
    <t>QPT000863</t>
  </si>
  <si>
    <t>QPT000789</t>
  </si>
  <si>
    <t>QPT000788</t>
  </si>
  <si>
    <t>QPT000787</t>
  </si>
  <si>
    <t>QPT000786</t>
  </si>
  <si>
    <t>QPT000785</t>
  </si>
  <si>
    <t>QPT000784</t>
  </si>
  <si>
    <t>QPT000782</t>
  </si>
  <si>
    <t>QPT000780</t>
  </si>
  <si>
    <t>QPT000779</t>
  </si>
  <si>
    <t>QPT000778</t>
  </si>
  <si>
    <t>QPT000777</t>
  </si>
  <si>
    <t>QPT000776</t>
  </si>
  <si>
    <t>QPT000774</t>
  </si>
  <si>
    <t>QPTeving data. Wait a few seconds and try to cut or copy again</t>
  </si>
  <si>
    <t>QPT000772</t>
  </si>
  <si>
    <t>QPT000771</t>
  </si>
  <si>
    <t>QPT000770</t>
  </si>
  <si>
    <t>QPT000768</t>
  </si>
  <si>
    <t>QPT000767</t>
  </si>
  <si>
    <t>QPT000765</t>
  </si>
  <si>
    <t>QPT000762</t>
  </si>
  <si>
    <t>QPT000761</t>
  </si>
  <si>
    <t>QPT000759</t>
  </si>
  <si>
    <t>QPT000757</t>
  </si>
  <si>
    <t>QPT000750</t>
  </si>
  <si>
    <t>QPT000606</t>
  </si>
  <si>
    <t>QPT000613</t>
  </si>
  <si>
    <t>QPT000614</t>
  </si>
  <si>
    <t>QPT000615</t>
  </si>
  <si>
    <t>QPT000619</t>
  </si>
  <si>
    <t>QPT000621</t>
  </si>
  <si>
    <t>QPT000622</t>
  </si>
  <si>
    <t>QPT000627</t>
  </si>
  <si>
    <t>QPT000630</t>
  </si>
  <si>
    <t>QPT000635</t>
  </si>
  <si>
    <t>QPT000637</t>
  </si>
  <si>
    <t>QPT000645</t>
  </si>
  <si>
    <t>QPT000648</t>
  </si>
  <si>
    <t>QPT000652</t>
  </si>
  <si>
    <t>QPT000657</t>
  </si>
  <si>
    <t>QPT000658</t>
  </si>
  <si>
    <t>QPT000697</t>
  </si>
  <si>
    <t>QPT000703</t>
  </si>
  <si>
    <t>QPT000710</t>
  </si>
  <si>
    <t>QPT000715</t>
  </si>
  <si>
    <t>QPT000718</t>
  </si>
  <si>
    <t>QPT000725</t>
  </si>
  <si>
    <t>QPT000796</t>
  </si>
  <si>
    <t>QPT000801</t>
  </si>
  <si>
    <t>QPT000806</t>
  </si>
  <si>
    <t>QPT000865</t>
  </si>
  <si>
    <t>QPT000998</t>
  </si>
  <si>
    <t>QPT000661</t>
  </si>
  <si>
    <t>QPT000659</t>
  </si>
  <si>
    <t>QPT000929</t>
  </si>
  <si>
    <t>QPT001100</t>
  </si>
  <si>
    <t>QPT000837</t>
  </si>
  <si>
    <t>QPT000856</t>
  </si>
  <si>
    <t>QPT000991</t>
  </si>
  <si>
    <t>QPT000730</t>
  </si>
  <si>
    <t>QPT000650</t>
  </si>
  <si>
    <t>QPT000691</t>
  </si>
  <si>
    <t>QPT000965</t>
  </si>
  <si>
    <t>QPT000698</t>
  </si>
  <si>
    <t>QPT000820</t>
  </si>
  <si>
    <t>QPT000646</t>
  </si>
  <si>
    <t>QPT001108</t>
  </si>
  <si>
    <t>QPT001107</t>
  </si>
  <si>
    <t>QPT001106</t>
  </si>
  <si>
    <t>QPT001105</t>
  </si>
  <si>
    <t>QPT001104</t>
  </si>
  <si>
    <t>QPT001103</t>
  </si>
  <si>
    <t>QPT001102</t>
  </si>
  <si>
    <t>QPT001101</t>
  </si>
  <si>
    <t>QPT001099</t>
  </si>
  <si>
    <t>QPT001098</t>
  </si>
  <si>
    <t>QPT001097</t>
  </si>
  <si>
    <t>QPT001096</t>
  </si>
  <si>
    <t>QPT001095</t>
  </si>
  <si>
    <t>QPT001094</t>
  </si>
  <si>
    <t>QPT001093</t>
  </si>
  <si>
    <t>QPT001092</t>
  </si>
  <si>
    <t>QPT001091</t>
  </si>
  <si>
    <t>QPT001090</t>
  </si>
  <si>
    <t>QPT001089</t>
  </si>
  <si>
    <t>QPT001088</t>
  </si>
  <si>
    <t>QPT001087</t>
  </si>
  <si>
    <t>QPT001086</t>
  </si>
  <si>
    <t>QPT001085</t>
  </si>
  <si>
    <t>QPT001084</t>
  </si>
  <si>
    <t>QPT001083</t>
  </si>
  <si>
    <t>QPT001082</t>
  </si>
  <si>
    <t>QPT001081</t>
  </si>
  <si>
    <t>QPT001080</t>
  </si>
  <si>
    <t>QPT001079</t>
  </si>
  <si>
    <t>QPT001078</t>
  </si>
  <si>
    <t>QPT001077</t>
  </si>
  <si>
    <t>QPT001076</t>
  </si>
  <si>
    <t>QPT001075</t>
  </si>
  <si>
    <t>QPT001074</t>
  </si>
  <si>
    <t>QPT001073</t>
  </si>
  <si>
    <t>QPT001072</t>
  </si>
  <si>
    <t>QPT001071</t>
  </si>
  <si>
    <t>QPT001070</t>
  </si>
  <si>
    <t>QPT001069</t>
  </si>
  <si>
    <t>QPT001068</t>
  </si>
  <si>
    <t>QPT001067</t>
  </si>
  <si>
    <t>QPT001066</t>
  </si>
  <si>
    <t>QPT001065</t>
  </si>
  <si>
    <t>QPT001064</t>
  </si>
  <si>
    <t>QPT001063</t>
  </si>
  <si>
    <t>QPT001062</t>
  </si>
  <si>
    <t>QPT001061</t>
  </si>
  <si>
    <t>QPT001060</t>
  </si>
  <si>
    <t>QPT001059</t>
  </si>
  <si>
    <t>QPT001058</t>
  </si>
  <si>
    <t>QPT001057</t>
  </si>
  <si>
    <t>QPT001056</t>
  </si>
  <si>
    <t>QPT001055</t>
  </si>
  <si>
    <t>QPT001054</t>
  </si>
  <si>
    <t>QPT001053</t>
  </si>
  <si>
    <t>QPT001052</t>
  </si>
  <si>
    <t>QPT001051</t>
  </si>
  <si>
    <t>QPT001050</t>
  </si>
  <si>
    <t>QPT001049</t>
  </si>
  <si>
    <t>QPT001048</t>
  </si>
  <si>
    <t>QPT001047</t>
  </si>
  <si>
    <t>QPT001046</t>
  </si>
  <si>
    <t>QPT001045</t>
  </si>
  <si>
    <t>QPT001044</t>
  </si>
  <si>
    <t>QPT001043</t>
  </si>
  <si>
    <t>QPT001042</t>
  </si>
  <si>
    <t>QPT001041</t>
  </si>
  <si>
    <t>QPT001040</t>
  </si>
  <si>
    <t>QPT001039</t>
  </si>
  <si>
    <t>QPT001038</t>
  </si>
  <si>
    <t>QPT001037</t>
  </si>
  <si>
    <t>QPT001036</t>
  </si>
  <si>
    <t>QPT001035</t>
  </si>
  <si>
    <t>QPT001034</t>
  </si>
  <si>
    <t>QPT001033</t>
  </si>
  <si>
    <t>QPT001032</t>
  </si>
  <si>
    <t>QPT001031</t>
  </si>
  <si>
    <t>QPT001030</t>
  </si>
  <si>
    <t>QPT001029</t>
  </si>
  <si>
    <t>QPT001028</t>
  </si>
  <si>
    <t>QPT001027</t>
  </si>
  <si>
    <t>QPT001026</t>
  </si>
  <si>
    <t>QPT001025</t>
  </si>
  <si>
    <t>QPT001024</t>
  </si>
  <si>
    <t>QPT001023</t>
  </si>
  <si>
    <t>QPT001022</t>
  </si>
  <si>
    <t>QPT001021</t>
  </si>
  <si>
    <t>QPT001019</t>
  </si>
  <si>
    <t>QPT001018</t>
  </si>
  <si>
    <t>QPT001017</t>
  </si>
  <si>
    <t>QPT001016</t>
  </si>
  <si>
    <t>QPT001015</t>
  </si>
  <si>
    <t>QPT001014</t>
  </si>
  <si>
    <t>QPT001013</t>
  </si>
  <si>
    <t>QPT001012</t>
  </si>
  <si>
    <t>QPT001011</t>
  </si>
  <si>
    <t>QPT001010</t>
  </si>
  <si>
    <t>QPT001009</t>
  </si>
  <si>
    <t>QPT001008</t>
  </si>
  <si>
    <t>QPT001007</t>
  </si>
  <si>
    <t>QPT001006</t>
  </si>
  <si>
    <t>QPT001005</t>
  </si>
  <si>
    <t>QPT001004</t>
  </si>
  <si>
    <t>QPT001003</t>
  </si>
  <si>
    <t>QPT001002</t>
  </si>
  <si>
    <t>QPT001001</t>
  </si>
  <si>
    <t>QPT001000</t>
  </si>
  <si>
    <t>QPT000999</t>
  </si>
  <si>
    <t>QPT000997</t>
  </si>
  <si>
    <t>QPT000996</t>
  </si>
  <si>
    <t>QPT000995</t>
  </si>
  <si>
    <t>QPT000994</t>
  </si>
  <si>
    <t>QPT000993</t>
  </si>
  <si>
    <t>QPT000992</t>
  </si>
  <si>
    <t>QPT000990</t>
  </si>
  <si>
    <t>QPT000989</t>
  </si>
  <si>
    <t>QPT000988</t>
  </si>
  <si>
    <t>QPT000987</t>
  </si>
  <si>
    <t>QPT000986</t>
  </si>
  <si>
    <t>QPT000985</t>
  </si>
  <si>
    <t>QPT000984</t>
  </si>
  <si>
    <t>QPT000983</t>
  </si>
  <si>
    <t>QPT000982</t>
  </si>
  <si>
    <t>QPT000981</t>
  </si>
  <si>
    <t>QPT000980</t>
  </si>
  <si>
    <t>QPT000979</t>
  </si>
  <si>
    <t>QPT000978</t>
  </si>
  <si>
    <t>QPT000977</t>
  </si>
  <si>
    <t>QPT000976</t>
  </si>
  <si>
    <t>QPT000975</t>
  </si>
  <si>
    <t>QPT000974</t>
  </si>
  <si>
    <t>QPT000973</t>
  </si>
  <si>
    <t>QPT000972</t>
  </si>
  <si>
    <t>QPT000971</t>
  </si>
  <si>
    <t>QPT000970</t>
  </si>
  <si>
    <t>QPT000969</t>
  </si>
  <si>
    <t>QPT000968</t>
  </si>
  <si>
    <t>QPT000967</t>
  </si>
  <si>
    <t>QPT000966</t>
  </si>
  <si>
    <t>QPT000964</t>
  </si>
  <si>
    <t>QPT000963</t>
  </si>
  <si>
    <t>QPT000962</t>
  </si>
  <si>
    <t>QPT000961</t>
  </si>
  <si>
    <t>QPT000960</t>
  </si>
  <si>
    <t>QPT000959</t>
  </si>
  <si>
    <t>QPT000958</t>
  </si>
  <si>
    <t>QPT000957</t>
  </si>
  <si>
    <t>QPT000956</t>
  </si>
  <si>
    <t>QPT000955</t>
  </si>
  <si>
    <t>QPT000954</t>
  </si>
  <si>
    <t>QPT000953</t>
  </si>
  <si>
    <t>QPT000952</t>
  </si>
  <si>
    <t>QPT000951</t>
  </si>
  <si>
    <t>QPT000950</t>
  </si>
  <si>
    <t>QPT000949</t>
  </si>
  <si>
    <t>QPT000948</t>
  </si>
  <si>
    <t>QPT000947</t>
  </si>
  <si>
    <t>QPT000946</t>
  </si>
  <si>
    <t>QPT000945</t>
  </si>
  <si>
    <t>QPT000944</t>
  </si>
  <si>
    <t>QPT000943</t>
  </si>
  <si>
    <t>QPT000942</t>
  </si>
  <si>
    <t>QPT000941</t>
  </si>
  <si>
    <t>QPT000940</t>
  </si>
  <si>
    <t>QPT000939</t>
  </si>
  <si>
    <t>QPT000938</t>
  </si>
  <si>
    <t>QPT000937</t>
  </si>
  <si>
    <t>QPT000936</t>
  </si>
  <si>
    <t>QPT000935</t>
  </si>
  <si>
    <t>QPT000934</t>
  </si>
  <si>
    <t>QPT000933</t>
  </si>
  <si>
    <t>QPT000932</t>
  </si>
  <si>
    <t>QPT000931</t>
  </si>
  <si>
    <t>QPT000930</t>
  </si>
  <si>
    <t>QPT000927</t>
  </si>
  <si>
    <t>QPT000926</t>
  </si>
  <si>
    <t>QPT000925</t>
  </si>
  <si>
    <t>QPT000924</t>
  </si>
  <si>
    <t>QPT000923</t>
  </si>
  <si>
    <t>QPT000922</t>
  </si>
  <si>
    <t>QPT000921</t>
  </si>
  <si>
    <t>QPT000920</t>
  </si>
  <si>
    <t>QPT000919</t>
  </si>
  <si>
    <t>QPT000918</t>
  </si>
  <si>
    <t>QPT000917</t>
  </si>
  <si>
    <t>QPT000916</t>
  </si>
  <si>
    <t>QPT000915</t>
  </si>
  <si>
    <t>QPT000914</t>
  </si>
  <si>
    <t>QPT000913</t>
  </si>
  <si>
    <t>QPT000912</t>
  </si>
  <si>
    <t>QPT000911</t>
  </si>
  <si>
    <t>QPT000910</t>
  </si>
  <si>
    <t>QPT000909</t>
  </si>
  <si>
    <t>QPT000908</t>
  </si>
  <si>
    <t>QPT000907</t>
  </si>
  <si>
    <t>QPT000906</t>
  </si>
  <si>
    <t>QPT000905</t>
  </si>
  <si>
    <t>QPT000904</t>
  </si>
  <si>
    <t>QPT000903</t>
  </si>
  <si>
    <t>QPT000902</t>
  </si>
  <si>
    <t>QPT000901</t>
  </si>
  <si>
    <t>QPT000900</t>
  </si>
  <si>
    <t>QPT000899</t>
  </si>
  <si>
    <t>QPT000898</t>
  </si>
  <si>
    <t>QPT000897</t>
  </si>
  <si>
    <t>QPT000896</t>
  </si>
  <si>
    <t>QPT000895</t>
  </si>
  <si>
    <t>QPT000894</t>
  </si>
  <si>
    <t>QPT000893</t>
  </si>
  <si>
    <t>QPT000892</t>
  </si>
  <si>
    <t>QPT000891</t>
  </si>
  <si>
    <t>QPT000890</t>
  </si>
  <si>
    <t>QPT000889</t>
  </si>
  <si>
    <t>QPT000888</t>
  </si>
  <si>
    <t>QPT000887</t>
  </si>
  <si>
    <t>QPT000886</t>
  </si>
  <si>
    <t>QPT000885</t>
  </si>
  <si>
    <t>QPT000884</t>
  </si>
  <si>
    <t>QPT000883</t>
  </si>
  <si>
    <t>QPT000882</t>
  </si>
  <si>
    <t>QPT000881</t>
  </si>
  <si>
    <t>QPT000880</t>
  </si>
  <si>
    <t>QPT000879</t>
  </si>
  <si>
    <t>QPT000878</t>
  </si>
  <si>
    <t>QPT000877</t>
  </si>
  <si>
    <t>QPT000876</t>
  </si>
  <si>
    <t>QPT000875</t>
  </si>
  <si>
    <t>QPT000874</t>
  </si>
  <si>
    <t>QPT000873</t>
  </si>
  <si>
    <t>QPT000872</t>
  </si>
  <si>
    <t>QPT000871</t>
  </si>
  <si>
    <t>QPT000870</t>
  </si>
  <si>
    <t>QPT000869</t>
  </si>
  <si>
    <t>QPT000868</t>
  </si>
  <si>
    <t>QPT000867</t>
  </si>
  <si>
    <t>QPT000866</t>
  </si>
  <si>
    <t>QPT000864</t>
  </si>
  <si>
    <t>QPT000862</t>
  </si>
  <si>
    <t>QPT000861</t>
  </si>
  <si>
    <t>QPT000860</t>
  </si>
  <si>
    <t>QPT000859</t>
  </si>
  <si>
    <t>QPT000858</t>
  </si>
  <si>
    <t>QPT000857</t>
  </si>
  <si>
    <t>QPT000855</t>
  </si>
  <si>
    <t>QPT000854</t>
  </si>
  <si>
    <t>QPT000853</t>
  </si>
  <si>
    <t>QPT000852</t>
  </si>
  <si>
    <t>QPT000851</t>
  </si>
  <si>
    <t>QPT000850</t>
  </si>
  <si>
    <t>QPT000849</t>
  </si>
  <si>
    <t>QPT000848</t>
  </si>
  <si>
    <t>QPT000847</t>
  </si>
  <si>
    <t>QPT000846</t>
  </si>
  <si>
    <t>QPT000845</t>
  </si>
  <si>
    <t>QPT000844</t>
  </si>
  <si>
    <t>QPT000843</t>
  </si>
  <si>
    <t>QPT000842</t>
  </si>
  <si>
    <t>QPT000841</t>
  </si>
  <si>
    <t>QPT000840</t>
  </si>
  <si>
    <t>QPT000839</t>
  </si>
  <si>
    <t>QPT000838</t>
  </si>
  <si>
    <t>QPT000836</t>
  </si>
  <si>
    <t>QPT000835</t>
  </si>
  <si>
    <t>QPT000834</t>
  </si>
  <si>
    <t>QPT000833</t>
  </si>
  <si>
    <t>QPT000832</t>
  </si>
  <si>
    <t>QPT000831</t>
  </si>
  <si>
    <t>QPT000830</t>
  </si>
  <si>
    <t>QPT000829</t>
  </si>
  <si>
    <t>QPT000828</t>
  </si>
  <si>
    <t>QPT000827</t>
  </si>
  <si>
    <t>QPT000826</t>
  </si>
  <si>
    <t>QPT000825</t>
  </si>
  <si>
    <t>QPT000824</t>
  </si>
  <si>
    <t>QPT000823</t>
  </si>
  <si>
    <t>QPT000822</t>
  </si>
  <si>
    <t>QPT000821</t>
  </si>
  <si>
    <t>QPT000819</t>
  </si>
  <si>
    <t>QPT000818</t>
  </si>
  <si>
    <t>QPT000817</t>
  </si>
  <si>
    <t>QPT000816</t>
  </si>
  <si>
    <t>QPT000815</t>
  </si>
  <si>
    <t>QPT000814</t>
  </si>
  <si>
    <t>QPT000813</t>
  </si>
  <si>
    <t>QPT000812</t>
  </si>
  <si>
    <t>QPT000811</t>
  </si>
  <si>
    <t>QPT000810</t>
  </si>
  <si>
    <t>QPT000809</t>
  </si>
  <si>
    <t>QPT000808</t>
  </si>
  <si>
    <t>QPT000807</t>
  </si>
  <si>
    <t>QPT000805</t>
  </si>
  <si>
    <t>QPT000804</t>
  </si>
  <si>
    <t>QPT000803</t>
  </si>
  <si>
    <t>QPT000802</t>
  </si>
  <si>
    <t>QPT000800</t>
  </si>
  <si>
    <t>QPT000799</t>
  </si>
  <si>
    <t>QPT000798</t>
  </si>
  <si>
    <t>QPT000797</t>
  </si>
  <si>
    <t>QPT000795</t>
  </si>
  <si>
    <t>QPT000794</t>
  </si>
  <si>
    <t>QPT000793</t>
  </si>
  <si>
    <t>QPT000792</t>
  </si>
  <si>
    <t>QPT000791</t>
  </si>
  <si>
    <t>QPT000790</t>
  </si>
  <si>
    <t>QPT000783</t>
  </si>
  <si>
    <t>QPT000781</t>
  </si>
  <si>
    <t>QPT000775</t>
  </si>
  <si>
    <t>QPT000773</t>
  </si>
  <si>
    <t>QPT000769</t>
  </si>
  <si>
    <t>QPT000766</t>
  </si>
  <si>
    <t>QPT000764</t>
  </si>
  <si>
    <t>QPT000763</t>
  </si>
  <si>
    <t>QPT000760</t>
  </si>
  <si>
    <t>QPT000756</t>
  </si>
  <si>
    <t>QPT000755</t>
  </si>
  <si>
    <t>QPT000754</t>
  </si>
  <si>
    <t>QPT000753</t>
  </si>
  <si>
    <t>QPT000752</t>
  </si>
  <si>
    <t>QPT000751</t>
  </si>
  <si>
    <t>QPT000749</t>
  </si>
  <si>
    <t>QPT000748</t>
  </si>
  <si>
    <t>QPT000747</t>
  </si>
  <si>
    <t>QPT000746</t>
  </si>
  <si>
    <t>QPT000745</t>
  </si>
  <si>
    <t>QPT000744</t>
  </si>
  <si>
    <t>QPT000743</t>
  </si>
  <si>
    <t>QPT000742</t>
  </si>
  <si>
    <t>QPT000741</t>
  </si>
  <si>
    <t>QPT000740</t>
  </si>
  <si>
    <t>QPT000739</t>
  </si>
  <si>
    <t>QPT000738</t>
  </si>
  <si>
    <t>QPT000737</t>
  </si>
  <si>
    <t>QPT000736</t>
  </si>
  <si>
    <t>QPT000735</t>
  </si>
  <si>
    <t>QPT000734</t>
  </si>
  <si>
    <t>QPT000733</t>
  </si>
  <si>
    <t>QPT000732</t>
  </si>
  <si>
    <t>QPT000731</t>
  </si>
  <si>
    <t>QPT000729</t>
  </si>
  <si>
    <t>QPT000728</t>
  </si>
  <si>
    <t>QPT000727</t>
  </si>
  <si>
    <t>QPT000726</t>
  </si>
  <si>
    <t>QPT000724</t>
  </si>
  <si>
    <t>QPT000723</t>
  </si>
  <si>
    <t>QPT000722</t>
  </si>
  <si>
    <t>QPT000721</t>
  </si>
  <si>
    <t>QPT000720</t>
  </si>
  <si>
    <t>QPT000719</t>
  </si>
  <si>
    <t>QPT000717</t>
  </si>
  <si>
    <t>QPT000716</t>
  </si>
  <si>
    <t>QPT000714</t>
  </si>
  <si>
    <t>QPT000713</t>
  </si>
  <si>
    <t>QPT000712</t>
  </si>
  <si>
    <t>QPT000711</t>
  </si>
  <si>
    <t>QPT000709</t>
  </si>
  <si>
    <t>QPT000708</t>
  </si>
  <si>
    <t>QPT000707</t>
  </si>
  <si>
    <t>QPT000706</t>
  </si>
  <si>
    <t>QPT000705</t>
  </si>
  <si>
    <t>QPT000704</t>
  </si>
  <si>
    <t>QPT000702</t>
  </si>
  <si>
    <t>QPT000701</t>
  </si>
  <si>
    <t>QPT000700</t>
  </si>
  <si>
    <t>QPT000699</t>
  </si>
  <si>
    <t>QPT000696</t>
  </si>
  <si>
    <t>QPT000695</t>
  </si>
  <si>
    <t>QPT000694</t>
  </si>
  <si>
    <t>QPT000693</t>
  </si>
  <si>
    <t>QPT000692</t>
  </si>
  <si>
    <t>QPT000690</t>
  </si>
  <si>
    <t>QPT000689</t>
  </si>
  <si>
    <t>QPT000688</t>
  </si>
  <si>
    <t>QPT000687</t>
  </si>
  <si>
    <t>QPT000686</t>
  </si>
  <si>
    <t>QPT000685</t>
  </si>
  <si>
    <t>QPT000684</t>
  </si>
  <si>
    <t>QPT000683</t>
  </si>
  <si>
    <t>QPT000682</t>
  </si>
  <si>
    <t>QPT000681</t>
  </si>
  <si>
    <t>QPT000680</t>
  </si>
  <si>
    <t>QPT000679</t>
  </si>
  <si>
    <t>QPT000678</t>
  </si>
  <si>
    <t>QPT000677</t>
  </si>
  <si>
    <t>QPT000676</t>
  </si>
  <si>
    <t>QPT000675</t>
  </si>
  <si>
    <t>QPT000674</t>
  </si>
  <si>
    <t>QPT000673</t>
  </si>
  <si>
    <t>QPT000672</t>
  </si>
  <si>
    <t>QPT000671</t>
  </si>
  <si>
    <t>QPT000670</t>
  </si>
  <si>
    <t>QPT000669</t>
  </si>
  <si>
    <t>QPT000668</t>
  </si>
  <si>
    <t>QPT000667</t>
  </si>
  <si>
    <t>QPT000666</t>
  </si>
  <si>
    <t>QPT000665</t>
  </si>
  <si>
    <t>QPT000664</t>
  </si>
  <si>
    <t>QPT000663</t>
  </si>
  <si>
    <t>QPT000662</t>
  </si>
  <si>
    <t>QPT000660</t>
  </si>
  <si>
    <t>QPT000656</t>
  </si>
  <si>
    <t>QPT000655</t>
  </si>
  <si>
    <t>QPT000654</t>
  </si>
  <si>
    <t>QPT000653</t>
  </si>
  <si>
    <t>QPT000651</t>
  </si>
  <si>
    <t>QPT000649</t>
  </si>
  <si>
    <t>QPT000647</t>
  </si>
  <si>
    <t>QPT000644</t>
  </si>
  <si>
    <t>QPT000643</t>
  </si>
  <si>
    <t>QPT000642</t>
  </si>
  <si>
    <t>QPT000641</t>
  </si>
  <si>
    <t>QPT000640</t>
  </si>
  <si>
    <t>QPT000639</t>
  </si>
  <si>
    <t>QPT000638</t>
  </si>
  <si>
    <t>QPT000636</t>
  </si>
  <si>
    <t>QPT000633</t>
  </si>
  <si>
    <t>QPT000632</t>
  </si>
  <si>
    <t>QPT000631</t>
  </si>
  <si>
    <t>QPT000629</t>
  </si>
  <si>
    <t>QPT000628</t>
  </si>
  <si>
    <t>QPT000626</t>
  </si>
  <si>
    <t>QPT000625</t>
  </si>
  <si>
    <t>QPT000624</t>
  </si>
  <si>
    <t>QPT000623</t>
  </si>
  <si>
    <t>QPT000620</t>
  </si>
  <si>
    <t>QPT000618</t>
  </si>
  <si>
    <t>QPT000617</t>
  </si>
  <si>
    <t>QPT000616</t>
  </si>
  <si>
    <t>QPT000612</t>
  </si>
  <si>
    <t>QPT000611</t>
  </si>
  <si>
    <t>QPT000610</t>
  </si>
  <si>
    <t>QPT000609</t>
  </si>
  <si>
    <t>QPT000608</t>
  </si>
  <si>
    <t>QPT000607</t>
  </si>
  <si>
    <t>QPT000605</t>
  </si>
  <si>
    <t>QPT000604</t>
  </si>
  <si>
    <t>QPT000603</t>
  </si>
  <si>
    <t>QPT000602</t>
  </si>
  <si>
    <t>QPT000601</t>
  </si>
  <si>
    <t>QPT000600</t>
  </si>
  <si>
    <t>QPT000599</t>
  </si>
  <si>
    <t>QPT000598</t>
  </si>
  <si>
    <t>QPT000597</t>
  </si>
  <si>
    <t>QPT000596</t>
  </si>
  <si>
    <t>QPT000595</t>
  </si>
  <si>
    <t>QPT000594</t>
  </si>
  <si>
    <t>QPT000593</t>
  </si>
  <si>
    <t>QPT000592</t>
  </si>
  <si>
    <t>QPT000591</t>
  </si>
  <si>
    <t>QPT000590</t>
  </si>
  <si>
    <t>QPT000589</t>
  </si>
  <si>
    <t>QPT000588</t>
  </si>
  <si>
    <t>QPT000587</t>
  </si>
  <si>
    <t>QPT000586</t>
  </si>
  <si>
    <t>QPT000585</t>
  </si>
  <si>
    <t>QPT000584</t>
  </si>
  <si>
    <t>QPT000583</t>
  </si>
  <si>
    <t>QPT000582</t>
  </si>
  <si>
    <t>QPT000581</t>
  </si>
  <si>
    <t>QPT000580</t>
  </si>
  <si>
    <t>QPT000579</t>
  </si>
  <si>
    <t>QPT000578</t>
  </si>
  <si>
    <t>QPT000577</t>
  </si>
  <si>
    <t>QPT000576</t>
  </si>
  <si>
    <t>QPT000575</t>
  </si>
  <si>
    <t>QPT000574</t>
  </si>
  <si>
    <t>QPT000573</t>
  </si>
  <si>
    <t>QPT000572</t>
  </si>
  <si>
    <t>QPT000571</t>
  </si>
  <si>
    <t>QPT000570</t>
  </si>
  <si>
    <t>QPT000569</t>
  </si>
  <si>
    <t>QPT000568</t>
  </si>
  <si>
    <t>QPT000567</t>
  </si>
  <si>
    <t>QPT000566</t>
  </si>
  <si>
    <t>QPT000565</t>
  </si>
  <si>
    <t>QPT000564</t>
  </si>
  <si>
    <t>QPT000563</t>
  </si>
  <si>
    <t>QPT000562</t>
  </si>
  <si>
    <t>QPT000561</t>
  </si>
  <si>
    <t>QPT000560</t>
  </si>
  <si>
    <t>QPT000559</t>
  </si>
  <si>
    <t>QPT000558</t>
  </si>
  <si>
    <t>QPT000557</t>
  </si>
  <si>
    <t>QPT000556</t>
  </si>
  <si>
    <t>QPT000555</t>
  </si>
  <si>
    <t>QPT000554</t>
  </si>
  <si>
    <t>QPT000553</t>
  </si>
  <si>
    <t>QPT000552</t>
  </si>
  <si>
    <t>QPT000551</t>
  </si>
  <si>
    <t>QPT000550</t>
  </si>
  <si>
    <t>QPT000549</t>
  </si>
  <si>
    <t>QPT000548</t>
  </si>
  <si>
    <t>QPT000547</t>
  </si>
  <si>
    <t>QPT000546</t>
  </si>
  <si>
    <t>QPT000545</t>
  </si>
  <si>
    <t>QPT000544</t>
  </si>
  <si>
    <t>QPT000543</t>
  </si>
  <si>
    <t>QPT000542</t>
  </si>
  <si>
    <t>QPT000541</t>
  </si>
  <si>
    <t>QPT000540</t>
  </si>
  <si>
    <t>QPT000539</t>
  </si>
  <si>
    <t>QPT000538</t>
  </si>
  <si>
    <t>QPT000537</t>
  </si>
  <si>
    <t>QPT000536</t>
  </si>
  <si>
    <t>QPT000535</t>
  </si>
  <si>
    <t>QPT000534</t>
  </si>
  <si>
    <t>QPT000533</t>
  </si>
  <si>
    <t>QPT000532</t>
  </si>
  <si>
    <t>QPT000531</t>
  </si>
  <si>
    <t>QPT000530</t>
  </si>
  <si>
    <t>QPT000529</t>
  </si>
  <si>
    <t>QPT000528</t>
  </si>
  <si>
    <t>QPT000527</t>
  </si>
  <si>
    <t>QPT000526</t>
  </si>
  <si>
    <t>QPT000525</t>
  </si>
  <si>
    <t>QPT000524</t>
  </si>
  <si>
    <t>QPT000523</t>
  </si>
  <si>
    <t>QPT000522</t>
  </si>
  <si>
    <t>QPT000521</t>
  </si>
  <si>
    <t>QPT000520</t>
  </si>
  <si>
    <t>QPT000519</t>
  </si>
  <si>
    <t>QPT000518</t>
  </si>
  <si>
    <t>QPT000517</t>
  </si>
  <si>
    <t>QPT000516</t>
  </si>
  <si>
    <t>QPT000515</t>
  </si>
  <si>
    <t>QPT000514</t>
  </si>
  <si>
    <t>QPT000513</t>
  </si>
  <si>
    <t>QPT000512</t>
  </si>
  <si>
    <t>QPT000511</t>
  </si>
  <si>
    <t>QPT000510</t>
  </si>
  <si>
    <t>QPT000509</t>
  </si>
  <si>
    <t>QPT000508</t>
  </si>
  <si>
    <t>QPT000507</t>
  </si>
  <si>
    <t>QPT000506</t>
  </si>
  <si>
    <t>QPT000505</t>
  </si>
  <si>
    <t>QPT000504</t>
  </si>
  <si>
    <t>QPT000503</t>
  </si>
  <si>
    <t>QPT000502</t>
  </si>
  <si>
    <t>QPT000501</t>
  </si>
  <si>
    <t>QPT000500</t>
  </si>
  <si>
    <t>QPT000499</t>
  </si>
  <si>
    <t>QPT000498</t>
  </si>
  <si>
    <t>QPT000497</t>
  </si>
  <si>
    <t>QPT000496</t>
  </si>
  <si>
    <t>QPT000495</t>
  </si>
  <si>
    <t>QPT000494</t>
  </si>
  <si>
    <t>QPT000493</t>
  </si>
  <si>
    <t>QPT000492</t>
  </si>
  <si>
    <t>QPT000491</t>
  </si>
  <si>
    <t>QPT000490</t>
  </si>
  <si>
    <t>QPT000489</t>
  </si>
  <si>
    <t>QPT000488</t>
  </si>
  <si>
    <t>QPT000487</t>
  </si>
  <si>
    <t>QPT000486</t>
  </si>
  <si>
    <t>QPT000485</t>
  </si>
  <si>
    <t>QPT000484</t>
  </si>
  <si>
    <t>QPT000483</t>
  </si>
  <si>
    <t>QPT000482</t>
  </si>
  <si>
    <t>QPT000481</t>
  </si>
  <si>
    <t>QPT000480</t>
  </si>
  <si>
    <t>QPT000479</t>
  </si>
  <si>
    <t>QPT000478</t>
  </si>
  <si>
    <t>QPT000477</t>
  </si>
  <si>
    <t>QPT000476</t>
  </si>
  <si>
    <t>QPT000475</t>
  </si>
  <si>
    <t>QPT000474</t>
  </si>
  <si>
    <t>QPT000473</t>
  </si>
  <si>
    <t>QPT000472</t>
  </si>
  <si>
    <t>QPT000471</t>
  </si>
  <si>
    <t>QPT000470</t>
  </si>
  <si>
    <t>QPT000469</t>
  </si>
  <si>
    <t>QPT000468</t>
  </si>
  <si>
    <t>QPT000467</t>
  </si>
  <si>
    <t>QPT000466</t>
  </si>
  <si>
    <t>QPT000465</t>
  </si>
  <si>
    <t>QPT000464</t>
  </si>
  <si>
    <t>QPT000463</t>
  </si>
  <si>
    <t>QPT000462</t>
  </si>
  <si>
    <t>QPT000461</t>
  </si>
  <si>
    <t>QPT000460</t>
  </si>
  <si>
    <t>QPT000459</t>
  </si>
  <si>
    <t>QPT000458</t>
  </si>
  <si>
    <t>QPT000457</t>
  </si>
  <si>
    <t>QPT000456</t>
  </si>
  <si>
    <t>QPT000455</t>
  </si>
  <si>
    <t>QPT000454</t>
  </si>
  <si>
    <t>QPT000453</t>
  </si>
  <si>
    <t>QPT000452</t>
  </si>
  <si>
    <t>QPT000451</t>
  </si>
  <si>
    <t>QPT000450</t>
  </si>
  <si>
    <t>QPT000449</t>
  </si>
  <si>
    <t>QPT000448</t>
  </si>
  <si>
    <t>QPT000447</t>
  </si>
  <si>
    <t>QPT000446</t>
  </si>
  <si>
    <t>QPT000445</t>
  </si>
  <si>
    <t>QPT000444</t>
  </si>
  <si>
    <t>QPT000443</t>
  </si>
  <si>
    <t>QPT000442</t>
  </si>
  <si>
    <t>QPT000441</t>
  </si>
  <si>
    <t>QPT000440</t>
  </si>
  <si>
    <t>QPT000439</t>
  </si>
  <si>
    <t>QPT000438</t>
  </si>
  <si>
    <t>QPT000437</t>
  </si>
  <si>
    <t>QPT000436</t>
  </si>
  <si>
    <t>QPT000435</t>
  </si>
  <si>
    <t>QPT000434</t>
  </si>
  <si>
    <t>QPT000433</t>
  </si>
  <si>
    <t>QPT000432</t>
  </si>
  <si>
    <t>QPT000431</t>
  </si>
  <si>
    <t>QPT000430</t>
  </si>
  <si>
    <t>QPT000429</t>
  </si>
  <si>
    <t>QPT000428</t>
  </si>
  <si>
    <t>QPT000427</t>
  </si>
  <si>
    <t>QPT000426</t>
  </si>
  <si>
    <t>QPT000425</t>
  </si>
  <si>
    <t>QPT000424</t>
  </si>
  <si>
    <t>QPT000423</t>
  </si>
  <si>
    <t>QPT000422</t>
  </si>
  <si>
    <t>QPT000421</t>
  </si>
  <si>
    <t>QPT000420</t>
  </si>
  <si>
    <t>QPT000419</t>
  </si>
  <si>
    <t>QPT000418</t>
  </si>
  <si>
    <t>QPT000417</t>
  </si>
  <si>
    <t>QPT000416</t>
  </si>
  <si>
    <t>QPT000415</t>
  </si>
  <si>
    <t>QPT000414</t>
  </si>
  <si>
    <t>QPT000413</t>
  </si>
  <si>
    <t>QPT000412</t>
  </si>
  <si>
    <t>QPT000411</t>
  </si>
  <si>
    <t>QPT000410</t>
  </si>
  <si>
    <t>QPT000409</t>
  </si>
  <si>
    <t>QPT000408</t>
  </si>
  <si>
    <t>QPT000407</t>
  </si>
  <si>
    <t>QPT000406</t>
  </si>
  <si>
    <t>QPT000405</t>
  </si>
  <si>
    <t>QPT000404</t>
  </si>
  <si>
    <t>QPT000403</t>
  </si>
  <si>
    <t>QPT000402</t>
  </si>
  <si>
    <t>QPT000401</t>
  </si>
  <si>
    <t>QPT000400</t>
  </si>
  <si>
    <t>QPT000399</t>
  </si>
  <si>
    <t>QPT000398</t>
  </si>
  <si>
    <t>QPT000397</t>
  </si>
  <si>
    <t>QPT000396</t>
  </si>
  <si>
    <t>QPT000395</t>
  </si>
  <si>
    <t>QPT000394</t>
  </si>
  <si>
    <t>QPT000393</t>
  </si>
  <si>
    <t>QPT000392</t>
  </si>
  <si>
    <t>QPT000391</t>
  </si>
  <si>
    <t>QPT000390</t>
  </si>
  <si>
    <t>QPT000389</t>
  </si>
  <si>
    <t>QPT000388</t>
  </si>
  <si>
    <t>QPT000387</t>
  </si>
  <si>
    <t>QPT000386</t>
  </si>
  <si>
    <t>QPT000385</t>
  </si>
  <si>
    <t>QPT000384</t>
  </si>
  <si>
    <t>QPT000383</t>
  </si>
  <si>
    <t>QPT000382</t>
  </si>
  <si>
    <t>QPT000381</t>
  </si>
  <si>
    <t>QPT000380</t>
  </si>
  <si>
    <t>QPT000379</t>
  </si>
  <si>
    <t>QPT000378</t>
  </si>
  <si>
    <t>QPT000377</t>
  </si>
  <si>
    <t>QPT000376</t>
  </si>
  <si>
    <t>QPT000375</t>
  </si>
  <si>
    <t>QPT000374</t>
  </si>
  <si>
    <t>QPT000373</t>
  </si>
  <si>
    <t>QPT000372</t>
  </si>
  <si>
    <t>QPT000371</t>
  </si>
  <si>
    <t>QPT000370</t>
  </si>
  <si>
    <t>QPT000369</t>
  </si>
  <si>
    <t>QPT000368</t>
  </si>
  <si>
    <t>QPT000367</t>
  </si>
  <si>
    <t>QPT000366</t>
  </si>
  <si>
    <t>QPT000365</t>
  </si>
  <si>
    <t>QPT000364</t>
  </si>
  <si>
    <t>QPT000363</t>
  </si>
  <si>
    <t>QPT000362</t>
  </si>
  <si>
    <t>QPT000361</t>
  </si>
  <si>
    <t>QPT000360</t>
  </si>
  <si>
    <t>QPT000359</t>
  </si>
  <si>
    <t>QPT000358</t>
  </si>
  <si>
    <t>QPT000357</t>
  </si>
  <si>
    <t>QPT000356</t>
  </si>
  <si>
    <t>QPT000355</t>
  </si>
  <si>
    <t>QPT000354</t>
  </si>
  <si>
    <t>QPT000353</t>
  </si>
  <si>
    <t>QPT000352</t>
  </si>
  <si>
    <t>QPT000351</t>
  </si>
  <si>
    <t>QPT000350</t>
  </si>
  <si>
    <t>QPT000349</t>
  </si>
  <si>
    <t>QPT000348</t>
  </si>
  <si>
    <t>QPT000347</t>
  </si>
  <si>
    <t>QPT000346</t>
  </si>
  <si>
    <t>QPT000345</t>
  </si>
  <si>
    <t>QPT000344</t>
  </si>
  <si>
    <t>QPT000343</t>
  </si>
  <si>
    <t>QPT000342</t>
  </si>
  <si>
    <t>QPT000341</t>
  </si>
  <si>
    <t>QPT000340</t>
  </si>
  <si>
    <t>QPT000339</t>
  </si>
  <si>
    <t>QPT000338</t>
  </si>
  <si>
    <t>QPT000337</t>
  </si>
  <si>
    <t>QPT000336</t>
  </si>
  <si>
    <t>QPT000335</t>
  </si>
  <si>
    <t>QPT000334</t>
  </si>
  <si>
    <t>QPT000333</t>
  </si>
  <si>
    <t>QPT000332</t>
  </si>
  <si>
    <t>QPT000331</t>
  </si>
  <si>
    <t>QPT000330</t>
  </si>
  <si>
    <t>QPT000329</t>
  </si>
  <si>
    <t>QPT000328</t>
  </si>
  <si>
    <t>QPT000327</t>
  </si>
  <si>
    <t>QPT000326</t>
  </si>
  <si>
    <t>QPT000325</t>
  </si>
  <si>
    <t>QPT000324</t>
  </si>
  <si>
    <t>QPT000323</t>
  </si>
  <si>
    <t>QPT000322</t>
  </si>
  <si>
    <t>QPT000321</t>
  </si>
  <si>
    <t>QPT000320</t>
  </si>
  <si>
    <t>QPT000319</t>
  </si>
  <si>
    <t>QPT000318</t>
  </si>
  <si>
    <t>QPT000317</t>
  </si>
  <si>
    <t>QPT000316</t>
  </si>
  <si>
    <t>QPT000315</t>
  </si>
  <si>
    <t>QPT000314</t>
  </si>
  <si>
    <t>QPT000313</t>
  </si>
  <si>
    <t>QPT000312</t>
  </si>
  <si>
    <t>QPT000311</t>
  </si>
  <si>
    <t>QPT000310</t>
  </si>
  <si>
    <t>QPT000309</t>
  </si>
  <si>
    <t>QPT000308</t>
  </si>
  <si>
    <t>QPT000307</t>
  </si>
  <si>
    <t>QPT000306</t>
  </si>
  <si>
    <t>QPT000305</t>
  </si>
  <si>
    <t>QPT000304</t>
  </si>
  <si>
    <t>QPT000303</t>
  </si>
  <si>
    <t>QPT000302</t>
  </si>
  <si>
    <t>QPT000301</t>
  </si>
  <si>
    <t>QPT000300</t>
  </si>
  <si>
    <t>QPT000299</t>
  </si>
  <si>
    <t>QPT000298</t>
  </si>
  <si>
    <t>QPT000297</t>
  </si>
  <si>
    <t>QPT000296</t>
  </si>
  <si>
    <t>QPT000295</t>
  </si>
  <si>
    <t>QPT000294</t>
  </si>
  <si>
    <t>QPT000293</t>
  </si>
  <si>
    <t>QPT000292</t>
  </si>
  <si>
    <t>QPT000291</t>
  </si>
  <si>
    <t>QPT000290</t>
  </si>
  <si>
    <t>QPT000289</t>
  </si>
  <si>
    <t>QPT000288</t>
  </si>
  <si>
    <t>QPT000287</t>
  </si>
  <si>
    <t>QPT000286</t>
  </si>
  <si>
    <t>QPT000285</t>
  </si>
  <si>
    <t>QPT000284</t>
  </si>
  <si>
    <t>QPT000283</t>
  </si>
  <si>
    <t>QPT000282</t>
  </si>
  <si>
    <t>QPT000281</t>
  </si>
  <si>
    <t>QPT000280</t>
  </si>
  <si>
    <t>QPT000279</t>
  </si>
  <si>
    <t>QPT000278</t>
  </si>
  <si>
    <t>QPT000277</t>
  </si>
  <si>
    <t>QPT000276</t>
  </si>
  <si>
    <t>QPT000275</t>
  </si>
  <si>
    <t>QPT000274</t>
  </si>
  <si>
    <t>QPT000273</t>
  </si>
  <si>
    <t>QPT000272</t>
  </si>
  <si>
    <t>QPT000271</t>
  </si>
  <si>
    <t>QPT000270</t>
  </si>
  <si>
    <t>QPT000269</t>
  </si>
  <si>
    <t>QPT000268</t>
  </si>
  <si>
    <t>QPT000267</t>
  </si>
  <si>
    <t>QPT000266</t>
  </si>
  <si>
    <t>QPT000265</t>
  </si>
  <si>
    <t>QPT000264</t>
  </si>
  <si>
    <t>QPT000263</t>
  </si>
  <si>
    <t>QPT000262</t>
  </si>
  <si>
    <t>QPT000261</t>
  </si>
  <si>
    <t>QPT000260</t>
  </si>
  <si>
    <t>QPT000259</t>
  </si>
  <si>
    <t>QPT000258</t>
  </si>
  <si>
    <t>QPT000257</t>
  </si>
  <si>
    <t>QPT000256</t>
  </si>
  <si>
    <t>QPT000255</t>
  </si>
  <si>
    <t>QPT000254</t>
  </si>
  <si>
    <t>QPT000253</t>
  </si>
  <si>
    <t>QPT000252</t>
  </si>
  <si>
    <t>QPT000251</t>
  </si>
  <si>
    <t>QPT000250</t>
  </si>
  <si>
    <t>QPT000249</t>
  </si>
  <si>
    <t>QPT000248</t>
  </si>
  <si>
    <t>QPT000247</t>
  </si>
  <si>
    <t>QPT000246</t>
  </si>
  <si>
    <t>QPT000245</t>
  </si>
  <si>
    <t>QPT000244</t>
  </si>
  <si>
    <t>QPT000243</t>
  </si>
  <si>
    <t>QPT000242</t>
  </si>
  <si>
    <t>QPT000241</t>
  </si>
  <si>
    <t>QPT000240</t>
  </si>
  <si>
    <t>QPT000239</t>
  </si>
  <si>
    <t>QPT000238</t>
  </si>
  <si>
    <t>QPT000237</t>
  </si>
  <si>
    <t>QPT000236</t>
  </si>
  <si>
    <t>QPT000235</t>
  </si>
  <si>
    <t>QPT000234</t>
  </si>
  <si>
    <t>QPT000233</t>
  </si>
  <si>
    <t>QPT000232</t>
  </si>
  <si>
    <t>QPT000231</t>
  </si>
  <si>
    <t>QPT000230</t>
  </si>
  <si>
    <t>QPT000229</t>
  </si>
  <si>
    <t>QPT000228</t>
  </si>
  <si>
    <t>QPT000227</t>
  </si>
  <si>
    <t>QPT000226</t>
  </si>
  <si>
    <t>QPT000225</t>
  </si>
  <si>
    <t>QPT000224</t>
  </si>
  <si>
    <t>QPT000223</t>
  </si>
  <si>
    <t>QPT000222</t>
  </si>
  <si>
    <t>QPT000221</t>
  </si>
  <si>
    <t>QPT000220</t>
  </si>
  <si>
    <t>QPT000219</t>
  </si>
  <si>
    <t>QPT000218</t>
  </si>
  <si>
    <t>QPT000217</t>
  </si>
  <si>
    <t>QPT000216</t>
  </si>
  <si>
    <t>QPT000215</t>
  </si>
  <si>
    <t>QPT000214</t>
  </si>
  <si>
    <t>QPT000213</t>
  </si>
  <si>
    <t>QPT000212</t>
  </si>
  <si>
    <t>QPT000211</t>
  </si>
  <si>
    <t>QPT000210</t>
  </si>
  <si>
    <t>QPT000209</t>
  </si>
  <si>
    <t>QPT000208</t>
  </si>
  <si>
    <t>QPT000207</t>
  </si>
  <si>
    <t>QPT000206</t>
  </si>
  <si>
    <t>QPT000205</t>
  </si>
  <si>
    <t>QPT000204</t>
  </si>
  <si>
    <t>QPT000203</t>
  </si>
  <si>
    <t>QPT000202</t>
  </si>
  <si>
    <t>QPT000201</t>
  </si>
  <si>
    <t>QPT000200</t>
  </si>
  <si>
    <t>QPT000199</t>
  </si>
  <si>
    <t>QPT000198</t>
  </si>
  <si>
    <t>QPT000197</t>
  </si>
  <si>
    <t>QPT000196</t>
  </si>
  <si>
    <t>QPT000195</t>
  </si>
  <si>
    <t>QPT000194</t>
  </si>
  <si>
    <t>QPT000193</t>
  </si>
  <si>
    <t>QPT000192</t>
  </si>
  <si>
    <t>QPT000191</t>
  </si>
  <si>
    <t>QPT000190</t>
  </si>
  <si>
    <t>QPT000189</t>
  </si>
  <si>
    <t>QPT000188</t>
  </si>
  <si>
    <t>QPT000187</t>
  </si>
  <si>
    <t>QPT000186</t>
  </si>
  <si>
    <t>QPT000185</t>
  </si>
  <si>
    <t>QPT000184</t>
  </si>
  <si>
    <t>QPT000183</t>
  </si>
  <si>
    <t>QPT000182</t>
  </si>
  <si>
    <t>QPT000181</t>
  </si>
  <si>
    <t>QPT000180</t>
  </si>
  <si>
    <t>QPT000179</t>
  </si>
  <si>
    <t>QPT000178</t>
  </si>
  <si>
    <t>QPT000177</t>
  </si>
  <si>
    <t>QPT000176</t>
  </si>
  <si>
    <t>QPT000175</t>
  </si>
  <si>
    <t>QPT000174</t>
  </si>
  <si>
    <t>QPT000173</t>
  </si>
  <si>
    <t>QPT000172</t>
  </si>
  <si>
    <t>QPT000171</t>
  </si>
  <si>
    <t>QPT000170</t>
  </si>
  <si>
    <t>QPT000169</t>
  </si>
  <si>
    <t>QPT000168</t>
  </si>
  <si>
    <t>QPT000167</t>
  </si>
  <si>
    <t>QPT000166</t>
  </si>
  <si>
    <t>QPT000165</t>
  </si>
  <si>
    <t>QPT000164</t>
  </si>
  <si>
    <t>QPT000163</t>
  </si>
  <si>
    <t>QPT000162</t>
  </si>
  <si>
    <t>QPT000161</t>
  </si>
  <si>
    <t>QPT000160</t>
  </si>
  <si>
    <t>QPT000159</t>
  </si>
  <si>
    <t>QPT000158</t>
  </si>
  <si>
    <t>QPT000157</t>
  </si>
  <si>
    <t>QPT000156</t>
  </si>
  <si>
    <t>QPT000155</t>
  </si>
  <si>
    <t>QPT000154</t>
  </si>
  <si>
    <t>QPT000153</t>
  </si>
  <si>
    <t>QPT000152</t>
  </si>
  <si>
    <t>QPT000151</t>
  </si>
  <si>
    <t>QPT000150</t>
  </si>
  <si>
    <t>QPT000149</t>
  </si>
  <si>
    <t>QPT000148</t>
  </si>
  <si>
    <t>QPT000147</t>
  </si>
  <si>
    <t>QPT000146</t>
  </si>
  <si>
    <t>QPT000145</t>
  </si>
  <si>
    <t>QPT000144</t>
  </si>
  <si>
    <t>QPT000143</t>
  </si>
  <si>
    <t>QPT000142</t>
  </si>
  <si>
    <t>QPT000141</t>
  </si>
  <si>
    <t>QPT000140</t>
  </si>
  <si>
    <t>QPT000139</t>
  </si>
  <si>
    <t>QPT000138</t>
  </si>
  <si>
    <t>QPT000137</t>
  </si>
  <si>
    <t>QPT000136</t>
  </si>
  <si>
    <t>QPT000135</t>
  </si>
  <si>
    <t>QPT000134</t>
  </si>
  <si>
    <t>QPT000133</t>
  </si>
  <si>
    <t>QPT000132</t>
  </si>
  <si>
    <t>QPT000131</t>
  </si>
  <si>
    <t>QPT000130</t>
  </si>
  <si>
    <t>QPT000129</t>
  </si>
  <si>
    <t>QPT000128</t>
  </si>
  <si>
    <t>QPT000127</t>
  </si>
  <si>
    <t>QPT000126</t>
  </si>
  <si>
    <t>QPT000125</t>
  </si>
  <si>
    <t>QPT000124</t>
  </si>
  <si>
    <t>QPT000123</t>
  </si>
  <si>
    <t>QPT000122</t>
  </si>
  <si>
    <t>QPT000121</t>
  </si>
  <si>
    <t>QPT000120</t>
  </si>
  <si>
    <t>QPT000119</t>
  </si>
  <si>
    <t>QPT000118</t>
  </si>
  <si>
    <t>QPT000117</t>
  </si>
  <si>
    <t>QPT000116</t>
  </si>
  <si>
    <t>QPT000115</t>
  </si>
  <si>
    <t>QPT000114</t>
  </si>
  <si>
    <t>QPT000113</t>
  </si>
  <si>
    <t>QPT000112</t>
  </si>
  <si>
    <t>QPT000111</t>
  </si>
  <si>
    <t>QPT000110</t>
  </si>
  <si>
    <t>QPT000109</t>
  </si>
  <si>
    <t>QPT000108</t>
  </si>
  <si>
    <t>QPT000107</t>
  </si>
  <si>
    <t>QPT000106</t>
  </si>
  <si>
    <t>QPT000105</t>
  </si>
  <si>
    <t>QPT000104</t>
  </si>
  <si>
    <t>QPT000103</t>
  </si>
  <si>
    <t>QPT000102</t>
  </si>
  <si>
    <t>QPT000101</t>
  </si>
  <si>
    <t>QPT000100</t>
  </si>
  <si>
    <t>QPT000099</t>
  </si>
  <si>
    <t>QPT000098</t>
  </si>
  <si>
    <t>QPT000097</t>
  </si>
  <si>
    <t>QPT000096</t>
  </si>
  <si>
    <t>QPT000095</t>
  </si>
  <si>
    <t>QPT000094</t>
  </si>
  <si>
    <t>QPT000093</t>
  </si>
  <si>
    <t>QPT000092</t>
  </si>
  <si>
    <t>QPT000091</t>
  </si>
  <si>
    <t>QPT000090</t>
  </si>
  <si>
    <t>QPT000089</t>
  </si>
  <si>
    <t>QPT000088</t>
  </si>
  <si>
    <t>QPT000087</t>
  </si>
  <si>
    <t>QPT000086</t>
  </si>
  <si>
    <t>QPT000085</t>
  </si>
  <si>
    <t>QPT000084</t>
  </si>
  <si>
    <t>QPT000083</t>
  </si>
  <si>
    <t>QPT000082</t>
  </si>
  <si>
    <t>QPT000081</t>
  </si>
  <si>
    <t>QPT000080</t>
  </si>
  <si>
    <t>QPT000079</t>
  </si>
  <si>
    <t>QPT000078</t>
  </si>
  <si>
    <t>QPT000077</t>
  </si>
  <si>
    <t>QPT000076</t>
  </si>
  <si>
    <t>QPT000075</t>
  </si>
  <si>
    <t>QPT000074</t>
  </si>
  <si>
    <t>QPT000073</t>
  </si>
  <si>
    <t>QPT000072</t>
  </si>
  <si>
    <t>QPT000071</t>
  </si>
  <si>
    <t>QPT000070</t>
  </si>
  <si>
    <t>QPT000069</t>
  </si>
  <si>
    <t>QPT000068</t>
  </si>
  <si>
    <t>QPT000067</t>
  </si>
  <si>
    <t>QPT000066</t>
  </si>
  <si>
    <t>QPT000065</t>
  </si>
  <si>
    <t>QPT000064</t>
  </si>
  <si>
    <t>QPT000063</t>
  </si>
  <si>
    <t>QPT000062</t>
  </si>
  <si>
    <t>QPT000061</t>
  </si>
  <si>
    <t>QPT000060</t>
  </si>
  <si>
    <t>QPT000059</t>
  </si>
  <si>
    <t>QPT000058</t>
  </si>
  <si>
    <t>QPT000057</t>
  </si>
  <si>
    <t>QPT000056</t>
  </si>
  <si>
    <t>QPT000055</t>
  </si>
  <si>
    <t>QPT000054</t>
  </si>
  <si>
    <t>QPT000053</t>
  </si>
  <si>
    <t>QPT000052</t>
  </si>
  <si>
    <t>QPT000051</t>
  </si>
  <si>
    <t>QPT000050</t>
  </si>
  <si>
    <t>QPT000049</t>
  </si>
  <si>
    <t>QPT000048</t>
  </si>
  <si>
    <t>QPT000047</t>
  </si>
  <si>
    <t>QPT000046</t>
  </si>
  <si>
    <t>QPT000045</t>
  </si>
  <si>
    <t>QPT000044</t>
  </si>
  <si>
    <t>QPT000043</t>
  </si>
  <si>
    <t>QPT000042</t>
  </si>
  <si>
    <t>QPT000041</t>
  </si>
  <si>
    <t>QPT000040</t>
  </si>
  <si>
    <t>QPT000039</t>
  </si>
  <si>
    <t>QPT000038</t>
  </si>
  <si>
    <t>QPT000037</t>
  </si>
  <si>
    <t>QPT000036</t>
  </si>
  <si>
    <t>QPT000035</t>
  </si>
  <si>
    <t>QPT000034</t>
  </si>
  <si>
    <t>QPT000033</t>
  </si>
  <si>
    <t>QPT000032</t>
  </si>
  <si>
    <t>QPT000031</t>
  </si>
  <si>
    <t>QPT000030</t>
  </si>
  <si>
    <t>QPT000029</t>
  </si>
  <si>
    <t>QPT000028</t>
  </si>
  <si>
    <t>QPT000027</t>
  </si>
  <si>
    <t>QPT000026</t>
  </si>
  <si>
    <t>QPT000025</t>
  </si>
  <si>
    <t>QPT000024</t>
  </si>
  <si>
    <t>QPT000023</t>
  </si>
  <si>
    <t>QPT000022</t>
  </si>
  <si>
    <t>QPT000021</t>
  </si>
  <si>
    <t>QPT000020</t>
  </si>
  <si>
    <t>QPT000019</t>
  </si>
  <si>
    <t>QPT000018</t>
  </si>
  <si>
    <t>QPT000017</t>
  </si>
  <si>
    <t>QPT000016</t>
  </si>
  <si>
    <t>QPT000015</t>
  </si>
  <si>
    <t>QPT000014</t>
  </si>
  <si>
    <t>QPT000013</t>
  </si>
  <si>
    <t>QPT000012</t>
  </si>
  <si>
    <t>QPT000011</t>
  </si>
  <si>
    <t>QPT000010</t>
  </si>
  <si>
    <t>QPT000009</t>
  </si>
  <si>
    <t>QPT000008</t>
  </si>
  <si>
    <t>QPT000007</t>
  </si>
  <si>
    <t>QPT000006</t>
  </si>
  <si>
    <t>QPT000005</t>
  </si>
  <si>
    <t>QPT000004</t>
  </si>
  <si>
    <t>QPT000003</t>
  </si>
  <si>
    <t>QPT000002</t>
  </si>
  <si>
    <t>QPT000001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</si>
</sst>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47"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27" formatCode="m/d/yyyy\ h:mm"/>
    </dxf>
    <dxf>
      <numFmt numFmtId="27" formatCode="m/d/yyyy\ h:mm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5918.401459837965" backgroundQuery="1" createdVersion="8" refreshedVersion="8" minRefreshableVersion="3" recordCount="0" supportSubquery="1" supportAdvancedDrill="1" xr:uid="{39BB3149-EE22-4946-BAAB-CF39523227C9}">
  <cacheSource type="external" connectionId="7"/>
  <cacheFields count="3">
    <cacheField name="[Data1].[Campaign].[Campaign]" caption="Campaign" numFmtId="0" hierarchy="3" level="1">
      <sharedItems containsSemiMixedTypes="0" containsNonDate="0" containsString="0"/>
    </cacheField>
    <cacheField name="[Data1].[Touch Count].[Touch Count]" caption="Touch Count" numFmtId="0" hierarchy="5" level="1">
      <sharedItems count="2">
        <s v="1"/>
        <s v="2"/>
      </sharedItems>
    </cacheField>
    <cacheField name="[Measures].[Count of unqid]" caption="Count of unqid" numFmtId="0" hierarchy="31" level="32767"/>
  </cacheFields>
  <cacheHierarchies count="32">
    <cacheHierarchy uniqueName="[Data1].[unqid]" caption="unqid" attribute="1" defaultMemberUniqueName="[Data1].[unqid].[All]" allUniqueName="[Data1].[unqid].[All]" dimensionUniqueName="[Data1]" displayFolder="" count="0" memberValueDatatype="130" unbalanced="0"/>
    <cacheHierarchy uniqueName="[Data1].[SubStatus]" caption="SubStatus" attribute="1" defaultMemberUniqueName="[Data1].[SubStatus].[All]" allUniqueName="[Data1].[SubStatus].[All]" dimensionUniqueName="[Data1]" displayFolder="" count="0" memberValueDatatype="130" unbalanced="0"/>
    <cacheHierarchy uniqueName="[Data1].[Days Grouping]" caption="Days Grouping" attribute="1" defaultMemberUniqueName="[Data1].[Days Grouping].[All]" allUniqueName="[Data1].[Days Grouping].[All]" dimensionUniqueName="[Data1]" displayFolder="" count="0" memberValueDatatype="130" unbalanced="0"/>
    <cacheHierarchy uniqueName="[Data1].[Campaign]" caption="Campaign" attribute="1" defaultMemberUniqueName="[Data1].[Campaign].[All]" allUniqueName="[Data1].[Campaign].[All]" dimensionUniqueName="[Data1]" displayFolder="" count="2" memberValueDatatype="130" unbalanced="0">
      <fieldsUsage count="2">
        <fieldUsage x="-1"/>
        <fieldUsage x="0"/>
      </fieldsUsage>
    </cacheHierarchy>
    <cacheHierarchy uniqueName="[Data1].[Row Number]" caption="Row Number" attribute="1" defaultMemberUniqueName="[Data1].[Row Number].[All]" allUniqueName="[Data1].[Row Number].[All]" dimensionUniqueName="[Data1]" displayFolder="" count="0" memberValueDatatype="130" unbalanced="0"/>
    <cacheHierarchy uniqueName="[Data1].[Touch Count]" caption="Touch Count" attribute="1" defaultMemberUniqueName="[Data1].[Touch Count].[All]" allUniqueName="[Data1].[Touch Count].[All]" dimensionUniqueName="[Data1]" displayFolder="" count="2" memberValueDatatype="130" unbalanced="0">
      <fieldsUsage count="2">
        <fieldUsage x="-1"/>
        <fieldUsage x="1"/>
      </fieldsUsage>
    </cacheHierarchy>
    <cacheHierarchy uniqueName="[Quipt_Prod_Data].[CallID]" caption="CallID" attribute="1" defaultMemberUniqueName="[Quipt_Prod_Data].[CallID].[All]" allUniqueName="[Quipt_Prod_Data].[CallID].[All]" dimensionUniqueName="[Quipt_Prod_Data]" displayFolder="" count="0" memberValueDatatype="5" unbalanced="0"/>
    <cacheHierarchy uniqueName="[Quipt_Prod_Data].[Campaign]" caption="Campaign" attribute="1" defaultMemberUniqueName="[Quipt_Prod_Data].[Campaign].[All]" allUniqueName="[Quipt_Prod_Data].[Campaign].[All]" dimensionUniqueName="[Quipt_Prod_Data]" displayFolder="" count="0" memberValueDatatype="130" unbalanced="0"/>
    <cacheHierarchy uniqueName="[Quipt_Prod_Data].[Direction]" caption="Direction" attribute="1" defaultMemberUniqueName="[Quipt_Prod_Data].[Direction].[All]" allUniqueName="[Quipt_Prod_Data].[Direction].[All]" dimensionUniqueName="[Quipt_Prod_Data]" displayFolder="" count="0" memberValueDatatype="130" unbalanced="0"/>
    <cacheHierarchy uniqueName="[Quipt_Prod_Data].[From]" caption="From" attribute="1" defaultMemberUniqueName="[Quipt_Prod_Data].[From].[All]" allUniqueName="[Quipt_Prod_Data].[From].[All]" dimensionUniqueName="[Quipt_Prod_Data]" displayFolder="" count="0" memberValueDatatype="5" unbalanced="0"/>
    <cacheHierarchy uniqueName="[Quipt_Prod_Data].[To]" caption="To" attribute="1" defaultMemberUniqueName="[Quipt_Prod_Data].[To].[All]" allUniqueName="[Quipt_Prod_Data].[To].[All]" dimensionUniqueName="[Quipt_Prod_Data]" displayFolder="" count="0" memberValueDatatype="5" unbalanced="0"/>
    <cacheHierarchy uniqueName="[Quipt_Prod_Data].[AgentID]" caption="AgentID" attribute="1" defaultMemberUniqueName="[Quipt_Prod_Data].[AgentID].[All]" allUniqueName="[Quipt_Prod_Data].[AgentID].[All]" dimensionUniqueName="[Quipt_Prod_Data]" displayFolder="" count="0" memberValueDatatype="20" unbalanced="0"/>
    <cacheHierarchy uniqueName="[Quipt_Prod_Data].[AgentEmail]" caption="AgentEmail" attribute="1" defaultMemberUniqueName="[Quipt_Prod_Data].[AgentEmail].[All]" allUniqueName="[Quipt_Prod_Data].[AgentEmail].[All]" dimensionUniqueName="[Quipt_Prod_Data]" displayFolder="" count="0" memberValueDatatype="130" unbalanced="0"/>
    <cacheHierarchy uniqueName="[Quipt_Prod_Data].[StartTime]" caption="StartTime" attribute="1" time="1" defaultMemberUniqueName="[Quipt_Prod_Data].[StartTime].[All]" allUniqueName="[Quipt_Prod_Data].[StartTime].[All]" dimensionUniqueName="[Quipt_Prod_Data]" displayFolder="" count="0" memberValueDatatype="7" unbalanced="0"/>
    <cacheHierarchy uniqueName="[Quipt_Prod_Data].[Duration]" caption="Duration" attribute="1" defaultMemberUniqueName="[Quipt_Prod_Data].[Duration].[All]" allUniqueName="[Quipt_Prod_Data].[Duration].[All]" dimensionUniqueName="[Quipt_Prod_Data]" displayFolder="" count="0" memberValueDatatype="20" unbalanced="0"/>
    <cacheHierarchy uniqueName="[Quipt_Prod_Data].[Result]" caption="Result" attribute="1" defaultMemberUniqueName="[Quipt_Prod_Data].[Result].[All]" allUniqueName="[Quipt_Prod_Data].[Result].[All]" dimensionUniqueName="[Quipt_Prod_Data]" displayFolder="" count="0" memberValueDatatype="130" unbalanced="0"/>
    <cacheHierarchy uniqueName="[Quipt_Prod_Data].[LeadID]" caption="LeadID" attribute="1" defaultMemberUniqueName="[Quipt_Prod_Data].[LeadID].[All]" allUniqueName="[Quipt_Prod_Data].[LeadID].[All]" dimensionUniqueName="[Quipt_Prod_Data]" displayFolder="" count="0" memberValueDatatype="20" unbalanced="0"/>
    <cacheHierarchy uniqueName="[Quipt_Prod_Data].[ExternalLeadID]" caption="ExternalLeadID" attribute="1" defaultMemberUniqueName="[Quipt_Prod_Data].[ExternalLeadID].[All]" allUniqueName="[Quipt_Prod_Data].[ExternalLeadID].[All]" dimensionUniqueName="[Quipt_Prod_Data]" displayFolder="" count="0" memberValueDatatype="130" unbalanced="0"/>
    <cacheHierarchy uniqueName="[Quipt_Prod_Data].[PubID]" caption="PubID" attribute="1" defaultMemberUniqueName="[Quipt_Prod_Data].[PubID].[All]" allUniqueName="[Quipt_Prod_Data].[PubID].[All]" dimensionUniqueName="[Quipt_Prod_Data]" displayFolder="" count="0" memberValueDatatype="130" unbalanced="0"/>
    <cacheHierarchy uniqueName="[Quipt_Prod_Data].[SubID]" caption="SubID" attribute="1" defaultMemberUniqueName="[Quipt_Prod_Data].[SubID].[All]" allUniqueName="[Quipt_Prod_Data].[SubID].[All]" dimensionUniqueName="[Quipt_Prod_Data]" displayFolder="" count="0" memberValueDatatype="130" unbalanced="0"/>
    <cacheHierarchy uniqueName="[Quipt_Prod_Data].[TalkTime]" caption="TalkTime" attribute="1" defaultMemberUniqueName="[Quipt_Prod_Data].[TalkTime].[All]" allUniqueName="[Quipt_Prod_Data].[TalkTime].[All]" dimensionUniqueName="[Quipt_Prod_Data]" displayFolder="" count="0" memberValueDatatype="20" unbalanced="0"/>
    <cacheHierarchy uniqueName="[Quipt_Prod_Data].[WrapUpDuration]" caption="WrapUpDuration" attribute="1" defaultMemberUniqueName="[Quipt_Prod_Data].[WrapUpDuration].[All]" allUniqueName="[Quipt_Prod_Data].[WrapUpDuration].[All]" dimensionUniqueName="[Quipt_Prod_Data]" displayFolder="" count="0" memberValueDatatype="20" unbalanced="0"/>
    <cacheHierarchy uniqueName="[Quipt_Prod_Data].[CompletedDate]" caption="CompletedDate" attribute="1" time="1" defaultMemberUniqueName="[Quipt_Prod_Data].[CompletedDate].[All]" allUniqueName="[Quipt_Prod_Data].[CompletedDate].[All]" dimensionUniqueName="[Quipt_Prod_Data]" displayFolder="" count="0" memberValueDatatype="7" unbalanced="0"/>
    <cacheHierarchy uniqueName="[Quipt_Prod_Data].[SubStatus]" caption="SubStatus" attribute="1" defaultMemberUniqueName="[Quipt_Prod_Data].[SubStatus].[All]" allUniqueName="[Quipt_Prod_Data].[SubStatus].[All]" dimensionUniqueName="[Quipt_Prod_Data]" displayFolder="" count="0" memberValueDatatype="130" unbalanced="0"/>
    <cacheHierarchy uniqueName="[Quipt_Prod_Data].[Days Grouping]" caption="Days Grouping" attribute="1" defaultMemberUniqueName="[Quipt_Prod_Data].[Days Grouping].[All]" allUniqueName="[Quipt_Prod_Data].[Days Grouping].[All]" dimensionUniqueName="[Quipt_Prod_Data]" displayFolder="" count="0" memberValueDatatype="130" unbalanced="0"/>
    <cacheHierarchy uniqueName="[Measures].[__XL_Count Quipt_Prod_Data]" caption="__XL_Count Quipt_Prod_Data" measure="1" displayFolder="" measureGroup="Quipt_Prod_Data" count="0" hidden="1"/>
    <cacheHierarchy uniqueName="[Measures].[__XL_Count Data1]" caption="__XL_Count Data1" measure="1" displayFolder="" measureGroup="Data1" count="0" hidden="1"/>
    <cacheHierarchy uniqueName="[Measures].[__No measures defined]" caption="__No measures defined" measure="1" displayFolder="" count="0" hidden="1"/>
    <cacheHierarchy uniqueName="[Measures].[Count of ExternalLeadID]" caption="Count of ExternalLeadID" measure="1" displayFolder="" measureGroup="Quipt_Prod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ompletedDate]" caption="Count of CompletedDate" measure="1" displayFolder="" measureGroup="Quipt_Prod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ow Number]" caption="Count of Row Number" measure="1" displayFolder="" measureGroup="Dat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qid]" caption="Count of unqid" measure="1" displayFolder="" measureGroup="Dat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Data1" uniqueName="[Data1]" caption="Data1"/>
    <dimension measure="1" name="Measures" uniqueName="[Measures]" caption="Measures"/>
    <dimension name="Quipt_Prod_Data" uniqueName="[Quipt_Prod_Data]" caption="Quipt_Prod_Data"/>
  </dimensions>
  <measureGroups count="2">
    <measureGroup name="Data1" caption="Data1"/>
    <measureGroup name="Quipt_Prod_Data" caption="Quipt_Prod_Data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5918.401458680557" backgroundQuery="1" createdVersion="8" refreshedVersion="8" minRefreshableVersion="3" recordCount="0" supportSubquery="1" supportAdvancedDrill="1" xr:uid="{45E1A543-0B4F-4CB1-B0BA-14C546C69EB5}">
  <cacheSource type="external" connectionId="7"/>
  <cacheFields count="2">
    <cacheField name="[Data1].[Campaign].[Campaign]" caption="Campaign" numFmtId="0" hierarchy="3" level="1">
      <sharedItems count="3">
        <s v="Portal Quipt All Calls"/>
        <s v="Portal Quipt-Edocument"/>
        <s v="Portal Quipt-PTCall"/>
      </sharedItems>
    </cacheField>
    <cacheField name="[Measures].[Count of Row Number]" caption="Count of Row Number" numFmtId="0" hierarchy="30" level="32767"/>
  </cacheFields>
  <cacheHierarchies count="32">
    <cacheHierarchy uniqueName="[Data1].[unqid]" caption="unqid" attribute="1" defaultMemberUniqueName="[Data1].[unqid].[All]" allUniqueName="[Data1].[unqid].[All]" dimensionUniqueName="[Data1]" displayFolder="" count="0" memberValueDatatype="130" unbalanced="0"/>
    <cacheHierarchy uniqueName="[Data1].[SubStatus]" caption="SubStatus" attribute="1" defaultMemberUniqueName="[Data1].[SubStatus].[All]" allUniqueName="[Data1].[SubStatus].[All]" dimensionUniqueName="[Data1]" displayFolder="" count="0" memberValueDatatype="130" unbalanced="0"/>
    <cacheHierarchy uniqueName="[Data1].[Days Grouping]" caption="Days Grouping" attribute="1" defaultMemberUniqueName="[Data1].[Days Grouping].[All]" allUniqueName="[Data1].[Days Grouping].[All]" dimensionUniqueName="[Data1]" displayFolder="" count="0" memberValueDatatype="130" unbalanced="0"/>
    <cacheHierarchy uniqueName="[Data1].[Campaign]" caption="Campaign" attribute="1" defaultMemberUniqueName="[Data1].[Campaign].[All]" allUniqueName="[Data1].[Campaign].[All]" dimensionUniqueName="[Data1]" displayFolder="" count="2" memberValueDatatype="130" unbalanced="0">
      <fieldsUsage count="2">
        <fieldUsage x="-1"/>
        <fieldUsage x="0"/>
      </fieldsUsage>
    </cacheHierarchy>
    <cacheHierarchy uniqueName="[Data1].[Row Number]" caption="Row Number" attribute="1" defaultMemberUniqueName="[Data1].[Row Number].[All]" allUniqueName="[Data1].[Row Number].[All]" dimensionUniqueName="[Data1]" displayFolder="" count="0" memberValueDatatype="130" unbalanced="0"/>
    <cacheHierarchy uniqueName="[Data1].[Touch Count]" caption="Touch Count" attribute="1" defaultMemberUniqueName="[Data1].[Touch Count].[All]" allUniqueName="[Data1].[Touch Count].[All]" dimensionUniqueName="[Data1]" displayFolder="" count="0" memberValueDatatype="130" unbalanced="0"/>
    <cacheHierarchy uniqueName="[Quipt_Prod_Data].[CallID]" caption="CallID" attribute="1" defaultMemberUniqueName="[Quipt_Prod_Data].[CallID].[All]" allUniqueName="[Quipt_Prod_Data].[CallID].[All]" dimensionUniqueName="[Quipt_Prod_Data]" displayFolder="" count="0" memberValueDatatype="5" unbalanced="0"/>
    <cacheHierarchy uniqueName="[Quipt_Prod_Data].[Campaign]" caption="Campaign" attribute="1" defaultMemberUniqueName="[Quipt_Prod_Data].[Campaign].[All]" allUniqueName="[Quipt_Prod_Data].[Campaign].[All]" dimensionUniqueName="[Quipt_Prod_Data]" displayFolder="" count="0" memberValueDatatype="130" unbalanced="0"/>
    <cacheHierarchy uniqueName="[Quipt_Prod_Data].[Direction]" caption="Direction" attribute="1" defaultMemberUniqueName="[Quipt_Prod_Data].[Direction].[All]" allUniqueName="[Quipt_Prod_Data].[Direction].[All]" dimensionUniqueName="[Quipt_Prod_Data]" displayFolder="" count="0" memberValueDatatype="130" unbalanced="0"/>
    <cacheHierarchy uniqueName="[Quipt_Prod_Data].[From]" caption="From" attribute="1" defaultMemberUniqueName="[Quipt_Prod_Data].[From].[All]" allUniqueName="[Quipt_Prod_Data].[From].[All]" dimensionUniqueName="[Quipt_Prod_Data]" displayFolder="" count="0" memberValueDatatype="5" unbalanced="0"/>
    <cacheHierarchy uniqueName="[Quipt_Prod_Data].[To]" caption="To" attribute="1" defaultMemberUniqueName="[Quipt_Prod_Data].[To].[All]" allUniqueName="[Quipt_Prod_Data].[To].[All]" dimensionUniqueName="[Quipt_Prod_Data]" displayFolder="" count="0" memberValueDatatype="5" unbalanced="0"/>
    <cacheHierarchy uniqueName="[Quipt_Prod_Data].[AgentID]" caption="AgentID" attribute="1" defaultMemberUniqueName="[Quipt_Prod_Data].[AgentID].[All]" allUniqueName="[Quipt_Prod_Data].[AgentID].[All]" dimensionUniqueName="[Quipt_Prod_Data]" displayFolder="" count="0" memberValueDatatype="20" unbalanced="0"/>
    <cacheHierarchy uniqueName="[Quipt_Prod_Data].[AgentEmail]" caption="AgentEmail" attribute="1" defaultMemberUniqueName="[Quipt_Prod_Data].[AgentEmail].[All]" allUniqueName="[Quipt_Prod_Data].[AgentEmail].[All]" dimensionUniqueName="[Quipt_Prod_Data]" displayFolder="" count="0" memberValueDatatype="130" unbalanced="0"/>
    <cacheHierarchy uniqueName="[Quipt_Prod_Data].[StartTime]" caption="StartTime" attribute="1" time="1" defaultMemberUniqueName="[Quipt_Prod_Data].[StartTime].[All]" allUniqueName="[Quipt_Prod_Data].[StartTime].[All]" dimensionUniqueName="[Quipt_Prod_Data]" displayFolder="" count="0" memberValueDatatype="7" unbalanced="0"/>
    <cacheHierarchy uniqueName="[Quipt_Prod_Data].[Duration]" caption="Duration" attribute="1" defaultMemberUniqueName="[Quipt_Prod_Data].[Duration].[All]" allUniqueName="[Quipt_Prod_Data].[Duration].[All]" dimensionUniqueName="[Quipt_Prod_Data]" displayFolder="" count="0" memberValueDatatype="20" unbalanced="0"/>
    <cacheHierarchy uniqueName="[Quipt_Prod_Data].[Result]" caption="Result" attribute="1" defaultMemberUniqueName="[Quipt_Prod_Data].[Result].[All]" allUniqueName="[Quipt_Prod_Data].[Result].[All]" dimensionUniqueName="[Quipt_Prod_Data]" displayFolder="" count="0" memberValueDatatype="130" unbalanced="0"/>
    <cacheHierarchy uniqueName="[Quipt_Prod_Data].[LeadID]" caption="LeadID" attribute="1" defaultMemberUniqueName="[Quipt_Prod_Data].[LeadID].[All]" allUniqueName="[Quipt_Prod_Data].[LeadID].[All]" dimensionUniqueName="[Quipt_Prod_Data]" displayFolder="" count="0" memberValueDatatype="20" unbalanced="0"/>
    <cacheHierarchy uniqueName="[Quipt_Prod_Data].[ExternalLeadID]" caption="ExternalLeadID" attribute="1" defaultMemberUniqueName="[Quipt_Prod_Data].[ExternalLeadID].[All]" allUniqueName="[Quipt_Prod_Data].[ExternalLeadID].[All]" dimensionUniqueName="[Quipt_Prod_Data]" displayFolder="" count="0" memberValueDatatype="130" unbalanced="0"/>
    <cacheHierarchy uniqueName="[Quipt_Prod_Data].[PubID]" caption="PubID" attribute="1" defaultMemberUniqueName="[Quipt_Prod_Data].[PubID].[All]" allUniqueName="[Quipt_Prod_Data].[PubID].[All]" dimensionUniqueName="[Quipt_Prod_Data]" displayFolder="" count="0" memberValueDatatype="130" unbalanced="0"/>
    <cacheHierarchy uniqueName="[Quipt_Prod_Data].[SubID]" caption="SubID" attribute="1" defaultMemberUniqueName="[Quipt_Prod_Data].[SubID].[All]" allUniqueName="[Quipt_Prod_Data].[SubID].[All]" dimensionUniqueName="[Quipt_Prod_Data]" displayFolder="" count="0" memberValueDatatype="130" unbalanced="0"/>
    <cacheHierarchy uniqueName="[Quipt_Prod_Data].[TalkTime]" caption="TalkTime" attribute="1" defaultMemberUniqueName="[Quipt_Prod_Data].[TalkTime].[All]" allUniqueName="[Quipt_Prod_Data].[TalkTime].[All]" dimensionUniqueName="[Quipt_Prod_Data]" displayFolder="" count="0" memberValueDatatype="20" unbalanced="0"/>
    <cacheHierarchy uniqueName="[Quipt_Prod_Data].[WrapUpDuration]" caption="WrapUpDuration" attribute="1" defaultMemberUniqueName="[Quipt_Prod_Data].[WrapUpDuration].[All]" allUniqueName="[Quipt_Prod_Data].[WrapUpDuration].[All]" dimensionUniqueName="[Quipt_Prod_Data]" displayFolder="" count="0" memberValueDatatype="20" unbalanced="0"/>
    <cacheHierarchy uniqueName="[Quipt_Prod_Data].[CompletedDate]" caption="CompletedDate" attribute="1" time="1" defaultMemberUniqueName="[Quipt_Prod_Data].[CompletedDate].[All]" allUniqueName="[Quipt_Prod_Data].[CompletedDate].[All]" dimensionUniqueName="[Quipt_Prod_Data]" displayFolder="" count="0" memberValueDatatype="7" unbalanced="0"/>
    <cacheHierarchy uniqueName="[Quipt_Prod_Data].[SubStatus]" caption="SubStatus" attribute="1" defaultMemberUniqueName="[Quipt_Prod_Data].[SubStatus].[All]" allUniqueName="[Quipt_Prod_Data].[SubStatus].[All]" dimensionUniqueName="[Quipt_Prod_Data]" displayFolder="" count="0" memberValueDatatype="130" unbalanced="0"/>
    <cacheHierarchy uniqueName="[Quipt_Prod_Data].[Days Grouping]" caption="Days Grouping" attribute="1" defaultMemberUniqueName="[Quipt_Prod_Data].[Days Grouping].[All]" allUniqueName="[Quipt_Prod_Data].[Days Grouping].[All]" dimensionUniqueName="[Quipt_Prod_Data]" displayFolder="" count="0" memberValueDatatype="130" unbalanced="0"/>
    <cacheHierarchy uniqueName="[Measures].[__XL_Count Quipt_Prod_Data]" caption="__XL_Count Quipt_Prod_Data" measure="1" displayFolder="" measureGroup="Quipt_Prod_Data" count="0" hidden="1"/>
    <cacheHierarchy uniqueName="[Measures].[__XL_Count Data1]" caption="__XL_Count Data1" measure="1" displayFolder="" measureGroup="Data1" count="0" hidden="1"/>
    <cacheHierarchy uniqueName="[Measures].[__No measures defined]" caption="__No measures defined" measure="1" displayFolder="" count="0" hidden="1"/>
    <cacheHierarchy uniqueName="[Measures].[Count of ExternalLeadID]" caption="Count of ExternalLeadID" measure="1" displayFolder="" measureGroup="Quipt_Prod_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ompletedDate]" caption="Count of CompletedDate" measure="1" displayFolder="" measureGroup="Quipt_Prod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ow Number]" caption="Count of Row Number" measure="1" displayFolder="" measureGroup="Dat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qid]" caption="Count of unqid" measure="1" displayFolder="" measureGroup="Dat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Data1" uniqueName="[Data1]" caption="Data1"/>
    <dimension measure="1" name="Measures" uniqueName="[Measures]" caption="Measures"/>
    <dimension name="Quipt_Prod_Data" uniqueName="[Quipt_Prod_Data]" caption="Quipt_Prod_Data"/>
  </dimensions>
  <measureGroups count="2">
    <measureGroup name="Data1" caption="Data1"/>
    <measureGroup name="Quipt_Prod_Data" caption="Quipt_Prod_Data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5918.40146724537" backgroundQuery="1" createdVersion="8" refreshedVersion="8" minRefreshableVersion="3" recordCount="0" supportSubquery="1" supportAdvancedDrill="1" xr:uid="{A5285F19-B939-4CC6-9962-94C1C886C4BC}">
  <cacheSource type="external" connectionId="7"/>
  <cacheFields count="3">
    <cacheField name="[Quipt_Prod_Data].[Campaign].[Campaign]" caption="Campaign" numFmtId="0" hierarchy="7" level="1">
      <sharedItems count="4">
        <s v="Portal Quipt All Calls"/>
        <s v="Portal Quipt-Edocument"/>
        <s v="Portal Quipt-Manual"/>
        <s v="Portal Quipt-PTCall"/>
      </sharedItems>
    </cacheField>
    <cacheField name="[Quipt_Prod_Data].[Days Grouping].[Days Grouping]" caption="Days Grouping" numFmtId="0" hierarchy="24" level="1">
      <sharedItems count="2">
        <s v="#N/A"/>
        <s v="3 or less"/>
      </sharedItems>
    </cacheField>
    <cacheField name="[Measures].[Count of ExternalLeadID]" caption="Count of ExternalLeadID" numFmtId="0" hierarchy="28" level="32767"/>
  </cacheFields>
  <cacheHierarchies count="32">
    <cacheHierarchy uniqueName="[Data1].[unqid]" caption="unqid" attribute="1" defaultMemberUniqueName="[Data1].[unqid].[All]" allUniqueName="[Data1].[unqid].[All]" dimensionUniqueName="[Data1]" displayFolder="" count="0" memberValueDatatype="130" unbalanced="0"/>
    <cacheHierarchy uniqueName="[Data1].[SubStatus]" caption="SubStatus" attribute="1" defaultMemberUniqueName="[Data1].[SubStatus].[All]" allUniqueName="[Data1].[SubStatus].[All]" dimensionUniqueName="[Data1]" displayFolder="" count="0" memberValueDatatype="130" unbalanced="0"/>
    <cacheHierarchy uniqueName="[Data1].[Days Grouping]" caption="Days Grouping" attribute="1" defaultMemberUniqueName="[Data1].[Days Grouping].[All]" allUniqueName="[Data1].[Days Grouping].[All]" dimensionUniqueName="[Data1]" displayFolder="" count="0" memberValueDatatype="130" unbalanced="0"/>
    <cacheHierarchy uniqueName="[Data1].[Campaign]" caption="Campaign" attribute="1" defaultMemberUniqueName="[Data1].[Campaign].[All]" allUniqueName="[Data1].[Campaign].[All]" dimensionUniqueName="[Data1]" displayFolder="" count="0" memberValueDatatype="130" unbalanced="0"/>
    <cacheHierarchy uniqueName="[Data1].[Row Number]" caption="Row Number" attribute="1" defaultMemberUniqueName="[Data1].[Row Number].[All]" allUniqueName="[Data1].[Row Number].[All]" dimensionUniqueName="[Data1]" displayFolder="" count="0" memberValueDatatype="130" unbalanced="0"/>
    <cacheHierarchy uniqueName="[Data1].[Touch Count]" caption="Touch Count" attribute="1" defaultMemberUniqueName="[Data1].[Touch Count].[All]" allUniqueName="[Data1].[Touch Count].[All]" dimensionUniqueName="[Data1]" displayFolder="" count="0" memberValueDatatype="130" unbalanced="0"/>
    <cacheHierarchy uniqueName="[Quipt_Prod_Data].[CallID]" caption="CallID" attribute="1" defaultMemberUniqueName="[Quipt_Prod_Data].[CallID].[All]" allUniqueName="[Quipt_Prod_Data].[CallID].[All]" dimensionUniqueName="[Quipt_Prod_Data]" displayFolder="" count="0" memberValueDatatype="5" unbalanced="0"/>
    <cacheHierarchy uniqueName="[Quipt_Prod_Data].[Campaign]" caption="Campaign" attribute="1" defaultMemberUniqueName="[Quipt_Prod_Data].[Campaign].[All]" allUniqueName="[Quipt_Prod_Data].[Campaign].[All]" dimensionUniqueName="[Quipt_Prod_Data]" displayFolder="" count="2" memberValueDatatype="130" unbalanced="0">
      <fieldsUsage count="2">
        <fieldUsage x="-1"/>
        <fieldUsage x="0"/>
      </fieldsUsage>
    </cacheHierarchy>
    <cacheHierarchy uniqueName="[Quipt_Prod_Data].[Direction]" caption="Direction" attribute="1" defaultMemberUniqueName="[Quipt_Prod_Data].[Direction].[All]" allUniqueName="[Quipt_Prod_Data].[Direction].[All]" dimensionUniqueName="[Quipt_Prod_Data]" displayFolder="" count="0" memberValueDatatype="130" unbalanced="0"/>
    <cacheHierarchy uniqueName="[Quipt_Prod_Data].[From]" caption="From" attribute="1" defaultMemberUniqueName="[Quipt_Prod_Data].[From].[All]" allUniqueName="[Quipt_Prod_Data].[From].[All]" dimensionUniqueName="[Quipt_Prod_Data]" displayFolder="" count="0" memberValueDatatype="5" unbalanced="0"/>
    <cacheHierarchy uniqueName="[Quipt_Prod_Data].[To]" caption="To" attribute="1" defaultMemberUniqueName="[Quipt_Prod_Data].[To].[All]" allUniqueName="[Quipt_Prod_Data].[To].[All]" dimensionUniqueName="[Quipt_Prod_Data]" displayFolder="" count="0" memberValueDatatype="5" unbalanced="0"/>
    <cacheHierarchy uniqueName="[Quipt_Prod_Data].[AgentID]" caption="AgentID" attribute="1" defaultMemberUniqueName="[Quipt_Prod_Data].[AgentID].[All]" allUniqueName="[Quipt_Prod_Data].[AgentID].[All]" dimensionUniqueName="[Quipt_Prod_Data]" displayFolder="" count="0" memberValueDatatype="20" unbalanced="0"/>
    <cacheHierarchy uniqueName="[Quipt_Prod_Data].[AgentEmail]" caption="AgentEmail" attribute="1" defaultMemberUniqueName="[Quipt_Prod_Data].[AgentEmail].[All]" allUniqueName="[Quipt_Prod_Data].[AgentEmail].[All]" dimensionUniqueName="[Quipt_Prod_Data]" displayFolder="" count="0" memberValueDatatype="130" unbalanced="0"/>
    <cacheHierarchy uniqueName="[Quipt_Prod_Data].[StartTime]" caption="StartTime" attribute="1" time="1" defaultMemberUniqueName="[Quipt_Prod_Data].[StartTime].[All]" allUniqueName="[Quipt_Prod_Data].[StartTime].[All]" dimensionUniqueName="[Quipt_Prod_Data]" displayFolder="" count="0" memberValueDatatype="7" unbalanced="0"/>
    <cacheHierarchy uniqueName="[Quipt_Prod_Data].[Duration]" caption="Duration" attribute="1" defaultMemberUniqueName="[Quipt_Prod_Data].[Duration].[All]" allUniqueName="[Quipt_Prod_Data].[Duration].[All]" dimensionUniqueName="[Quipt_Prod_Data]" displayFolder="" count="0" memberValueDatatype="20" unbalanced="0"/>
    <cacheHierarchy uniqueName="[Quipt_Prod_Data].[Result]" caption="Result" attribute="1" defaultMemberUniqueName="[Quipt_Prod_Data].[Result].[All]" allUniqueName="[Quipt_Prod_Data].[Result].[All]" dimensionUniqueName="[Quipt_Prod_Data]" displayFolder="" count="0" memberValueDatatype="130" unbalanced="0"/>
    <cacheHierarchy uniqueName="[Quipt_Prod_Data].[LeadID]" caption="LeadID" attribute="1" defaultMemberUniqueName="[Quipt_Prod_Data].[LeadID].[All]" allUniqueName="[Quipt_Prod_Data].[LeadID].[All]" dimensionUniqueName="[Quipt_Prod_Data]" displayFolder="" count="0" memberValueDatatype="20" unbalanced="0"/>
    <cacheHierarchy uniqueName="[Quipt_Prod_Data].[ExternalLeadID]" caption="ExternalLeadID" attribute="1" defaultMemberUniqueName="[Quipt_Prod_Data].[ExternalLeadID].[All]" allUniqueName="[Quipt_Prod_Data].[ExternalLeadID].[All]" dimensionUniqueName="[Quipt_Prod_Data]" displayFolder="" count="0" memberValueDatatype="130" unbalanced="0"/>
    <cacheHierarchy uniqueName="[Quipt_Prod_Data].[PubID]" caption="PubID" attribute="1" defaultMemberUniqueName="[Quipt_Prod_Data].[PubID].[All]" allUniqueName="[Quipt_Prod_Data].[PubID].[All]" dimensionUniqueName="[Quipt_Prod_Data]" displayFolder="" count="0" memberValueDatatype="130" unbalanced="0"/>
    <cacheHierarchy uniqueName="[Quipt_Prod_Data].[SubID]" caption="SubID" attribute="1" defaultMemberUniqueName="[Quipt_Prod_Data].[SubID].[All]" allUniqueName="[Quipt_Prod_Data].[SubID].[All]" dimensionUniqueName="[Quipt_Prod_Data]" displayFolder="" count="0" memberValueDatatype="130" unbalanced="0"/>
    <cacheHierarchy uniqueName="[Quipt_Prod_Data].[TalkTime]" caption="TalkTime" attribute="1" defaultMemberUniqueName="[Quipt_Prod_Data].[TalkTime].[All]" allUniqueName="[Quipt_Prod_Data].[TalkTime].[All]" dimensionUniqueName="[Quipt_Prod_Data]" displayFolder="" count="0" memberValueDatatype="20" unbalanced="0"/>
    <cacheHierarchy uniqueName="[Quipt_Prod_Data].[WrapUpDuration]" caption="WrapUpDuration" attribute="1" defaultMemberUniqueName="[Quipt_Prod_Data].[WrapUpDuration].[All]" allUniqueName="[Quipt_Prod_Data].[WrapUpDuration].[All]" dimensionUniqueName="[Quipt_Prod_Data]" displayFolder="" count="0" memberValueDatatype="20" unbalanced="0"/>
    <cacheHierarchy uniqueName="[Quipt_Prod_Data].[CompletedDate]" caption="CompletedDate" attribute="1" time="1" defaultMemberUniqueName="[Quipt_Prod_Data].[CompletedDate].[All]" allUniqueName="[Quipt_Prod_Data].[CompletedDate].[All]" dimensionUniqueName="[Quipt_Prod_Data]" displayFolder="" count="0" memberValueDatatype="7" unbalanced="0"/>
    <cacheHierarchy uniqueName="[Quipt_Prod_Data].[SubStatus]" caption="SubStatus" attribute="1" defaultMemberUniqueName="[Quipt_Prod_Data].[SubStatus].[All]" allUniqueName="[Quipt_Prod_Data].[SubStatus].[All]" dimensionUniqueName="[Quipt_Prod_Data]" displayFolder="" count="0" memberValueDatatype="130" unbalanced="0"/>
    <cacheHierarchy uniqueName="[Quipt_Prod_Data].[Days Grouping]" caption="Days Grouping" attribute="1" defaultMemberUniqueName="[Quipt_Prod_Data].[Days Grouping].[All]" allUniqueName="[Quipt_Prod_Data].[Days Grouping].[All]" dimensionUniqueName="[Quipt_Prod_Data]" displayFolder="" count="2" memberValueDatatype="130" unbalanced="0">
      <fieldsUsage count="2">
        <fieldUsage x="-1"/>
        <fieldUsage x="1"/>
      </fieldsUsage>
    </cacheHierarchy>
    <cacheHierarchy uniqueName="[Measures].[__XL_Count Quipt_Prod_Data]" caption="__XL_Count Quipt_Prod_Data" measure="1" displayFolder="" measureGroup="Quipt_Prod_Data" count="0" hidden="1"/>
    <cacheHierarchy uniqueName="[Measures].[__XL_Count Data1]" caption="__XL_Count Data1" measure="1" displayFolder="" measureGroup="Data1" count="0" hidden="1"/>
    <cacheHierarchy uniqueName="[Measures].[__No measures defined]" caption="__No measures defined" measure="1" displayFolder="" count="0" hidden="1"/>
    <cacheHierarchy uniqueName="[Measures].[Count of ExternalLeadID]" caption="Count of ExternalLeadID" measure="1" displayFolder="" measureGroup="Quipt_Prod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ompletedDate]" caption="Count of CompletedDate" measure="1" displayFolder="" measureGroup="Quipt_Prod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ow Number]" caption="Count of Row Number" measure="1" displayFolder="" measureGroup="Dat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qid]" caption="Count of unqid" measure="1" displayFolder="" measureGroup="Dat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Data1" uniqueName="[Data1]" caption="Data1"/>
    <dimension measure="1" name="Measures" uniqueName="[Measures]" caption="Measures"/>
    <dimension name="Quipt_Prod_Data" uniqueName="[Quipt_Prod_Data]" caption="Quipt_Prod_Data"/>
  </dimensions>
  <measureGroups count="2">
    <measureGroup name="Data1" caption="Data1"/>
    <measureGroup name="Quipt_Prod_Data" caption="Quipt_Prod_Data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52933-84D6-4ACB-9E5E-4CD86A526334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" colHeaderCaption="Days Grouping">
  <location ref="A1:D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efaultSubtotal="0" defaultAttributeDrillState="1">
      <items count="2">
        <item x="1"/>
        <item x="0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Record Count" fld="2" subtotal="count" baseField="0" baseItem="0"/>
  </dataFields>
  <formats count="18">
    <format dxfId="24">
      <pivotArea type="origin" dataOnly="0" labelOnly="1" outline="0" fieldPosition="0"/>
    </format>
    <format dxfId="23">
      <pivotArea field="1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 dxfId="18">
      <pivotArea type="origin" dataOnly="0" labelOnly="1" outline="0" fieldPosition="0"/>
    </format>
    <format dxfId="17">
      <pivotArea field="1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Col="1" outline="0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collapsedLevelsAreSubtotals="1" fieldPosition="0">
        <references count="1">
          <reference field="0" count="0"/>
        </references>
      </pivotArea>
    </format>
    <format dxfId="7">
      <pivotArea collapsedLevelsAreSubtotals="1" fieldPosition="0">
        <references count="1">
          <reference field="0" count="0"/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cord C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Quipt_Prod_Data">
        <x15:activeTabTopLevelEntity name="[Quipt_Pro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C1310-D41A-4390-A9FF-5CB0A0CC8C1A}" name="PivotTable1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uch Count">
  <location ref="F11:G14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3" name="[Data1].[Campaign].[All]" cap="All"/>
  </pageFields>
  <dataFields count="1">
    <dataField name="Count of unqid" fld="2" subtotal="count" baseField="0" baseItem="0"/>
  </dataFields>
  <formats count="12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ipt Prod Analysis TEMPLATE.xlsx!Data1">
        <x15:activeTabTopLevelEntity name="[Dat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932D4-D8DB-41A3-ADC6-3BF17D5A2DFE}" name="PivotTable1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">
  <location ref="A11:B15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mplete Count" fld="1" subtotal="count" baseField="0" baseItem="0"/>
  </dataFields>
  <formats count="10">
    <format dxfId="46">
      <pivotArea field="0" type="button" dataOnly="0" labelOnly="1" outline="0" axis="axisRow" fieldPosition="0"/>
    </format>
    <format dxfId="45">
      <pivotArea dataOnly="0" labelOnly="1" outline="0" axis="axisValues" fieldPosition="0"/>
    </format>
    <format dxfId="44">
      <pivotArea grandRow="1" outline="0" collapsedLevelsAreSubtotals="1" fieldPosition="0"/>
    </format>
    <format dxfId="43">
      <pivotArea dataOnly="0" labelOnly="1" grandRow="1" outline="0" fieldPosition="0"/>
    </format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  <format dxfId="40">
      <pivotArea grandRow="1" outline="0" collapsedLevelsAreSubtotals="1" fieldPosition="0"/>
    </format>
    <format dxfId="39">
      <pivotArea dataOnly="0" labelOnly="1" grandRow="1" outline="0" fieldPosition="0"/>
    </format>
    <format dxfId="38">
      <pivotArea collapsedLevelsAreSubtotals="1" fieldPosition="0">
        <references count="1">
          <reference field="0" count="0"/>
        </references>
      </pivotArea>
    </format>
    <format dxfId="37">
      <pivotArea collapsedLevelsAreSubtotals="1" fieldPosition="0">
        <references count="1">
          <reference field="0" count="0"/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mplete 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ipt Prod Analysis TEMPLATE.xlsx!Data1">
        <x15:activeTabTopLevelEntity name="[Dat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97BBAC8-A49B-415D-A496-BB9F3805A309}" autoFormatId="16" applyNumberFormats="0" applyBorderFormats="0" applyFontFormats="0" applyPatternFormats="0" applyAlignmentFormats="0" applyWidthHeightFormats="0">
  <queryTableRefresh nextId="20" unboundColumnsRight="2">
    <queryTableFields count="19">
      <queryTableField id="1" name="CallID" tableColumnId="1"/>
      <queryTableField id="2" name="Campaign" tableColumnId="2"/>
      <queryTableField id="3" name="Direction" tableColumnId="3"/>
      <queryTableField id="4" name="From" tableColumnId="4"/>
      <queryTableField id="5" name="To" tableColumnId="5"/>
      <queryTableField id="6" name="AgentID" tableColumnId="6"/>
      <queryTableField id="7" name="AgentEmail" tableColumnId="7"/>
      <queryTableField id="8" name="StartTime" tableColumnId="8"/>
      <queryTableField id="9" name="Duration" tableColumnId="9"/>
      <queryTableField id="10" name="Result" tableColumnId="10"/>
      <queryTableField id="11" name="LeadID" tableColumnId="11"/>
      <queryTableField id="12" name="ExternalLeadID" tableColumnId="12"/>
      <queryTableField id="13" name="PubID" tableColumnId="13"/>
      <queryTableField id="14" name="SubID" tableColumnId="14"/>
      <queryTableField id="15" name="TalkTime" tableColumnId="15"/>
      <queryTableField id="16" name="WrapUpDuration" tableColumnId="16"/>
      <queryTableField id="17" name="CompletedDate" tableColumnId="17"/>
      <queryTableField id="18" dataBound="0" tableColumnId="18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0DB03B-1021-44F7-9B77-1056FE14CF8F}" autoFormatId="16" applyNumberFormats="0" applyBorderFormats="0" applyFontFormats="0" applyPatternFormats="0" applyAlignmentFormats="0" applyWidthHeightFormats="0">
  <queryTableRefresh nextId="9" unboundColumnsRight="3">
    <queryTableFields count="6">
      <queryTableField id="1" name="unqid" tableColumnId="1"/>
      <queryTableField id="2" name="SubStatus" tableColumnId="2"/>
      <queryTableField id="3" name="Days Grouping" tableColumnId="3"/>
      <queryTableField id="6" dataBound="0" tableColumnId="4"/>
      <queryTableField id="7" dataBound="0" tableColumnId="5"/>
      <queryTableField id="8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DA5E0-6C92-4489-A97E-EFF5E693347F}" name="Quipt_Prod_Data" displayName="Quipt_Prod_Data" ref="A1:S116" tableType="queryTable" totalsRowShown="0">
  <autoFilter ref="A1:S116" xr:uid="{F3DDA5E0-6C92-4489-A97E-EFF5E693347F}"/>
  <tableColumns count="19">
    <tableColumn id="1" xr3:uid="{28200681-6062-421D-AE45-B8D20FAE7242}" uniqueName="1" name="CallID" queryTableFieldId="1"/>
    <tableColumn id="2" xr3:uid="{8D240462-C21B-42BD-8744-66C540C91BEE}" uniqueName="2" name="Campaign" queryTableFieldId="2"/>
    <tableColumn id="3" xr3:uid="{2A4557C8-C4EE-4FD5-91A3-FE11B7646EBA}" uniqueName="3" name="Direction" queryTableFieldId="3"/>
    <tableColumn id="4" xr3:uid="{9790252B-2308-422E-A5E4-5C5C19FAB913}" uniqueName="4" name="From" queryTableFieldId="4"/>
    <tableColumn id="5" xr3:uid="{D1D3DBC2-C3F7-4547-855C-C444BF35AC56}" uniqueName="5" name="To" queryTableFieldId="5"/>
    <tableColumn id="6" xr3:uid="{6BE99DA1-E22E-4FEE-B1FC-9F74F045A6C0}" uniqueName="6" name="AgentID" queryTableFieldId="6"/>
    <tableColumn id="7" xr3:uid="{E58CFB35-9014-469B-8573-FACCB0E8BAFE}" uniqueName="7" name="AgentEmail" queryTableFieldId="7"/>
    <tableColumn id="8" xr3:uid="{DAA09E19-EE79-4480-8853-15BC80CA8ADE}" uniqueName="8" name="StartTime" queryTableFieldId="8" dataDxfId="6"/>
    <tableColumn id="9" xr3:uid="{AB5E2CFC-9EB2-4DFD-91E4-B0AF2106CCD0}" uniqueName="9" name="Duration" queryTableFieldId="9"/>
    <tableColumn id="10" xr3:uid="{EF96B1A8-7DAB-4805-86DC-D0EE47C83CD8}" uniqueName="10" name="Result" queryTableFieldId="10"/>
    <tableColumn id="11" xr3:uid="{4FE732A4-639E-47F9-8626-D7E05E2D550A}" uniqueName="11" name="LeadID" queryTableFieldId="11"/>
    <tableColumn id="12" xr3:uid="{6F765126-28F2-4EE6-9B9E-F207E011C8C1}" uniqueName="12" name="ExternalLeadID" queryTableFieldId="12"/>
    <tableColumn id="13" xr3:uid="{1B25E93E-3B5D-4255-844A-329D831FEBD3}" uniqueName="13" name="PubID" queryTableFieldId="13"/>
    <tableColumn id="14" xr3:uid="{F0B073DE-DA87-4AEB-B167-4CA7F1BD3002}" uniqueName="14" name="SubID" queryTableFieldId="14"/>
    <tableColumn id="15" xr3:uid="{4D93BAED-7019-4C29-BD91-7DFD82D349CA}" uniqueName="15" name="TalkTime" queryTableFieldId="15"/>
    <tableColumn id="16" xr3:uid="{C8D1D0FE-0F54-480A-B25F-9AB71295FDD9}" uniqueName="16" name="WrapUpDuration" queryTableFieldId="16"/>
    <tableColumn id="17" xr3:uid="{10D8C24B-2CDD-4325-B45D-31173F8B7C00}" uniqueName="17" name="CompletedDate" queryTableFieldId="17" dataDxfId="5"/>
    <tableColumn id="18" xr3:uid="{DD933DE2-E01A-4155-A42C-2F6CA0E3AFCC}" uniqueName="18" name="SubStatus" queryTableFieldId="18" dataDxfId="4">
      <calculatedColumnFormula>IF(_xlfn.XLOOKUP(L2,'RAW DATA'!A:A,'RAW DATA'!B:B)=0,"",_xlfn.XLOOKUP(L2,'RAW DATA'!A:A,'RAW DATA'!B:B))</calculatedColumnFormula>
    </tableColumn>
    <tableColumn id="19" xr3:uid="{0F4F8C1B-4B98-476D-9315-354A40051295}" uniqueName="19" name="Days Grouping" queryTableFieldId="19" dataDxfId="3">
      <calculatedColumnFormula>IF(_xlfn.XLOOKUP(L2,'RAW DATA'!A:A,'RAW DATA'!C:C)=0,"",_xlfn.XLOOKUP(L2,'RAW DATA'!A:A,'RAW DATA'!C:C))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18F3B3-9114-4133-BA42-F801C5149F0E}" name="Data" displayName="Data" ref="A1:F1109" tableType="queryTable" totalsRowShown="0">
  <autoFilter ref="A1:F1109" xr:uid="{6718F3B3-9114-4133-BA42-F801C5149F0E}"/>
  <tableColumns count="6">
    <tableColumn id="1" xr3:uid="{DDE24B7B-84E5-46A7-AE29-E7E5FAF0E841}" uniqueName="1" name="unqid" queryTableFieldId="1"/>
    <tableColumn id="2" xr3:uid="{1C2A9183-BDC4-4504-AFCC-40D766F2D73A}" uniqueName="2" name="SubStatus" queryTableFieldId="2"/>
    <tableColumn id="3" xr3:uid="{F2412973-4678-4E5D-9C09-B1BC696D0E4D}" uniqueName="3" name="Days Grouping" queryTableFieldId="3"/>
    <tableColumn id="4" xr3:uid="{55A44307-0216-4CD1-9E13-5F95DAC45AE0}" uniqueName="4" name="Campaign" queryTableFieldId="6" dataDxfId="2">
      <calculatedColumnFormula>_xlfn.IFNA(_xlfn.XLOOKUP(Data[[#This Row],[unqid]],'Quipt Prod Data'!L:L,'Quipt Prod Data'!B:B),"")</calculatedColumnFormula>
    </tableColumn>
    <tableColumn id="5" xr3:uid="{A5CD5344-2071-4699-B697-F22E71FD7489}" uniqueName="5" name="Row Number" queryTableFieldId="7" dataDxfId="1">
      <calculatedColumnFormula>_xlfn.IFNA(_xlfn.XMATCH(Data[[#This Row],[unqid]],'Quipt Prod Data'!L:L,0),"")</calculatedColumnFormula>
    </tableColumn>
    <tableColumn id="6" xr3:uid="{E220F9D6-5040-45FC-8A9D-B1C6843362B1}" uniqueName="6" name="Touch Count" queryTableFieldId="8" dataDxfId="0">
      <calculatedColumnFormula>IF(COUNTIF('Quipt Prod Data'!L:L,Data[[#This Row],[unqid]])=0,"",COUNTIF('Quipt Prod Data'!L:L,Data[[#This Row],[unqid]]))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8CF6-99F4-4BAC-B7F3-0231B9A8C818}">
  <dimension ref="A1:G15"/>
  <sheetViews>
    <sheetView tabSelected="1" workbookViewId="0">
      <selection activeCell="A2" sqref="A2"/>
    </sheetView>
  </sheetViews>
  <sheetFormatPr defaultRowHeight="14.4" x14ac:dyDescent="0.3"/>
  <cols>
    <col min="1" max="1" width="22.5546875" bestFit="1" customWidth="1"/>
    <col min="2" max="2" width="18.88671875" bestFit="1" customWidth="1"/>
    <col min="3" max="3" width="5.33203125" bestFit="1" customWidth="1"/>
    <col min="4" max="5" width="11.33203125" bestFit="1" customWidth="1"/>
    <col min="6" max="6" width="17" bestFit="1" customWidth="1"/>
    <col min="7" max="7" width="14.5546875" bestFit="1" customWidth="1"/>
    <col min="8" max="8" width="7.6640625" bestFit="1" customWidth="1"/>
    <col min="9" max="10" width="11.33203125" bestFit="1" customWidth="1"/>
    <col min="11" max="38" width="12" bestFit="1" customWidth="1"/>
    <col min="39" max="39" width="11.33203125" bestFit="1" customWidth="1"/>
  </cols>
  <sheetData>
    <row r="1" spans="1:7" x14ac:dyDescent="0.3">
      <c r="A1" s="2" t="s">
        <v>22</v>
      </c>
      <c r="B1" s="2" t="s">
        <v>18</v>
      </c>
      <c r="C1" s="3"/>
      <c r="D1" s="3"/>
    </row>
    <row r="2" spans="1:7" x14ac:dyDescent="0.3">
      <c r="A2" s="2" t="s">
        <v>1</v>
      </c>
      <c r="B2" s="3" t="s">
        <v>27</v>
      </c>
      <c r="C2" s="3" t="s">
        <v>89</v>
      </c>
      <c r="D2" s="3" t="s">
        <v>86</v>
      </c>
    </row>
    <row r="3" spans="1:7" x14ac:dyDescent="0.3">
      <c r="A3" s="5" t="s">
        <v>62</v>
      </c>
      <c r="B3" s="3">
        <v>3</v>
      </c>
      <c r="C3" s="3">
        <v>1</v>
      </c>
      <c r="D3" s="3">
        <v>4</v>
      </c>
    </row>
    <row r="4" spans="1:7" x14ac:dyDescent="0.3">
      <c r="A4" s="5" t="s">
        <v>69</v>
      </c>
      <c r="B4" s="3">
        <v>56</v>
      </c>
      <c r="C4" s="3">
        <v>11</v>
      </c>
      <c r="D4" s="3">
        <v>67</v>
      </c>
    </row>
    <row r="5" spans="1:7" x14ac:dyDescent="0.3">
      <c r="A5" s="5" t="s">
        <v>73</v>
      </c>
      <c r="B5" s="3"/>
      <c r="C5" s="3">
        <v>29</v>
      </c>
      <c r="D5" s="3">
        <v>29</v>
      </c>
    </row>
    <row r="6" spans="1:7" x14ac:dyDescent="0.3">
      <c r="A6" s="5" t="s">
        <v>81</v>
      </c>
      <c r="B6" s="3">
        <v>14</v>
      </c>
      <c r="C6" s="3">
        <v>1</v>
      </c>
      <c r="D6" s="3">
        <v>15</v>
      </c>
    </row>
    <row r="7" spans="1:7" x14ac:dyDescent="0.3">
      <c r="A7" s="3" t="s">
        <v>86</v>
      </c>
      <c r="B7" s="3">
        <v>73</v>
      </c>
      <c r="C7" s="3">
        <v>42</v>
      </c>
      <c r="D7" s="3">
        <v>115</v>
      </c>
    </row>
    <row r="9" spans="1:7" x14ac:dyDescent="0.3">
      <c r="F9" s="2" t="s">
        <v>1</v>
      </c>
      <c r="G9" s="3" t="s" vm="1">
        <v>24</v>
      </c>
    </row>
    <row r="10" spans="1:7" x14ac:dyDescent="0.3">
      <c r="F10" s="3"/>
      <c r="G10" s="3"/>
    </row>
    <row r="11" spans="1:7" x14ac:dyDescent="0.3">
      <c r="A11" s="2" t="s">
        <v>1</v>
      </c>
      <c r="B11" s="3" t="s">
        <v>23</v>
      </c>
      <c r="F11" s="2" t="s">
        <v>21</v>
      </c>
      <c r="G11" s="3" t="s">
        <v>25</v>
      </c>
    </row>
    <row r="12" spans="1:7" x14ac:dyDescent="0.3">
      <c r="A12" s="5" t="s">
        <v>62</v>
      </c>
      <c r="B12" s="3">
        <v>3</v>
      </c>
      <c r="F12" s="3" t="s">
        <v>87</v>
      </c>
      <c r="G12" s="3">
        <v>67</v>
      </c>
    </row>
    <row r="13" spans="1:7" x14ac:dyDescent="0.3">
      <c r="A13" s="5" t="s">
        <v>69</v>
      </c>
      <c r="B13" s="3">
        <v>53</v>
      </c>
      <c r="F13" s="3" t="s">
        <v>88</v>
      </c>
      <c r="G13" s="3">
        <v>3</v>
      </c>
    </row>
    <row r="14" spans="1:7" x14ac:dyDescent="0.3">
      <c r="A14" s="5" t="s">
        <v>81</v>
      </c>
      <c r="B14" s="3">
        <v>14</v>
      </c>
      <c r="F14" s="3" t="s">
        <v>86</v>
      </c>
      <c r="G14" s="3">
        <v>70</v>
      </c>
    </row>
    <row r="15" spans="1:7" x14ac:dyDescent="0.3">
      <c r="A15" s="3" t="s">
        <v>86</v>
      </c>
      <c r="B15" s="3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06A0-BF2B-411E-AB51-9D4D9CBC6E93}">
  <sheetPr>
    <tabColor rgb="FFFFFF00"/>
  </sheetPr>
  <dimension ref="A1:S116"/>
  <sheetViews>
    <sheetView workbookViewId="0">
      <selection activeCell="A2" sqref="A2:S2"/>
    </sheetView>
  </sheetViews>
  <sheetFormatPr defaultRowHeight="14.4" x14ac:dyDescent="0.3"/>
  <cols>
    <col min="1" max="1" width="11" bestFit="1" customWidth="1"/>
    <col min="2" max="2" width="22.5546875" bestFit="1" customWidth="1"/>
    <col min="3" max="3" width="11.6640625" bestFit="1" customWidth="1"/>
    <col min="4" max="5" width="11" bestFit="1" customWidth="1"/>
    <col min="6" max="6" width="10.44140625" bestFit="1" customWidth="1"/>
    <col min="7" max="7" width="29.88671875" bestFit="1" customWidth="1"/>
    <col min="8" max="8" width="14.5546875" bestFit="1" customWidth="1"/>
    <col min="9" max="9" width="11.109375" bestFit="1" customWidth="1"/>
    <col min="10" max="10" width="21" bestFit="1" customWidth="1"/>
    <col min="11" max="11" width="11" bestFit="1" customWidth="1"/>
    <col min="12" max="12" width="57.44140625" bestFit="1" customWidth="1"/>
    <col min="13" max="14" width="8.6640625" bestFit="1" customWidth="1"/>
    <col min="15" max="15" width="11.33203125" bestFit="1" customWidth="1"/>
    <col min="16" max="16" width="18.44140625" bestFit="1" customWidth="1"/>
    <col min="17" max="17" width="17.88671875" bestFit="1" customWidth="1"/>
    <col min="18" max="18" width="27.5546875" bestFit="1" customWidth="1"/>
    <col min="19" max="19" width="16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</row>
    <row r="2" spans="1:19" x14ac:dyDescent="0.3">
      <c r="A2" t="s">
        <v>95</v>
      </c>
      <c r="B2" t="s">
        <v>62</v>
      </c>
      <c r="C2" t="s">
        <v>63</v>
      </c>
      <c r="F2" t="s">
        <v>210</v>
      </c>
      <c r="G2" t="s">
        <v>90</v>
      </c>
      <c r="H2" s="4">
        <v>45917.448391203703</v>
      </c>
      <c r="I2">
        <v>472</v>
      </c>
      <c r="J2" t="s">
        <v>64</v>
      </c>
      <c r="K2">
        <v>1056071180</v>
      </c>
      <c r="L2" t="s">
        <v>215</v>
      </c>
      <c r="N2" t="s">
        <v>65</v>
      </c>
      <c r="O2">
        <v>461</v>
      </c>
      <c r="P2">
        <v>60</v>
      </c>
      <c r="Q2" s="4">
        <v>45917.454502314817</v>
      </c>
      <c r="R2" s="1" t="str">
        <f>IF(_xlfn.XLOOKUP(L2,'RAW DATA'!A:A,'RAW DATA'!B:B)=0,"",_xlfn.XLOOKUP(L2,'RAW DATA'!A:A,'RAW DATA'!B:B))</f>
        <v>-</v>
      </c>
      <c r="S2" s="1" t="str">
        <f>IF(_xlfn.XLOOKUP(L2,'RAW DATA'!A:A,'RAW DATA'!C:C)=0,"",_xlfn.XLOOKUP(L2,'RAW DATA'!A:A,'RAW DATA'!C:C))</f>
        <v>3 or less</v>
      </c>
    </row>
    <row r="3" spans="1:19" x14ac:dyDescent="0.3">
      <c r="A3" t="s">
        <v>96</v>
      </c>
      <c r="B3" t="s">
        <v>62</v>
      </c>
      <c r="C3" t="s">
        <v>63</v>
      </c>
      <c r="F3" t="s">
        <v>210</v>
      </c>
      <c r="G3" t="s">
        <v>90</v>
      </c>
      <c r="H3" s="4">
        <v>45917.578958333332</v>
      </c>
      <c r="I3">
        <v>365</v>
      </c>
      <c r="J3" t="s">
        <v>64</v>
      </c>
      <c r="K3">
        <v>1056129481</v>
      </c>
      <c r="L3" t="s">
        <v>65</v>
      </c>
      <c r="N3" t="s">
        <v>65</v>
      </c>
      <c r="O3">
        <v>353</v>
      </c>
      <c r="P3">
        <v>50</v>
      </c>
      <c r="Q3" s="4">
        <v>45917.583749999998</v>
      </c>
      <c r="R3" s="1" t="e">
        <f>IF(_xlfn.XLOOKUP(L3,'RAW DATA'!A:A,'RAW DATA'!B:B)=0,"",_xlfn.XLOOKUP(L3,'RAW DATA'!A:A,'RAW DATA'!B:B))</f>
        <v>#N/A</v>
      </c>
      <c r="S3" s="1" t="e">
        <f>IF(_xlfn.XLOOKUP(L3,'RAW DATA'!A:A,'RAW DATA'!C:C)=0,"",_xlfn.XLOOKUP(L3,'RAW DATA'!A:A,'RAW DATA'!C:C))</f>
        <v>#N/A</v>
      </c>
    </row>
    <row r="4" spans="1:19" x14ac:dyDescent="0.3">
      <c r="A4" t="s">
        <v>97</v>
      </c>
      <c r="B4" t="s">
        <v>62</v>
      </c>
      <c r="C4" t="s">
        <v>66</v>
      </c>
      <c r="F4" t="s">
        <v>210</v>
      </c>
      <c r="G4" t="s">
        <v>90</v>
      </c>
      <c r="H4" s="4">
        <v>45917.596909722219</v>
      </c>
      <c r="I4">
        <v>222</v>
      </c>
      <c r="J4" t="s">
        <v>67</v>
      </c>
      <c r="K4">
        <v>1056148771</v>
      </c>
      <c r="L4" t="s">
        <v>216</v>
      </c>
      <c r="N4" t="s">
        <v>65</v>
      </c>
      <c r="O4">
        <v>222</v>
      </c>
      <c r="P4">
        <v>60</v>
      </c>
      <c r="Q4" s="4"/>
      <c r="R4" s="1" t="str">
        <f>IF(_xlfn.XLOOKUP(L4,'RAW DATA'!A:A,'RAW DATA'!B:B)=0,"",_xlfn.XLOOKUP(L4,'RAW DATA'!A:A,'RAW DATA'!B:B))</f>
        <v>Wrong Doctor</v>
      </c>
      <c r="S4" s="1" t="str">
        <f>IF(_xlfn.XLOOKUP(L4,'RAW DATA'!A:A,'RAW DATA'!C:C)=0,"",_xlfn.XLOOKUP(L4,'RAW DATA'!A:A,'RAW DATA'!C:C))</f>
        <v>3 or less</v>
      </c>
    </row>
    <row r="5" spans="1:19" x14ac:dyDescent="0.3">
      <c r="A5" t="s">
        <v>98</v>
      </c>
      <c r="B5" t="s">
        <v>62</v>
      </c>
      <c r="C5" t="s">
        <v>66</v>
      </c>
      <c r="F5" t="s">
        <v>210</v>
      </c>
      <c r="G5" t="s">
        <v>90</v>
      </c>
      <c r="H5" s="4">
        <v>45917.60365740741</v>
      </c>
      <c r="I5">
        <v>329</v>
      </c>
      <c r="J5" t="s">
        <v>68</v>
      </c>
      <c r="K5">
        <v>1056148778</v>
      </c>
      <c r="L5" t="s">
        <v>217</v>
      </c>
      <c r="N5" t="s">
        <v>65</v>
      </c>
      <c r="O5">
        <v>329</v>
      </c>
      <c r="P5">
        <v>60</v>
      </c>
      <c r="Q5" s="4"/>
      <c r="R5" s="1" t="str">
        <f>IF(_xlfn.XLOOKUP(L5,'RAW DATA'!A:A,'RAW DATA'!B:B)=0,"",_xlfn.XLOOKUP(L5,'RAW DATA'!A:A,'RAW DATA'!B:B))</f>
        <v>-</v>
      </c>
      <c r="S5" s="1" t="str">
        <f>IF(_xlfn.XLOOKUP(L5,'RAW DATA'!A:A,'RAW DATA'!C:C)=0,"",_xlfn.XLOOKUP(L5,'RAW DATA'!A:A,'RAW DATA'!C:C))</f>
        <v>3 or less</v>
      </c>
    </row>
    <row r="6" spans="1:19" x14ac:dyDescent="0.3">
      <c r="A6" t="s">
        <v>99</v>
      </c>
      <c r="B6" t="s">
        <v>69</v>
      </c>
      <c r="C6" t="s">
        <v>66</v>
      </c>
      <c r="F6" t="s">
        <v>211</v>
      </c>
      <c r="G6" t="s">
        <v>91</v>
      </c>
      <c r="H6" s="4">
        <v>45917.438611111109</v>
      </c>
      <c r="I6">
        <v>18</v>
      </c>
      <c r="J6" t="s">
        <v>70</v>
      </c>
      <c r="K6">
        <v>1056068173</v>
      </c>
      <c r="L6" t="s">
        <v>218</v>
      </c>
      <c r="N6" t="s">
        <v>65</v>
      </c>
      <c r="O6">
        <v>18</v>
      </c>
      <c r="P6">
        <v>3</v>
      </c>
      <c r="Q6" s="4"/>
      <c r="R6" s="1" t="str">
        <f>IF(_xlfn.XLOOKUP(L6,'RAW DATA'!A:A,'RAW DATA'!B:B)=0,"",_xlfn.XLOOKUP(L6,'RAW DATA'!A:A,'RAW DATA'!B:B))</f>
        <v>Medical Records Missing</v>
      </c>
      <c r="S6" s="1" t="str">
        <f>IF(_xlfn.XLOOKUP(L6,'RAW DATA'!A:A,'RAW DATA'!C:C)=0,"",_xlfn.XLOOKUP(L6,'RAW DATA'!A:A,'RAW DATA'!C:C))</f>
        <v>3 or less</v>
      </c>
    </row>
    <row r="7" spans="1:19" x14ac:dyDescent="0.3">
      <c r="A7" t="s">
        <v>100</v>
      </c>
      <c r="B7" t="s">
        <v>69</v>
      </c>
      <c r="C7" t="s">
        <v>66</v>
      </c>
      <c r="F7" t="s">
        <v>211</v>
      </c>
      <c r="G7" t="s">
        <v>91</v>
      </c>
      <c r="H7" s="4">
        <v>45917.438958333332</v>
      </c>
      <c r="I7">
        <v>26</v>
      </c>
      <c r="J7" t="s">
        <v>70</v>
      </c>
      <c r="K7">
        <v>1056068245</v>
      </c>
      <c r="L7" t="s">
        <v>219</v>
      </c>
      <c r="N7" t="s">
        <v>65</v>
      </c>
      <c r="O7">
        <v>26</v>
      </c>
      <c r="P7">
        <v>3</v>
      </c>
      <c r="Q7" s="4"/>
      <c r="R7" s="1" t="str">
        <f>IF(_xlfn.XLOOKUP(L7,'RAW DATA'!A:A,'RAW DATA'!B:B)=0,"",_xlfn.XLOOKUP(L7,'RAW DATA'!A:A,'RAW DATA'!B:B))</f>
        <v>EDocument</v>
      </c>
      <c r="S7" s="1" t="str">
        <f>IF(_xlfn.XLOOKUP(L7,'RAW DATA'!A:A,'RAW DATA'!C:C)=0,"",_xlfn.XLOOKUP(L7,'RAW DATA'!A:A,'RAW DATA'!C:C))</f>
        <v>3 or less</v>
      </c>
    </row>
    <row r="8" spans="1:19" x14ac:dyDescent="0.3">
      <c r="A8" t="s">
        <v>101</v>
      </c>
      <c r="B8" t="s">
        <v>69</v>
      </c>
      <c r="C8" t="s">
        <v>66</v>
      </c>
      <c r="F8" t="s">
        <v>211</v>
      </c>
      <c r="G8" t="s">
        <v>91</v>
      </c>
      <c r="H8" s="4">
        <v>45917.439456018517</v>
      </c>
      <c r="I8">
        <v>0</v>
      </c>
      <c r="J8" t="s">
        <v>71</v>
      </c>
      <c r="L8" t="s">
        <v>65</v>
      </c>
      <c r="N8" t="s">
        <v>65</v>
      </c>
      <c r="O8">
        <v>0</v>
      </c>
      <c r="Q8" s="4"/>
      <c r="R8" s="1" t="e">
        <f>IF(_xlfn.XLOOKUP(L8,'RAW DATA'!A:A,'RAW DATA'!B:B)=0,"",_xlfn.XLOOKUP(L8,'RAW DATA'!A:A,'RAW DATA'!B:B))</f>
        <v>#N/A</v>
      </c>
      <c r="S8" s="1" t="e">
        <f>IF(_xlfn.XLOOKUP(L8,'RAW DATA'!A:A,'RAW DATA'!C:C)=0,"",_xlfn.XLOOKUP(L8,'RAW DATA'!A:A,'RAW DATA'!C:C))</f>
        <v>#N/A</v>
      </c>
    </row>
    <row r="9" spans="1:19" x14ac:dyDescent="0.3">
      <c r="A9" t="s">
        <v>102</v>
      </c>
      <c r="B9" t="s">
        <v>69</v>
      </c>
      <c r="C9" t="s">
        <v>66</v>
      </c>
      <c r="F9" t="s">
        <v>211</v>
      </c>
      <c r="G9" t="s">
        <v>91</v>
      </c>
      <c r="H9" s="4">
        <v>45917.439722222225</v>
      </c>
      <c r="I9">
        <v>10</v>
      </c>
      <c r="J9" t="s">
        <v>70</v>
      </c>
      <c r="K9">
        <v>1056068340</v>
      </c>
      <c r="L9" t="s">
        <v>220</v>
      </c>
      <c r="N9" t="s">
        <v>65</v>
      </c>
      <c r="O9">
        <v>10</v>
      </c>
      <c r="P9">
        <v>4</v>
      </c>
      <c r="Q9" s="4"/>
      <c r="R9" s="1" t="str">
        <f>IF(_xlfn.XLOOKUP(L9,'RAW DATA'!A:A,'RAW DATA'!B:B)=0,"",_xlfn.XLOOKUP(L9,'RAW DATA'!A:A,'RAW DATA'!B:B))</f>
        <v>-</v>
      </c>
      <c r="S9" s="1" t="str">
        <f>IF(_xlfn.XLOOKUP(L9,'RAW DATA'!A:A,'RAW DATA'!C:C)=0,"",_xlfn.XLOOKUP(L9,'RAW DATA'!A:A,'RAW DATA'!C:C))</f>
        <v>3 or less</v>
      </c>
    </row>
    <row r="10" spans="1:19" x14ac:dyDescent="0.3">
      <c r="A10" t="s">
        <v>103</v>
      </c>
      <c r="B10" t="s">
        <v>69</v>
      </c>
      <c r="C10" t="s">
        <v>66</v>
      </c>
      <c r="F10" t="s">
        <v>211</v>
      </c>
      <c r="G10" t="s">
        <v>91</v>
      </c>
      <c r="H10" s="4">
        <v>45917.440046296295</v>
      </c>
      <c r="I10">
        <v>14</v>
      </c>
      <c r="J10" t="s">
        <v>70</v>
      </c>
      <c r="K10">
        <v>1056068414</v>
      </c>
      <c r="L10" t="s">
        <v>221</v>
      </c>
      <c r="N10" t="s">
        <v>65</v>
      </c>
      <c r="O10">
        <v>14</v>
      </c>
      <c r="P10">
        <v>3</v>
      </c>
      <c r="Q10" s="4"/>
      <c r="R10" s="1" t="str">
        <f>IF(_xlfn.XLOOKUP(L10,'RAW DATA'!A:A,'RAW DATA'!B:B)=0,"",_xlfn.XLOOKUP(L10,'RAW DATA'!A:A,'RAW DATA'!B:B))</f>
        <v>Medical Records Need Review</v>
      </c>
      <c r="S10" s="1" t="str">
        <f>IF(_xlfn.XLOOKUP(L10,'RAW DATA'!A:A,'RAW DATA'!C:C)=0,"",_xlfn.XLOOKUP(L10,'RAW DATA'!A:A,'RAW DATA'!C:C))</f>
        <v>3 or less</v>
      </c>
    </row>
    <row r="11" spans="1:19" x14ac:dyDescent="0.3">
      <c r="A11" t="s">
        <v>104</v>
      </c>
      <c r="B11" t="s">
        <v>69</v>
      </c>
      <c r="C11" t="s">
        <v>66</v>
      </c>
      <c r="F11" t="s">
        <v>211</v>
      </c>
      <c r="G11" t="s">
        <v>91</v>
      </c>
      <c r="H11" s="4">
        <v>45917.440370370372</v>
      </c>
      <c r="I11">
        <v>18</v>
      </c>
      <c r="J11" t="s">
        <v>70</v>
      </c>
      <c r="K11">
        <v>1056068483</v>
      </c>
      <c r="L11" t="s">
        <v>222</v>
      </c>
      <c r="N11" t="s">
        <v>65</v>
      </c>
      <c r="O11">
        <v>18</v>
      </c>
      <c r="P11">
        <v>3</v>
      </c>
      <c r="Q11" s="4"/>
      <c r="R11" s="1" t="str">
        <f>IF(_xlfn.XLOOKUP(L11,'RAW DATA'!A:A,'RAW DATA'!B:B)=0,"",_xlfn.XLOOKUP(L11,'RAW DATA'!A:A,'RAW DATA'!B:B))</f>
        <v>-</v>
      </c>
      <c r="S11" s="1" t="str">
        <f>IF(_xlfn.XLOOKUP(L11,'RAW DATA'!A:A,'RAW DATA'!C:C)=0,"",_xlfn.XLOOKUP(L11,'RAW DATA'!A:A,'RAW DATA'!C:C))</f>
        <v>3 or less</v>
      </c>
    </row>
    <row r="12" spans="1:19" x14ac:dyDescent="0.3">
      <c r="A12" t="s">
        <v>105</v>
      </c>
      <c r="B12" t="s">
        <v>69</v>
      </c>
      <c r="C12" t="s">
        <v>66</v>
      </c>
      <c r="F12" t="s">
        <v>211</v>
      </c>
      <c r="G12" t="s">
        <v>91</v>
      </c>
      <c r="H12" s="4">
        <v>45917.440763888888</v>
      </c>
      <c r="I12">
        <v>22</v>
      </c>
      <c r="J12" t="s">
        <v>70</v>
      </c>
      <c r="K12">
        <v>1056068570</v>
      </c>
      <c r="L12" t="s">
        <v>223</v>
      </c>
      <c r="N12" t="s">
        <v>65</v>
      </c>
      <c r="O12">
        <v>22</v>
      </c>
      <c r="P12">
        <v>3</v>
      </c>
      <c r="Q12" s="4"/>
      <c r="R12" s="1" t="str">
        <f>IF(_xlfn.XLOOKUP(L12,'RAW DATA'!A:A,'RAW DATA'!B:B)=0,"",_xlfn.XLOOKUP(L12,'RAW DATA'!A:A,'RAW DATA'!B:B))</f>
        <v>EDocument</v>
      </c>
      <c r="S12" s="1" t="str">
        <f>IF(_xlfn.XLOOKUP(L12,'RAW DATA'!A:A,'RAW DATA'!C:C)=0,"",_xlfn.XLOOKUP(L12,'RAW DATA'!A:A,'RAW DATA'!C:C))</f>
        <v>3 or less</v>
      </c>
    </row>
    <row r="13" spans="1:19" x14ac:dyDescent="0.3">
      <c r="A13" t="s">
        <v>106</v>
      </c>
      <c r="B13" t="s">
        <v>69</v>
      </c>
      <c r="C13" t="s">
        <v>66</v>
      </c>
      <c r="F13" t="s">
        <v>211</v>
      </c>
      <c r="G13" t="s">
        <v>91</v>
      </c>
      <c r="H13" s="4">
        <v>45917.441157407404</v>
      </c>
      <c r="I13">
        <v>21</v>
      </c>
      <c r="J13" t="s">
        <v>70</v>
      </c>
      <c r="K13">
        <v>1056068666</v>
      </c>
      <c r="L13" t="s">
        <v>224</v>
      </c>
      <c r="N13" t="s">
        <v>65</v>
      </c>
      <c r="O13">
        <v>21</v>
      </c>
      <c r="P13">
        <v>3</v>
      </c>
      <c r="Q13" s="4"/>
      <c r="R13" s="1" t="str">
        <f>IF(_xlfn.XLOOKUP(L13,'RAW DATA'!A:A,'RAW DATA'!B:B)=0,"",_xlfn.XLOOKUP(L13,'RAW DATA'!A:A,'RAW DATA'!B:B))</f>
        <v>EDocument</v>
      </c>
      <c r="S13" s="1" t="str">
        <f>IF(_xlfn.XLOOKUP(L13,'RAW DATA'!A:A,'RAW DATA'!C:C)=0,"",_xlfn.XLOOKUP(L13,'RAW DATA'!A:A,'RAW DATA'!C:C))</f>
        <v>3 or less</v>
      </c>
    </row>
    <row r="14" spans="1:19" x14ac:dyDescent="0.3">
      <c r="A14" t="s">
        <v>107</v>
      </c>
      <c r="B14" t="s">
        <v>69</v>
      </c>
      <c r="C14" t="s">
        <v>66</v>
      </c>
      <c r="F14" t="s">
        <v>211</v>
      </c>
      <c r="G14" t="s">
        <v>91</v>
      </c>
      <c r="H14" s="4">
        <v>45917.441620370373</v>
      </c>
      <c r="I14">
        <v>16</v>
      </c>
      <c r="J14" t="s">
        <v>70</v>
      </c>
      <c r="K14">
        <v>1056068745</v>
      </c>
      <c r="L14" t="s">
        <v>225</v>
      </c>
      <c r="N14" t="s">
        <v>65</v>
      </c>
      <c r="O14">
        <v>16</v>
      </c>
      <c r="P14">
        <v>3</v>
      </c>
      <c r="Q14" s="4"/>
      <c r="R14" s="1" t="str">
        <f>IF(_xlfn.XLOOKUP(L14,'RAW DATA'!A:A,'RAW DATA'!B:B)=0,"",_xlfn.XLOOKUP(L14,'RAW DATA'!A:A,'RAW DATA'!B:B))</f>
        <v>EDocument</v>
      </c>
      <c r="S14" s="1" t="str">
        <f>IF(_xlfn.XLOOKUP(L14,'RAW DATA'!A:A,'RAW DATA'!C:C)=0,"",_xlfn.XLOOKUP(L14,'RAW DATA'!A:A,'RAW DATA'!C:C))</f>
        <v>3 or less</v>
      </c>
    </row>
    <row r="15" spans="1:19" x14ac:dyDescent="0.3">
      <c r="A15" t="s">
        <v>108</v>
      </c>
      <c r="B15" t="s">
        <v>69</v>
      </c>
      <c r="C15" t="s">
        <v>66</v>
      </c>
      <c r="F15" t="s">
        <v>211</v>
      </c>
      <c r="G15" t="s">
        <v>91</v>
      </c>
      <c r="H15" s="4">
        <v>45917.441979166666</v>
      </c>
      <c r="I15">
        <v>60</v>
      </c>
      <c r="J15" t="s">
        <v>72</v>
      </c>
      <c r="L15" t="s">
        <v>65</v>
      </c>
      <c r="N15" t="s">
        <v>65</v>
      </c>
      <c r="O15">
        <v>60</v>
      </c>
      <c r="Q15" s="4"/>
      <c r="R15" s="1" t="e">
        <f>IF(_xlfn.XLOOKUP(L15,'RAW DATA'!A:A,'RAW DATA'!B:B)=0,"",_xlfn.XLOOKUP(L15,'RAW DATA'!A:A,'RAW DATA'!B:B))</f>
        <v>#N/A</v>
      </c>
      <c r="S15" s="1" t="e">
        <f>IF(_xlfn.XLOOKUP(L15,'RAW DATA'!A:A,'RAW DATA'!C:C)=0,"",_xlfn.XLOOKUP(L15,'RAW DATA'!A:A,'RAW DATA'!C:C))</f>
        <v>#N/A</v>
      </c>
    </row>
    <row r="16" spans="1:19" x14ac:dyDescent="0.3">
      <c r="A16" t="s">
        <v>109</v>
      </c>
      <c r="B16" t="s">
        <v>69</v>
      </c>
      <c r="C16" t="s">
        <v>66</v>
      </c>
      <c r="F16" t="s">
        <v>211</v>
      </c>
      <c r="G16" t="s">
        <v>91</v>
      </c>
      <c r="H16" s="4">
        <v>45917.442812499998</v>
      </c>
      <c r="I16">
        <v>36</v>
      </c>
      <c r="J16" t="s">
        <v>70</v>
      </c>
      <c r="K16">
        <v>1056068961</v>
      </c>
      <c r="L16" t="s">
        <v>226</v>
      </c>
      <c r="N16" t="s">
        <v>65</v>
      </c>
      <c r="O16">
        <v>36</v>
      </c>
      <c r="P16">
        <v>4</v>
      </c>
      <c r="Q16" s="4"/>
      <c r="R16" s="1" t="str">
        <f>IF(_xlfn.XLOOKUP(L16,'RAW DATA'!A:A,'RAW DATA'!B:B)=0,"",_xlfn.XLOOKUP(L16,'RAW DATA'!A:A,'RAW DATA'!B:B))</f>
        <v>-</v>
      </c>
      <c r="S16" s="1" t="str">
        <f>IF(_xlfn.XLOOKUP(L16,'RAW DATA'!A:A,'RAW DATA'!C:C)=0,"",_xlfn.XLOOKUP(L16,'RAW DATA'!A:A,'RAW DATA'!C:C))</f>
        <v>3 or less</v>
      </c>
    </row>
    <row r="17" spans="1:19" x14ac:dyDescent="0.3">
      <c r="A17" t="s">
        <v>110</v>
      </c>
      <c r="B17" t="s">
        <v>69</v>
      </c>
      <c r="C17" t="s">
        <v>66</v>
      </c>
      <c r="F17" t="s">
        <v>211</v>
      </c>
      <c r="G17" t="s">
        <v>91</v>
      </c>
      <c r="H17" s="4">
        <v>45917.443379629629</v>
      </c>
      <c r="I17">
        <v>60</v>
      </c>
      <c r="J17" t="s">
        <v>72</v>
      </c>
      <c r="L17" t="s">
        <v>65</v>
      </c>
      <c r="N17" t="s">
        <v>65</v>
      </c>
      <c r="O17">
        <v>60</v>
      </c>
      <c r="Q17" s="4"/>
      <c r="R17" s="1" t="e">
        <f>IF(_xlfn.XLOOKUP(L17,'RAW DATA'!A:A,'RAW DATA'!B:B)=0,"",_xlfn.XLOOKUP(L17,'RAW DATA'!A:A,'RAW DATA'!B:B))</f>
        <v>#N/A</v>
      </c>
      <c r="S17" s="1" t="e">
        <f>IF(_xlfn.XLOOKUP(L17,'RAW DATA'!A:A,'RAW DATA'!C:C)=0,"",_xlfn.XLOOKUP(L17,'RAW DATA'!A:A,'RAW DATA'!C:C))</f>
        <v>#N/A</v>
      </c>
    </row>
    <row r="18" spans="1:19" x14ac:dyDescent="0.3">
      <c r="A18" t="s">
        <v>111</v>
      </c>
      <c r="B18" t="s">
        <v>69</v>
      </c>
      <c r="C18" t="s">
        <v>66</v>
      </c>
      <c r="F18" t="s">
        <v>211</v>
      </c>
      <c r="G18" t="s">
        <v>91</v>
      </c>
      <c r="H18" s="4">
        <v>45917.444293981483</v>
      </c>
      <c r="I18">
        <v>21</v>
      </c>
      <c r="J18" t="s">
        <v>70</v>
      </c>
      <c r="K18">
        <v>1056069221</v>
      </c>
      <c r="L18" t="s">
        <v>227</v>
      </c>
      <c r="N18" t="s">
        <v>65</v>
      </c>
      <c r="O18">
        <v>21</v>
      </c>
      <c r="P18">
        <v>6</v>
      </c>
      <c r="Q18" s="4"/>
      <c r="R18" s="1" t="str">
        <f>IF(_xlfn.XLOOKUP(L18,'RAW DATA'!A:A,'RAW DATA'!B:B)=0,"",_xlfn.XLOOKUP(L18,'RAW DATA'!A:A,'RAW DATA'!B:B))</f>
        <v>-</v>
      </c>
      <c r="S18" s="1" t="str">
        <f>IF(_xlfn.XLOOKUP(L18,'RAW DATA'!A:A,'RAW DATA'!C:C)=0,"",_xlfn.XLOOKUP(L18,'RAW DATA'!A:A,'RAW DATA'!C:C))</f>
        <v>3 or less</v>
      </c>
    </row>
    <row r="19" spans="1:19" x14ac:dyDescent="0.3">
      <c r="A19" t="s">
        <v>112</v>
      </c>
      <c r="B19" t="s">
        <v>69</v>
      </c>
      <c r="C19" t="s">
        <v>66</v>
      </c>
      <c r="F19" t="s">
        <v>211</v>
      </c>
      <c r="G19" t="s">
        <v>91</v>
      </c>
      <c r="H19" s="4">
        <v>45917.444768518515</v>
      </c>
      <c r="I19">
        <v>13</v>
      </c>
      <c r="J19" t="s">
        <v>70</v>
      </c>
      <c r="K19">
        <v>1056069339</v>
      </c>
      <c r="L19" t="s">
        <v>228</v>
      </c>
      <c r="N19" t="s">
        <v>65</v>
      </c>
      <c r="O19">
        <v>13</v>
      </c>
      <c r="Q19" s="4"/>
      <c r="R19" s="1" t="str">
        <f>IF(_xlfn.XLOOKUP(L19,'RAW DATA'!A:A,'RAW DATA'!B:B)=0,"",_xlfn.XLOOKUP(L19,'RAW DATA'!A:A,'RAW DATA'!B:B))</f>
        <v>-</v>
      </c>
      <c r="S19" s="1" t="str">
        <f>IF(_xlfn.XLOOKUP(L19,'RAW DATA'!A:A,'RAW DATA'!C:C)=0,"",_xlfn.XLOOKUP(L19,'RAW DATA'!A:A,'RAW DATA'!C:C))</f>
        <v>3 or less</v>
      </c>
    </row>
    <row r="20" spans="1:19" x14ac:dyDescent="0.3">
      <c r="A20" t="s">
        <v>113</v>
      </c>
      <c r="B20" t="s">
        <v>69</v>
      </c>
      <c r="C20" t="s">
        <v>66</v>
      </c>
      <c r="F20" t="s">
        <v>211</v>
      </c>
      <c r="G20" t="s">
        <v>91</v>
      </c>
      <c r="H20" s="4">
        <v>45917.445254629631</v>
      </c>
      <c r="I20">
        <v>20</v>
      </c>
      <c r="J20" t="s">
        <v>70</v>
      </c>
      <c r="K20">
        <v>1056069417</v>
      </c>
      <c r="L20" t="s">
        <v>229</v>
      </c>
      <c r="N20" t="s">
        <v>65</v>
      </c>
      <c r="O20">
        <v>20</v>
      </c>
      <c r="P20">
        <v>3</v>
      </c>
      <c r="Q20" s="4"/>
      <c r="R20" s="1" t="str">
        <f>IF(_xlfn.XLOOKUP(L20,'RAW DATA'!A:A,'RAW DATA'!B:B)=0,"",_xlfn.XLOOKUP(L20,'RAW DATA'!A:A,'RAW DATA'!B:B))</f>
        <v>-</v>
      </c>
      <c r="S20" s="1" t="str">
        <f>IF(_xlfn.XLOOKUP(L20,'RAW DATA'!A:A,'RAW DATA'!C:C)=0,"",_xlfn.XLOOKUP(L20,'RAW DATA'!A:A,'RAW DATA'!C:C))</f>
        <v>3 or less</v>
      </c>
    </row>
    <row r="21" spans="1:19" x14ac:dyDescent="0.3">
      <c r="A21" t="s">
        <v>114</v>
      </c>
      <c r="B21" t="s">
        <v>69</v>
      </c>
      <c r="C21" t="s">
        <v>66</v>
      </c>
      <c r="F21" t="s">
        <v>211</v>
      </c>
      <c r="G21" t="s">
        <v>91</v>
      </c>
      <c r="H21" s="4">
        <v>45917.445625</v>
      </c>
      <c r="I21">
        <v>12</v>
      </c>
      <c r="J21" t="s">
        <v>70</v>
      </c>
      <c r="K21">
        <v>1056069475</v>
      </c>
      <c r="L21" t="s">
        <v>230</v>
      </c>
      <c r="N21" t="s">
        <v>65</v>
      </c>
      <c r="O21">
        <v>12</v>
      </c>
      <c r="P21">
        <v>3</v>
      </c>
      <c r="Q21" s="4"/>
      <c r="R21" s="1" t="str">
        <f>IF(_xlfn.XLOOKUP(L21,'RAW DATA'!A:A,'RAW DATA'!B:B)=0,"",_xlfn.XLOOKUP(L21,'RAW DATA'!A:A,'RAW DATA'!B:B))</f>
        <v>EDocument</v>
      </c>
      <c r="S21" s="1" t="str">
        <f>IF(_xlfn.XLOOKUP(L21,'RAW DATA'!A:A,'RAW DATA'!C:C)=0,"",_xlfn.XLOOKUP(L21,'RAW DATA'!A:A,'RAW DATA'!C:C))</f>
        <v>3 or less</v>
      </c>
    </row>
    <row r="22" spans="1:19" x14ac:dyDescent="0.3">
      <c r="A22" t="s">
        <v>115</v>
      </c>
      <c r="B22" t="s">
        <v>69</v>
      </c>
      <c r="C22" t="s">
        <v>66</v>
      </c>
      <c r="F22" t="s">
        <v>211</v>
      </c>
      <c r="G22" t="s">
        <v>91</v>
      </c>
      <c r="H22" s="4">
        <v>45917.445972222224</v>
      </c>
      <c r="I22">
        <v>33</v>
      </c>
      <c r="J22" t="s">
        <v>70</v>
      </c>
      <c r="K22">
        <v>1056069606</v>
      </c>
      <c r="L22" t="s">
        <v>231</v>
      </c>
      <c r="N22" t="s">
        <v>65</v>
      </c>
      <c r="O22">
        <v>33</v>
      </c>
      <c r="P22">
        <v>4</v>
      </c>
      <c r="Q22" s="4"/>
      <c r="R22" s="1" t="str">
        <f>IF(_xlfn.XLOOKUP(L22,'RAW DATA'!A:A,'RAW DATA'!B:B)=0,"",_xlfn.XLOOKUP(L22,'RAW DATA'!A:A,'RAW DATA'!B:B))</f>
        <v>-</v>
      </c>
      <c r="S22" s="1" t="str">
        <f>IF(_xlfn.XLOOKUP(L22,'RAW DATA'!A:A,'RAW DATA'!C:C)=0,"",_xlfn.XLOOKUP(L22,'RAW DATA'!A:A,'RAW DATA'!C:C))</f>
        <v>3 or less</v>
      </c>
    </row>
    <row r="23" spans="1:19" x14ac:dyDescent="0.3">
      <c r="A23" t="s">
        <v>116</v>
      </c>
      <c r="B23" t="s">
        <v>69</v>
      </c>
      <c r="C23" t="s">
        <v>66</v>
      </c>
      <c r="F23" t="s">
        <v>211</v>
      </c>
      <c r="G23" t="s">
        <v>91</v>
      </c>
      <c r="H23" s="4">
        <v>45917.446527777778</v>
      </c>
      <c r="I23">
        <v>60</v>
      </c>
      <c r="J23" t="s">
        <v>72</v>
      </c>
      <c r="L23" t="s">
        <v>65</v>
      </c>
      <c r="N23" t="s">
        <v>65</v>
      </c>
      <c r="O23">
        <v>60</v>
      </c>
      <c r="Q23" s="4"/>
      <c r="R23" s="1" t="e">
        <f>IF(_xlfn.XLOOKUP(L23,'RAW DATA'!A:A,'RAW DATA'!B:B)=0,"",_xlfn.XLOOKUP(L23,'RAW DATA'!A:A,'RAW DATA'!B:B))</f>
        <v>#N/A</v>
      </c>
      <c r="S23" s="1" t="e">
        <f>IF(_xlfn.XLOOKUP(L23,'RAW DATA'!A:A,'RAW DATA'!C:C)=0,"",_xlfn.XLOOKUP(L23,'RAW DATA'!A:A,'RAW DATA'!C:C))</f>
        <v>#N/A</v>
      </c>
    </row>
    <row r="24" spans="1:19" x14ac:dyDescent="0.3">
      <c r="A24" t="s">
        <v>117</v>
      </c>
      <c r="B24" t="s">
        <v>69</v>
      </c>
      <c r="C24" t="s">
        <v>66</v>
      </c>
      <c r="F24" t="s">
        <v>211</v>
      </c>
      <c r="G24" t="s">
        <v>91</v>
      </c>
      <c r="H24" s="4">
        <v>45917.44734953704</v>
      </c>
      <c r="I24">
        <v>51</v>
      </c>
      <c r="J24" t="s">
        <v>70</v>
      </c>
      <c r="K24">
        <v>1056069834</v>
      </c>
      <c r="L24" t="s">
        <v>232</v>
      </c>
      <c r="N24" t="s">
        <v>65</v>
      </c>
      <c r="O24">
        <v>51</v>
      </c>
      <c r="P24">
        <v>3</v>
      </c>
      <c r="Q24" s="4"/>
      <c r="R24" s="1" t="str">
        <f>IF(_xlfn.XLOOKUP(L24,'RAW DATA'!A:A,'RAW DATA'!B:B)=0,"",_xlfn.XLOOKUP(L24,'RAW DATA'!A:A,'RAW DATA'!B:B))</f>
        <v>-</v>
      </c>
      <c r="S24" s="1" t="str">
        <f>IF(_xlfn.XLOOKUP(L24,'RAW DATA'!A:A,'RAW DATA'!C:C)=0,"",_xlfn.XLOOKUP(L24,'RAW DATA'!A:A,'RAW DATA'!C:C))</f>
        <v>3 or less</v>
      </c>
    </row>
    <row r="25" spans="1:19" x14ac:dyDescent="0.3">
      <c r="A25" t="s">
        <v>118</v>
      </c>
      <c r="B25" t="s">
        <v>69</v>
      </c>
      <c r="C25" t="s">
        <v>66</v>
      </c>
      <c r="F25" t="s">
        <v>211</v>
      </c>
      <c r="G25" t="s">
        <v>91</v>
      </c>
      <c r="H25" s="4">
        <v>45917.448125000003</v>
      </c>
      <c r="I25">
        <v>11</v>
      </c>
      <c r="J25" t="s">
        <v>70</v>
      </c>
      <c r="K25">
        <v>1056069964</v>
      </c>
      <c r="L25" t="s">
        <v>233</v>
      </c>
      <c r="N25" t="s">
        <v>65</v>
      </c>
      <c r="O25">
        <v>11</v>
      </c>
      <c r="P25">
        <v>4</v>
      </c>
      <c r="Q25" s="4"/>
      <c r="R25" s="1" t="e">
        <f>IF(_xlfn.XLOOKUP(L25,'RAW DATA'!A:A,'RAW DATA'!B:B)=0,"",_xlfn.XLOOKUP(L25,'RAW DATA'!A:A,'RAW DATA'!B:B))</f>
        <v>#N/A</v>
      </c>
      <c r="S25" s="1" t="e">
        <f>IF(_xlfn.XLOOKUP(L25,'RAW DATA'!A:A,'RAW DATA'!C:C)=0,"",_xlfn.XLOOKUP(L25,'RAW DATA'!A:A,'RAW DATA'!C:C))</f>
        <v>#N/A</v>
      </c>
    </row>
    <row r="26" spans="1:19" x14ac:dyDescent="0.3">
      <c r="A26" t="s">
        <v>119</v>
      </c>
      <c r="B26" t="s">
        <v>69</v>
      </c>
      <c r="C26" t="s">
        <v>66</v>
      </c>
      <c r="F26" t="s">
        <v>211</v>
      </c>
      <c r="G26" t="s">
        <v>91</v>
      </c>
      <c r="H26" s="4">
        <v>45917.448425925926</v>
      </c>
      <c r="I26">
        <v>15</v>
      </c>
      <c r="J26" t="s">
        <v>70</v>
      </c>
      <c r="K26">
        <v>1056070029</v>
      </c>
      <c r="L26" t="s">
        <v>234</v>
      </c>
      <c r="N26" t="s">
        <v>65</v>
      </c>
      <c r="O26">
        <v>15</v>
      </c>
      <c r="P26">
        <v>4</v>
      </c>
      <c r="Q26" s="4"/>
      <c r="R26" s="1" t="str">
        <f>IF(_xlfn.XLOOKUP(L26,'RAW DATA'!A:A,'RAW DATA'!B:B)=0,"",_xlfn.XLOOKUP(L26,'RAW DATA'!A:A,'RAW DATA'!B:B))</f>
        <v>EDocument</v>
      </c>
      <c r="S26" s="1" t="str">
        <f>IF(_xlfn.XLOOKUP(L26,'RAW DATA'!A:A,'RAW DATA'!C:C)=0,"",_xlfn.XLOOKUP(L26,'RAW DATA'!A:A,'RAW DATA'!C:C))</f>
        <v>3 or less</v>
      </c>
    </row>
    <row r="27" spans="1:19" x14ac:dyDescent="0.3">
      <c r="A27" t="s">
        <v>120</v>
      </c>
      <c r="B27" t="s">
        <v>69</v>
      </c>
      <c r="C27" t="s">
        <v>66</v>
      </c>
      <c r="F27" t="s">
        <v>211</v>
      </c>
      <c r="G27" t="s">
        <v>91</v>
      </c>
      <c r="H27" s="4">
        <v>45917.449062500003</v>
      </c>
      <c r="I27">
        <v>75</v>
      </c>
      <c r="J27" t="s">
        <v>70</v>
      </c>
      <c r="K27">
        <v>1056070289</v>
      </c>
      <c r="L27" t="s">
        <v>235</v>
      </c>
      <c r="N27" t="s">
        <v>65</v>
      </c>
      <c r="O27">
        <v>75</v>
      </c>
      <c r="P27">
        <v>3</v>
      </c>
      <c r="Q27" s="4"/>
      <c r="R27" s="1" t="str">
        <f>IF(_xlfn.XLOOKUP(L27,'RAW DATA'!A:A,'RAW DATA'!B:B)=0,"",_xlfn.XLOOKUP(L27,'RAW DATA'!A:A,'RAW DATA'!B:B))</f>
        <v>-</v>
      </c>
      <c r="S27" s="1" t="str">
        <f>IF(_xlfn.XLOOKUP(L27,'RAW DATA'!A:A,'RAW DATA'!C:C)=0,"",_xlfn.XLOOKUP(L27,'RAW DATA'!A:A,'RAW DATA'!C:C))</f>
        <v>3 or less</v>
      </c>
    </row>
    <row r="28" spans="1:19" x14ac:dyDescent="0.3">
      <c r="A28" t="s">
        <v>121</v>
      </c>
      <c r="B28" t="s">
        <v>69</v>
      </c>
      <c r="C28" t="s">
        <v>66</v>
      </c>
      <c r="F28" t="s">
        <v>211</v>
      </c>
      <c r="G28" t="s">
        <v>91</v>
      </c>
      <c r="H28" s="4">
        <v>45917.450254629628</v>
      </c>
      <c r="I28">
        <v>72</v>
      </c>
      <c r="J28" t="s">
        <v>70</v>
      </c>
      <c r="K28">
        <v>1056070394</v>
      </c>
      <c r="L28" t="s">
        <v>236</v>
      </c>
      <c r="N28" t="s">
        <v>65</v>
      </c>
      <c r="O28">
        <v>72</v>
      </c>
      <c r="P28">
        <v>4</v>
      </c>
      <c r="Q28" s="4"/>
      <c r="R28" s="1" t="str">
        <f>IF(_xlfn.XLOOKUP(L28,'RAW DATA'!A:A,'RAW DATA'!B:B)=0,"",_xlfn.XLOOKUP(L28,'RAW DATA'!A:A,'RAW DATA'!B:B))</f>
        <v>-</v>
      </c>
      <c r="S28" s="1" t="str">
        <f>IF(_xlfn.XLOOKUP(L28,'RAW DATA'!A:A,'RAW DATA'!C:C)=0,"",_xlfn.XLOOKUP(L28,'RAW DATA'!A:A,'RAW DATA'!C:C))</f>
        <v>3 or less</v>
      </c>
    </row>
    <row r="29" spans="1:19" x14ac:dyDescent="0.3">
      <c r="A29" t="s">
        <v>122</v>
      </c>
      <c r="B29" t="s">
        <v>69</v>
      </c>
      <c r="C29" t="s">
        <v>66</v>
      </c>
      <c r="F29" t="s">
        <v>211</v>
      </c>
      <c r="G29" t="s">
        <v>91</v>
      </c>
      <c r="H29" s="4">
        <v>45917.451388888891</v>
      </c>
      <c r="I29">
        <v>83</v>
      </c>
      <c r="J29" t="s">
        <v>70</v>
      </c>
      <c r="L29" t="s">
        <v>65</v>
      </c>
      <c r="N29" t="s">
        <v>65</v>
      </c>
      <c r="O29">
        <v>83</v>
      </c>
      <c r="P29">
        <v>3</v>
      </c>
      <c r="Q29" s="4"/>
      <c r="R29" s="1" t="e">
        <f>IF(_xlfn.XLOOKUP(L29,'RAW DATA'!A:A,'RAW DATA'!B:B)=0,"",_xlfn.XLOOKUP(L29,'RAW DATA'!A:A,'RAW DATA'!B:B))</f>
        <v>#N/A</v>
      </c>
      <c r="S29" s="1" t="e">
        <f>IF(_xlfn.XLOOKUP(L29,'RAW DATA'!A:A,'RAW DATA'!C:C)=0,"",_xlfn.XLOOKUP(L29,'RAW DATA'!A:A,'RAW DATA'!C:C))</f>
        <v>#N/A</v>
      </c>
    </row>
    <row r="30" spans="1:19" x14ac:dyDescent="0.3">
      <c r="A30" t="s">
        <v>123</v>
      </c>
      <c r="B30" t="s">
        <v>69</v>
      </c>
      <c r="C30" t="s">
        <v>66</v>
      </c>
      <c r="F30" t="s">
        <v>211</v>
      </c>
      <c r="G30" t="s">
        <v>91</v>
      </c>
      <c r="H30" s="4">
        <v>45917.452604166669</v>
      </c>
      <c r="I30">
        <v>40</v>
      </c>
      <c r="J30" t="s">
        <v>70</v>
      </c>
      <c r="K30">
        <v>1056070848</v>
      </c>
      <c r="L30" t="s">
        <v>237</v>
      </c>
      <c r="N30" t="s">
        <v>65</v>
      </c>
      <c r="O30">
        <v>40</v>
      </c>
      <c r="P30">
        <v>3</v>
      </c>
      <c r="Q30" s="4"/>
      <c r="R30" s="1" t="str">
        <f>IF(_xlfn.XLOOKUP(L30,'RAW DATA'!A:A,'RAW DATA'!B:B)=0,"",_xlfn.XLOOKUP(L30,'RAW DATA'!A:A,'RAW DATA'!B:B))</f>
        <v>-</v>
      </c>
      <c r="S30" s="1" t="str">
        <f>IF(_xlfn.XLOOKUP(L30,'RAW DATA'!A:A,'RAW DATA'!C:C)=0,"",_xlfn.XLOOKUP(L30,'RAW DATA'!A:A,'RAW DATA'!C:C))</f>
        <v>3 or less</v>
      </c>
    </row>
    <row r="31" spans="1:19" x14ac:dyDescent="0.3">
      <c r="A31" t="s">
        <v>124</v>
      </c>
      <c r="B31" t="s">
        <v>69</v>
      </c>
      <c r="C31" t="s">
        <v>66</v>
      </c>
      <c r="F31" t="s">
        <v>211</v>
      </c>
      <c r="G31" t="s">
        <v>91</v>
      </c>
      <c r="H31" s="4">
        <v>45917.453333333331</v>
      </c>
      <c r="I31">
        <v>17</v>
      </c>
      <c r="J31" t="s">
        <v>70</v>
      </c>
      <c r="K31">
        <v>1056071001</v>
      </c>
      <c r="L31" t="s">
        <v>238</v>
      </c>
      <c r="N31" t="s">
        <v>65</v>
      </c>
      <c r="O31">
        <v>17</v>
      </c>
      <c r="P31">
        <v>4</v>
      </c>
      <c r="Q31" s="4"/>
      <c r="R31" s="1" t="str">
        <f>IF(_xlfn.XLOOKUP(L31,'RAW DATA'!A:A,'RAW DATA'!B:B)=0,"",_xlfn.XLOOKUP(L31,'RAW DATA'!A:A,'RAW DATA'!B:B))</f>
        <v>-</v>
      </c>
      <c r="S31" s="1" t="str">
        <f>IF(_xlfn.XLOOKUP(L31,'RAW DATA'!A:A,'RAW DATA'!C:C)=0,"",_xlfn.XLOOKUP(L31,'RAW DATA'!A:A,'RAW DATA'!C:C))</f>
        <v>3 or less</v>
      </c>
    </row>
    <row r="32" spans="1:19" x14ac:dyDescent="0.3">
      <c r="A32" t="s">
        <v>125</v>
      </c>
      <c r="B32" t="s">
        <v>69</v>
      </c>
      <c r="C32" t="s">
        <v>66</v>
      </c>
      <c r="F32" t="s">
        <v>211</v>
      </c>
      <c r="G32" t="s">
        <v>91</v>
      </c>
      <c r="H32" s="4">
        <v>45917.453715277778</v>
      </c>
      <c r="I32">
        <v>81</v>
      </c>
      <c r="J32" t="s">
        <v>70</v>
      </c>
      <c r="K32">
        <v>1056071089</v>
      </c>
      <c r="L32" t="s">
        <v>233</v>
      </c>
      <c r="N32" t="s">
        <v>65</v>
      </c>
      <c r="O32">
        <v>81</v>
      </c>
      <c r="P32">
        <v>29</v>
      </c>
      <c r="Q32" s="4"/>
      <c r="R32" s="1" t="e">
        <f>IF(_xlfn.XLOOKUP(L32,'RAW DATA'!A:A,'RAW DATA'!B:B)=0,"",_xlfn.XLOOKUP(L32,'RAW DATA'!A:A,'RAW DATA'!B:B))</f>
        <v>#N/A</v>
      </c>
      <c r="S32" s="1" t="e">
        <f>IF(_xlfn.XLOOKUP(L32,'RAW DATA'!A:A,'RAW DATA'!C:C)=0,"",_xlfn.XLOOKUP(L32,'RAW DATA'!A:A,'RAW DATA'!C:C))</f>
        <v>#N/A</v>
      </c>
    </row>
    <row r="33" spans="1:19" x14ac:dyDescent="0.3">
      <c r="A33" t="s">
        <v>126</v>
      </c>
      <c r="B33" t="s">
        <v>69</v>
      </c>
      <c r="C33" t="s">
        <v>66</v>
      </c>
      <c r="F33" t="s">
        <v>211</v>
      </c>
      <c r="G33" t="s">
        <v>91</v>
      </c>
      <c r="H33" s="4">
        <v>45917.455092592594</v>
      </c>
      <c r="I33">
        <v>22</v>
      </c>
      <c r="J33" t="s">
        <v>70</v>
      </c>
      <c r="K33">
        <v>1056071348</v>
      </c>
      <c r="L33" t="s">
        <v>239</v>
      </c>
      <c r="N33" t="s">
        <v>65</v>
      </c>
      <c r="O33">
        <v>22</v>
      </c>
      <c r="P33">
        <v>2</v>
      </c>
      <c r="Q33" s="4"/>
      <c r="R33" s="1" t="str">
        <f>IF(_xlfn.XLOOKUP(L33,'RAW DATA'!A:A,'RAW DATA'!B:B)=0,"",_xlfn.XLOOKUP(L33,'RAW DATA'!A:A,'RAW DATA'!B:B))</f>
        <v>EDocument</v>
      </c>
      <c r="S33" s="1" t="str">
        <f>IF(_xlfn.XLOOKUP(L33,'RAW DATA'!A:A,'RAW DATA'!C:C)=0,"",_xlfn.XLOOKUP(L33,'RAW DATA'!A:A,'RAW DATA'!C:C))</f>
        <v>3 or less</v>
      </c>
    </row>
    <row r="34" spans="1:19" x14ac:dyDescent="0.3">
      <c r="A34" t="s">
        <v>127</v>
      </c>
      <c r="B34" t="s">
        <v>69</v>
      </c>
      <c r="C34" t="s">
        <v>66</v>
      </c>
      <c r="F34" t="s">
        <v>211</v>
      </c>
      <c r="G34" t="s">
        <v>91</v>
      </c>
      <c r="H34" s="4">
        <v>45917.455659722225</v>
      </c>
      <c r="I34">
        <v>14</v>
      </c>
      <c r="J34" t="s">
        <v>70</v>
      </c>
      <c r="K34">
        <v>1056071431</v>
      </c>
      <c r="L34" t="s">
        <v>233</v>
      </c>
      <c r="N34" t="s">
        <v>65</v>
      </c>
      <c r="O34">
        <v>13</v>
      </c>
      <c r="P34">
        <v>4</v>
      </c>
      <c r="Q34" s="4"/>
      <c r="R34" s="1" t="e">
        <f>IF(_xlfn.XLOOKUP(L34,'RAW DATA'!A:A,'RAW DATA'!B:B)=0,"",_xlfn.XLOOKUP(L34,'RAW DATA'!A:A,'RAW DATA'!B:B))</f>
        <v>#N/A</v>
      </c>
      <c r="S34" s="1" t="e">
        <f>IF(_xlfn.XLOOKUP(L34,'RAW DATA'!A:A,'RAW DATA'!C:C)=0,"",_xlfn.XLOOKUP(L34,'RAW DATA'!A:A,'RAW DATA'!C:C))</f>
        <v>#N/A</v>
      </c>
    </row>
    <row r="35" spans="1:19" x14ac:dyDescent="0.3">
      <c r="A35" t="s">
        <v>128</v>
      </c>
      <c r="B35" t="s">
        <v>69</v>
      </c>
      <c r="C35" t="s">
        <v>66</v>
      </c>
      <c r="F35" t="s">
        <v>211</v>
      </c>
      <c r="G35" t="s">
        <v>91</v>
      </c>
      <c r="H35" s="4">
        <v>45917.455972222226</v>
      </c>
      <c r="I35">
        <v>13</v>
      </c>
      <c r="J35" t="s">
        <v>70</v>
      </c>
      <c r="K35">
        <v>1056071495</v>
      </c>
      <c r="L35" t="s">
        <v>240</v>
      </c>
      <c r="N35" t="s">
        <v>65</v>
      </c>
      <c r="O35">
        <v>13</v>
      </c>
      <c r="P35">
        <v>3</v>
      </c>
      <c r="Q35" s="4"/>
      <c r="R35" s="1" t="str">
        <f>IF(_xlfn.XLOOKUP(L35,'RAW DATA'!A:A,'RAW DATA'!B:B)=0,"",_xlfn.XLOOKUP(L35,'RAW DATA'!A:A,'RAW DATA'!B:B))</f>
        <v>EDocument</v>
      </c>
      <c r="S35" s="1" t="str">
        <f>IF(_xlfn.XLOOKUP(L35,'RAW DATA'!A:A,'RAW DATA'!C:C)=0,"",_xlfn.XLOOKUP(L35,'RAW DATA'!A:A,'RAW DATA'!C:C))</f>
        <v>3 or less</v>
      </c>
    </row>
    <row r="36" spans="1:19" x14ac:dyDescent="0.3">
      <c r="A36" t="s">
        <v>129</v>
      </c>
      <c r="B36" t="s">
        <v>69</v>
      </c>
      <c r="C36" t="s">
        <v>66</v>
      </c>
      <c r="F36" t="s">
        <v>211</v>
      </c>
      <c r="G36" t="s">
        <v>91</v>
      </c>
      <c r="H36" s="4">
        <v>45917.456296296295</v>
      </c>
      <c r="I36">
        <v>56</v>
      </c>
      <c r="J36" t="s">
        <v>70</v>
      </c>
      <c r="K36">
        <v>1056071570</v>
      </c>
      <c r="L36" t="s">
        <v>241</v>
      </c>
      <c r="N36" t="s">
        <v>65</v>
      </c>
      <c r="O36">
        <v>56</v>
      </c>
      <c r="P36">
        <v>3</v>
      </c>
      <c r="Q36" s="4"/>
      <c r="R36" s="1" t="str">
        <f>IF(_xlfn.XLOOKUP(L36,'RAW DATA'!A:A,'RAW DATA'!B:B)=0,"",_xlfn.XLOOKUP(L36,'RAW DATA'!A:A,'RAW DATA'!B:B))</f>
        <v>-</v>
      </c>
      <c r="S36" s="1" t="str">
        <f>IF(_xlfn.XLOOKUP(L36,'RAW DATA'!A:A,'RAW DATA'!C:C)=0,"",_xlfn.XLOOKUP(L36,'RAW DATA'!A:A,'RAW DATA'!C:C))</f>
        <v>3 or less</v>
      </c>
    </row>
    <row r="37" spans="1:19" x14ac:dyDescent="0.3">
      <c r="A37" t="s">
        <v>130</v>
      </c>
      <c r="B37" t="s">
        <v>69</v>
      </c>
      <c r="C37" t="s">
        <v>66</v>
      </c>
      <c r="F37" t="s">
        <v>211</v>
      </c>
      <c r="G37" t="s">
        <v>91</v>
      </c>
      <c r="H37" s="4">
        <v>45917.457083333335</v>
      </c>
      <c r="I37">
        <v>60</v>
      </c>
      <c r="J37" t="s">
        <v>72</v>
      </c>
      <c r="K37">
        <v>1056071752</v>
      </c>
      <c r="L37" t="s">
        <v>233</v>
      </c>
      <c r="N37" t="s">
        <v>65</v>
      </c>
      <c r="O37">
        <v>60</v>
      </c>
      <c r="Q37" s="4"/>
      <c r="R37" s="1" t="e">
        <f>IF(_xlfn.XLOOKUP(L37,'RAW DATA'!A:A,'RAW DATA'!B:B)=0,"",_xlfn.XLOOKUP(L37,'RAW DATA'!A:A,'RAW DATA'!B:B))</f>
        <v>#N/A</v>
      </c>
      <c r="S37" s="1" t="e">
        <f>IF(_xlfn.XLOOKUP(L37,'RAW DATA'!A:A,'RAW DATA'!C:C)=0,"",_xlfn.XLOOKUP(L37,'RAW DATA'!A:A,'RAW DATA'!C:C))</f>
        <v>#N/A</v>
      </c>
    </row>
    <row r="38" spans="1:19" x14ac:dyDescent="0.3">
      <c r="A38" t="s">
        <v>131</v>
      </c>
      <c r="B38" t="s">
        <v>69</v>
      </c>
      <c r="C38" t="s">
        <v>66</v>
      </c>
      <c r="F38" t="s">
        <v>211</v>
      </c>
      <c r="G38" t="s">
        <v>91</v>
      </c>
      <c r="H38" s="4">
        <v>45917.460925925923</v>
      </c>
      <c r="I38">
        <v>15</v>
      </c>
      <c r="J38" t="s">
        <v>70</v>
      </c>
      <c r="K38">
        <v>1056072471</v>
      </c>
      <c r="L38" t="s">
        <v>242</v>
      </c>
      <c r="N38" t="s">
        <v>65</v>
      </c>
      <c r="O38">
        <v>15</v>
      </c>
      <c r="P38">
        <v>2</v>
      </c>
      <c r="Q38" s="4"/>
      <c r="R38" s="1" t="str">
        <f>IF(_xlfn.XLOOKUP(L38,'RAW DATA'!A:A,'RAW DATA'!B:B)=0,"",_xlfn.XLOOKUP(L38,'RAW DATA'!A:A,'RAW DATA'!B:B))</f>
        <v>-</v>
      </c>
      <c r="S38" s="1" t="str">
        <f>IF(_xlfn.XLOOKUP(L38,'RAW DATA'!A:A,'RAW DATA'!C:C)=0,"",_xlfn.XLOOKUP(L38,'RAW DATA'!A:A,'RAW DATA'!C:C))</f>
        <v>3 or less</v>
      </c>
    </row>
    <row r="39" spans="1:19" x14ac:dyDescent="0.3">
      <c r="A39" t="s">
        <v>132</v>
      </c>
      <c r="B39" t="s">
        <v>69</v>
      </c>
      <c r="C39" t="s">
        <v>66</v>
      </c>
      <c r="F39" t="s">
        <v>211</v>
      </c>
      <c r="G39" t="s">
        <v>91</v>
      </c>
      <c r="H39" s="4">
        <v>45917.461215277777</v>
      </c>
      <c r="I39">
        <v>12</v>
      </c>
      <c r="J39" t="s">
        <v>70</v>
      </c>
      <c r="K39">
        <v>1056072520</v>
      </c>
      <c r="L39" t="s">
        <v>217</v>
      </c>
      <c r="N39" t="s">
        <v>65</v>
      </c>
      <c r="O39">
        <v>12</v>
      </c>
      <c r="P39">
        <v>4</v>
      </c>
      <c r="Q39" s="4"/>
      <c r="R39" s="1" t="str">
        <f>IF(_xlfn.XLOOKUP(L39,'RAW DATA'!A:A,'RAW DATA'!B:B)=0,"",_xlfn.XLOOKUP(L39,'RAW DATA'!A:A,'RAW DATA'!B:B))</f>
        <v>-</v>
      </c>
      <c r="S39" s="1" t="str">
        <f>IF(_xlfn.XLOOKUP(L39,'RAW DATA'!A:A,'RAW DATA'!C:C)=0,"",_xlfn.XLOOKUP(L39,'RAW DATA'!A:A,'RAW DATA'!C:C))</f>
        <v>3 or less</v>
      </c>
    </row>
    <row r="40" spans="1:19" x14ac:dyDescent="0.3">
      <c r="A40" t="s">
        <v>133</v>
      </c>
      <c r="B40" t="s">
        <v>69</v>
      </c>
      <c r="C40" t="s">
        <v>66</v>
      </c>
      <c r="F40" t="s">
        <v>211</v>
      </c>
      <c r="G40" t="s">
        <v>91</v>
      </c>
      <c r="H40" s="4">
        <v>45917.461504629631</v>
      </c>
      <c r="I40">
        <v>12</v>
      </c>
      <c r="J40" t="s">
        <v>70</v>
      </c>
      <c r="K40">
        <v>1056072565</v>
      </c>
      <c r="L40" t="s">
        <v>243</v>
      </c>
      <c r="N40" t="s">
        <v>65</v>
      </c>
      <c r="O40">
        <v>12</v>
      </c>
      <c r="P40">
        <v>3</v>
      </c>
      <c r="Q40" s="4"/>
      <c r="R40" s="1" t="str">
        <f>IF(_xlfn.XLOOKUP(L40,'RAW DATA'!A:A,'RAW DATA'!B:B)=0,"",_xlfn.XLOOKUP(L40,'RAW DATA'!A:A,'RAW DATA'!B:B))</f>
        <v>EDocument</v>
      </c>
      <c r="S40" s="1" t="str">
        <f>IF(_xlfn.XLOOKUP(L40,'RAW DATA'!A:A,'RAW DATA'!C:C)=0,"",_xlfn.XLOOKUP(L40,'RAW DATA'!A:A,'RAW DATA'!C:C))</f>
        <v>3 or less</v>
      </c>
    </row>
    <row r="41" spans="1:19" x14ac:dyDescent="0.3">
      <c r="A41" t="s">
        <v>134</v>
      </c>
      <c r="B41" t="s">
        <v>69</v>
      </c>
      <c r="C41" t="s">
        <v>66</v>
      </c>
      <c r="F41" t="s">
        <v>211</v>
      </c>
      <c r="G41" t="s">
        <v>91</v>
      </c>
      <c r="H41" s="4">
        <v>45917.461782407408</v>
      </c>
      <c r="I41">
        <v>14</v>
      </c>
      <c r="J41" t="s">
        <v>70</v>
      </c>
      <c r="K41">
        <v>1056072635</v>
      </c>
      <c r="L41" t="s">
        <v>244</v>
      </c>
      <c r="N41" t="s">
        <v>65</v>
      </c>
      <c r="O41">
        <v>14</v>
      </c>
      <c r="P41">
        <v>9</v>
      </c>
      <c r="Q41" s="4"/>
      <c r="R41" s="1" t="str">
        <f>IF(_xlfn.XLOOKUP(L41,'RAW DATA'!A:A,'RAW DATA'!B:B)=0,"",_xlfn.XLOOKUP(L41,'RAW DATA'!A:A,'RAW DATA'!B:B))</f>
        <v>-</v>
      </c>
      <c r="S41" s="1" t="str">
        <f>IF(_xlfn.XLOOKUP(L41,'RAW DATA'!A:A,'RAW DATA'!C:C)=0,"",_xlfn.XLOOKUP(L41,'RAW DATA'!A:A,'RAW DATA'!C:C))</f>
        <v>3 or less</v>
      </c>
    </row>
    <row r="42" spans="1:19" x14ac:dyDescent="0.3">
      <c r="A42" t="s">
        <v>135</v>
      </c>
      <c r="B42" t="s">
        <v>69</v>
      </c>
      <c r="C42" t="s">
        <v>66</v>
      </c>
      <c r="F42" t="s">
        <v>211</v>
      </c>
      <c r="G42" t="s">
        <v>91</v>
      </c>
      <c r="H42" s="4">
        <v>45917.462523148148</v>
      </c>
      <c r="I42">
        <v>41</v>
      </c>
      <c r="J42" t="s">
        <v>70</v>
      </c>
      <c r="K42">
        <v>1056072789</v>
      </c>
      <c r="L42" t="s">
        <v>216</v>
      </c>
      <c r="N42" t="s">
        <v>65</v>
      </c>
      <c r="O42">
        <v>41</v>
      </c>
      <c r="P42">
        <v>3</v>
      </c>
      <c r="Q42" s="4"/>
      <c r="R42" s="1" t="str">
        <f>IF(_xlfn.XLOOKUP(L42,'RAW DATA'!A:A,'RAW DATA'!B:B)=0,"",_xlfn.XLOOKUP(L42,'RAW DATA'!A:A,'RAW DATA'!B:B))</f>
        <v>Wrong Doctor</v>
      </c>
      <c r="S42" s="1" t="str">
        <f>IF(_xlfn.XLOOKUP(L42,'RAW DATA'!A:A,'RAW DATA'!C:C)=0,"",_xlfn.XLOOKUP(L42,'RAW DATA'!A:A,'RAW DATA'!C:C))</f>
        <v>3 or less</v>
      </c>
    </row>
    <row r="43" spans="1:19" x14ac:dyDescent="0.3">
      <c r="A43" t="s">
        <v>136</v>
      </c>
      <c r="B43" t="s">
        <v>69</v>
      </c>
      <c r="C43" t="s">
        <v>66</v>
      </c>
      <c r="F43" t="s">
        <v>211</v>
      </c>
      <c r="G43" t="s">
        <v>91</v>
      </c>
      <c r="H43" s="4">
        <v>45917.587094907409</v>
      </c>
      <c r="I43">
        <v>27</v>
      </c>
      <c r="J43" t="s">
        <v>70</v>
      </c>
      <c r="K43">
        <v>1056133480</v>
      </c>
      <c r="L43" t="s">
        <v>245</v>
      </c>
      <c r="N43" t="s">
        <v>65</v>
      </c>
      <c r="O43">
        <v>27</v>
      </c>
      <c r="P43">
        <v>3</v>
      </c>
      <c r="Q43" s="4"/>
      <c r="R43" s="1" t="str">
        <f>IF(_xlfn.XLOOKUP(L43,'RAW DATA'!A:A,'RAW DATA'!B:B)=0,"",_xlfn.XLOOKUP(L43,'RAW DATA'!A:A,'RAW DATA'!B:B))</f>
        <v>-</v>
      </c>
      <c r="S43" s="1" t="str">
        <f>IF(_xlfn.XLOOKUP(L43,'RAW DATA'!A:A,'RAW DATA'!C:C)=0,"",_xlfn.XLOOKUP(L43,'RAW DATA'!A:A,'RAW DATA'!C:C))</f>
        <v>3 or less</v>
      </c>
    </row>
    <row r="44" spans="1:19" x14ac:dyDescent="0.3">
      <c r="A44" t="s">
        <v>137</v>
      </c>
      <c r="B44" t="s">
        <v>69</v>
      </c>
      <c r="C44" t="s">
        <v>66</v>
      </c>
      <c r="F44" t="s">
        <v>211</v>
      </c>
      <c r="G44" t="s">
        <v>91</v>
      </c>
      <c r="H44" s="4">
        <v>45917.600416666668</v>
      </c>
      <c r="I44">
        <v>62</v>
      </c>
      <c r="J44" t="s">
        <v>70</v>
      </c>
      <c r="K44">
        <v>1056151257</v>
      </c>
      <c r="L44" t="s">
        <v>246</v>
      </c>
      <c r="N44" t="s">
        <v>65</v>
      </c>
      <c r="O44">
        <v>62</v>
      </c>
      <c r="P44">
        <v>3</v>
      </c>
      <c r="Q44" s="4"/>
      <c r="R44" s="1" t="str">
        <f>IF(_xlfn.XLOOKUP(L44,'RAW DATA'!A:A,'RAW DATA'!B:B)=0,"",_xlfn.XLOOKUP(L44,'RAW DATA'!A:A,'RAW DATA'!B:B))</f>
        <v>-</v>
      </c>
      <c r="S44" s="1" t="str">
        <f>IF(_xlfn.XLOOKUP(L44,'RAW DATA'!A:A,'RAW DATA'!C:C)=0,"",_xlfn.XLOOKUP(L44,'RAW DATA'!A:A,'RAW DATA'!C:C))</f>
        <v>3 or less</v>
      </c>
    </row>
    <row r="45" spans="1:19" x14ac:dyDescent="0.3">
      <c r="A45" t="s">
        <v>138</v>
      </c>
      <c r="B45" t="s">
        <v>69</v>
      </c>
      <c r="C45" t="s">
        <v>66</v>
      </c>
      <c r="F45" t="s">
        <v>211</v>
      </c>
      <c r="G45" t="s">
        <v>91</v>
      </c>
      <c r="H45" s="4">
        <v>45917.605069444442</v>
      </c>
      <c r="I45">
        <v>20</v>
      </c>
      <c r="J45" t="s">
        <v>70</v>
      </c>
      <c r="K45">
        <v>1056155219</v>
      </c>
      <c r="L45" t="s">
        <v>247</v>
      </c>
      <c r="N45" t="s">
        <v>65</v>
      </c>
      <c r="O45">
        <v>20</v>
      </c>
      <c r="P45">
        <v>2</v>
      </c>
      <c r="Q45" s="4"/>
      <c r="R45" s="1" t="str">
        <f>IF(_xlfn.XLOOKUP(L45,'RAW DATA'!A:A,'RAW DATA'!B:B)=0,"",_xlfn.XLOOKUP(L45,'RAW DATA'!A:A,'RAW DATA'!B:B))</f>
        <v>-</v>
      </c>
      <c r="S45" s="1" t="str">
        <f>IF(_xlfn.XLOOKUP(L45,'RAW DATA'!A:A,'RAW DATA'!C:C)=0,"",_xlfn.XLOOKUP(L45,'RAW DATA'!A:A,'RAW DATA'!C:C))</f>
        <v>3 or less</v>
      </c>
    </row>
    <row r="46" spans="1:19" x14ac:dyDescent="0.3">
      <c r="A46" t="s">
        <v>139</v>
      </c>
      <c r="B46" t="s">
        <v>69</v>
      </c>
      <c r="C46" t="s">
        <v>66</v>
      </c>
      <c r="F46" t="s">
        <v>211</v>
      </c>
      <c r="G46" t="s">
        <v>91</v>
      </c>
      <c r="H46" s="4">
        <v>45917.606122685182</v>
      </c>
      <c r="I46">
        <v>16</v>
      </c>
      <c r="J46" t="s">
        <v>70</v>
      </c>
      <c r="K46">
        <v>1056156908</v>
      </c>
      <c r="L46" t="s">
        <v>248</v>
      </c>
      <c r="N46" t="s">
        <v>65</v>
      </c>
      <c r="O46">
        <v>16</v>
      </c>
      <c r="P46">
        <v>11</v>
      </c>
      <c r="Q46" s="4"/>
      <c r="R46" s="1" t="str">
        <f>IF(_xlfn.XLOOKUP(L46,'RAW DATA'!A:A,'RAW DATA'!B:B)=0,"",_xlfn.XLOOKUP(L46,'RAW DATA'!A:A,'RAW DATA'!B:B))</f>
        <v>-</v>
      </c>
      <c r="S46" s="1" t="str">
        <f>IF(_xlfn.XLOOKUP(L46,'RAW DATA'!A:A,'RAW DATA'!C:C)=0,"",_xlfn.XLOOKUP(L46,'RAW DATA'!A:A,'RAW DATA'!C:C))</f>
        <v>3 or less</v>
      </c>
    </row>
    <row r="47" spans="1:19" x14ac:dyDescent="0.3">
      <c r="A47" t="s">
        <v>140</v>
      </c>
      <c r="B47" t="s">
        <v>69</v>
      </c>
      <c r="C47" t="s">
        <v>66</v>
      </c>
      <c r="F47" t="s">
        <v>211</v>
      </c>
      <c r="G47" t="s">
        <v>91</v>
      </c>
      <c r="H47" s="4">
        <v>45917.612407407411</v>
      </c>
      <c r="I47">
        <v>60</v>
      </c>
      <c r="J47" t="s">
        <v>72</v>
      </c>
      <c r="K47">
        <v>1056157980</v>
      </c>
      <c r="L47" t="s">
        <v>249</v>
      </c>
      <c r="N47" t="s">
        <v>65</v>
      </c>
      <c r="O47">
        <v>60</v>
      </c>
      <c r="Q47" s="4"/>
      <c r="R47" s="1" t="str">
        <f>IF(_xlfn.XLOOKUP(L47,'RAW DATA'!A:A,'RAW DATA'!B:B)=0,"",_xlfn.XLOOKUP(L47,'RAW DATA'!A:A,'RAW DATA'!B:B))</f>
        <v>-</v>
      </c>
      <c r="S47" s="1" t="str">
        <f>IF(_xlfn.XLOOKUP(L47,'RAW DATA'!A:A,'RAW DATA'!C:C)=0,"",_xlfn.XLOOKUP(L47,'RAW DATA'!A:A,'RAW DATA'!C:C))</f>
        <v>3 or less</v>
      </c>
    </row>
    <row r="48" spans="1:19" x14ac:dyDescent="0.3">
      <c r="A48" t="s">
        <v>141</v>
      </c>
      <c r="B48" t="s">
        <v>69</v>
      </c>
      <c r="C48" t="s">
        <v>66</v>
      </c>
      <c r="F48" t="s">
        <v>211</v>
      </c>
      <c r="G48" t="s">
        <v>91</v>
      </c>
      <c r="H48" s="4">
        <v>45917.613553240742</v>
      </c>
      <c r="I48">
        <v>23</v>
      </c>
      <c r="J48" t="s">
        <v>70</v>
      </c>
      <c r="K48">
        <v>1056158116</v>
      </c>
      <c r="L48" t="s">
        <v>250</v>
      </c>
      <c r="N48" t="s">
        <v>65</v>
      </c>
      <c r="O48">
        <v>23</v>
      </c>
      <c r="P48">
        <v>3</v>
      </c>
      <c r="Q48" s="4"/>
      <c r="R48" s="1" t="str">
        <f>IF(_xlfn.XLOOKUP(L48,'RAW DATA'!A:A,'RAW DATA'!B:B)=0,"",_xlfn.XLOOKUP(L48,'RAW DATA'!A:A,'RAW DATA'!B:B))</f>
        <v>Medical Records Approved</v>
      </c>
      <c r="S48" s="1" t="str">
        <f>IF(_xlfn.XLOOKUP(L48,'RAW DATA'!A:A,'RAW DATA'!C:C)=0,"",_xlfn.XLOOKUP(L48,'RAW DATA'!A:A,'RAW DATA'!C:C))</f>
        <v>3 or less</v>
      </c>
    </row>
    <row r="49" spans="1:19" x14ac:dyDescent="0.3">
      <c r="A49" t="s">
        <v>142</v>
      </c>
      <c r="B49" t="s">
        <v>69</v>
      </c>
      <c r="C49" t="s">
        <v>66</v>
      </c>
      <c r="F49" t="s">
        <v>211</v>
      </c>
      <c r="G49" t="s">
        <v>91</v>
      </c>
      <c r="H49" s="4">
        <v>45917.614594907405</v>
      </c>
      <c r="I49">
        <v>21</v>
      </c>
      <c r="J49" t="s">
        <v>70</v>
      </c>
      <c r="K49">
        <v>1056158268</v>
      </c>
      <c r="L49" t="s">
        <v>251</v>
      </c>
      <c r="N49" t="s">
        <v>65</v>
      </c>
      <c r="O49">
        <v>21</v>
      </c>
      <c r="P49">
        <v>11</v>
      </c>
      <c r="Q49" s="4"/>
      <c r="R49" s="1" t="str">
        <f>IF(_xlfn.XLOOKUP(L49,'RAW DATA'!A:A,'RAW DATA'!B:B)=0,"",_xlfn.XLOOKUP(L49,'RAW DATA'!A:A,'RAW DATA'!B:B))</f>
        <v>EDocument</v>
      </c>
      <c r="S49" s="1" t="str">
        <f>IF(_xlfn.XLOOKUP(L49,'RAW DATA'!A:A,'RAW DATA'!C:C)=0,"",_xlfn.XLOOKUP(L49,'RAW DATA'!A:A,'RAW DATA'!C:C))</f>
        <v>3 or less</v>
      </c>
    </row>
    <row r="50" spans="1:19" x14ac:dyDescent="0.3">
      <c r="A50" t="s">
        <v>143</v>
      </c>
      <c r="B50" t="s">
        <v>69</v>
      </c>
      <c r="C50" t="s">
        <v>66</v>
      </c>
      <c r="F50" t="s">
        <v>211</v>
      </c>
      <c r="G50" t="s">
        <v>91</v>
      </c>
      <c r="H50" s="4">
        <v>45917.705370370371</v>
      </c>
      <c r="I50">
        <v>13</v>
      </c>
      <c r="J50" t="s">
        <v>70</v>
      </c>
      <c r="K50">
        <v>1056172555</v>
      </c>
      <c r="L50" t="s">
        <v>252</v>
      </c>
      <c r="N50" t="s">
        <v>65</v>
      </c>
      <c r="O50">
        <v>13</v>
      </c>
      <c r="P50">
        <v>8</v>
      </c>
      <c r="Q50" s="4"/>
      <c r="R50" s="1" t="str">
        <f>IF(_xlfn.XLOOKUP(L50,'RAW DATA'!A:A,'RAW DATA'!B:B)=0,"",_xlfn.XLOOKUP(L50,'RAW DATA'!A:A,'RAW DATA'!B:B))</f>
        <v>Medical Records Approved</v>
      </c>
      <c r="S50" s="1" t="str">
        <f>IF(_xlfn.XLOOKUP(L50,'RAW DATA'!A:A,'RAW DATA'!C:C)=0,"",_xlfn.XLOOKUP(L50,'RAW DATA'!A:A,'RAW DATA'!C:C))</f>
        <v>3 or less</v>
      </c>
    </row>
    <row r="51" spans="1:19" x14ac:dyDescent="0.3">
      <c r="A51" t="s">
        <v>144</v>
      </c>
      <c r="B51" t="s">
        <v>69</v>
      </c>
      <c r="C51" t="s">
        <v>66</v>
      </c>
      <c r="F51" t="s">
        <v>211</v>
      </c>
      <c r="G51" t="s">
        <v>91</v>
      </c>
      <c r="H51" s="4">
        <v>45917.705729166664</v>
      </c>
      <c r="I51">
        <v>19</v>
      </c>
      <c r="J51" t="s">
        <v>70</v>
      </c>
      <c r="K51">
        <v>1056172625</v>
      </c>
      <c r="L51" t="s">
        <v>253</v>
      </c>
      <c r="N51" t="s">
        <v>65</v>
      </c>
      <c r="O51">
        <v>19</v>
      </c>
      <c r="P51">
        <v>2</v>
      </c>
      <c r="Q51" s="4"/>
      <c r="R51" s="1" t="str">
        <f>IF(_xlfn.XLOOKUP(L51,'RAW DATA'!A:A,'RAW DATA'!B:B)=0,"",_xlfn.XLOOKUP(L51,'RAW DATA'!A:A,'RAW DATA'!B:B))</f>
        <v>-</v>
      </c>
      <c r="S51" s="1" t="str">
        <f>IF(_xlfn.XLOOKUP(L51,'RAW DATA'!A:A,'RAW DATA'!C:C)=0,"",_xlfn.XLOOKUP(L51,'RAW DATA'!A:A,'RAW DATA'!C:C))</f>
        <v>3 or less</v>
      </c>
    </row>
    <row r="52" spans="1:19" x14ac:dyDescent="0.3">
      <c r="A52" t="s">
        <v>145</v>
      </c>
      <c r="B52" t="s">
        <v>69</v>
      </c>
      <c r="C52" t="s">
        <v>66</v>
      </c>
      <c r="F52" t="s">
        <v>211</v>
      </c>
      <c r="G52" t="s">
        <v>91</v>
      </c>
      <c r="H52" s="4">
        <v>45917.706076388888</v>
      </c>
      <c r="I52">
        <v>60</v>
      </c>
      <c r="J52" t="s">
        <v>72</v>
      </c>
      <c r="K52">
        <v>1056172694</v>
      </c>
      <c r="L52" t="s">
        <v>254</v>
      </c>
      <c r="N52" t="s">
        <v>65</v>
      </c>
      <c r="O52">
        <v>60</v>
      </c>
      <c r="Q52" s="4"/>
      <c r="R52" s="1" t="str">
        <f>IF(_xlfn.XLOOKUP(L52,'RAW DATA'!A:A,'RAW DATA'!B:B)=0,"",_xlfn.XLOOKUP(L52,'RAW DATA'!A:A,'RAW DATA'!B:B))</f>
        <v>-</v>
      </c>
      <c r="S52" s="1" t="str">
        <f>IF(_xlfn.XLOOKUP(L52,'RAW DATA'!A:A,'RAW DATA'!C:C)=0,"",_xlfn.XLOOKUP(L52,'RAW DATA'!A:A,'RAW DATA'!C:C))</f>
        <v>3 or less</v>
      </c>
    </row>
    <row r="53" spans="1:19" x14ac:dyDescent="0.3">
      <c r="A53" t="s">
        <v>146</v>
      </c>
      <c r="B53" t="s">
        <v>69</v>
      </c>
      <c r="C53" t="s">
        <v>66</v>
      </c>
      <c r="F53" t="s">
        <v>211</v>
      </c>
      <c r="G53" t="s">
        <v>91</v>
      </c>
      <c r="H53" s="4">
        <v>45917.706863425927</v>
      </c>
      <c r="I53">
        <v>13</v>
      </c>
      <c r="J53" t="s">
        <v>70</v>
      </c>
      <c r="K53">
        <v>1056172801</v>
      </c>
      <c r="L53" t="s">
        <v>255</v>
      </c>
      <c r="N53" t="s">
        <v>65</v>
      </c>
      <c r="O53">
        <v>13</v>
      </c>
      <c r="P53">
        <v>3</v>
      </c>
      <c r="Q53" s="4"/>
      <c r="R53" s="1" t="str">
        <f>IF(_xlfn.XLOOKUP(L53,'RAW DATA'!A:A,'RAW DATA'!B:B)=0,"",_xlfn.XLOOKUP(L53,'RAW DATA'!A:A,'RAW DATA'!B:B))</f>
        <v>-</v>
      </c>
      <c r="S53" s="1" t="str">
        <f>IF(_xlfn.XLOOKUP(L53,'RAW DATA'!A:A,'RAW DATA'!C:C)=0,"",_xlfn.XLOOKUP(L53,'RAW DATA'!A:A,'RAW DATA'!C:C))</f>
        <v>3 or less</v>
      </c>
    </row>
    <row r="54" spans="1:19" x14ac:dyDescent="0.3">
      <c r="A54" t="s">
        <v>147</v>
      </c>
      <c r="B54" t="s">
        <v>69</v>
      </c>
      <c r="C54" t="s">
        <v>66</v>
      </c>
      <c r="F54" t="s">
        <v>211</v>
      </c>
      <c r="G54" t="s">
        <v>91</v>
      </c>
      <c r="H54" s="4">
        <v>45917.707175925927</v>
      </c>
      <c r="I54">
        <v>21</v>
      </c>
      <c r="J54" t="s">
        <v>70</v>
      </c>
      <c r="K54">
        <v>1056172855</v>
      </c>
      <c r="L54" t="s">
        <v>256</v>
      </c>
      <c r="N54" t="s">
        <v>65</v>
      </c>
      <c r="O54">
        <v>21</v>
      </c>
      <c r="P54">
        <v>4</v>
      </c>
      <c r="Q54" s="4"/>
      <c r="R54" s="1" t="str">
        <f>IF(_xlfn.XLOOKUP(L54,'RAW DATA'!A:A,'RAW DATA'!B:B)=0,"",_xlfn.XLOOKUP(L54,'RAW DATA'!A:A,'RAW DATA'!B:B))</f>
        <v>-</v>
      </c>
      <c r="S54" s="1" t="str">
        <f>IF(_xlfn.XLOOKUP(L54,'RAW DATA'!A:A,'RAW DATA'!C:C)=0,"",_xlfn.XLOOKUP(L54,'RAW DATA'!A:A,'RAW DATA'!C:C))</f>
        <v>3 or less</v>
      </c>
    </row>
    <row r="55" spans="1:19" x14ac:dyDescent="0.3">
      <c r="A55" t="s">
        <v>148</v>
      </c>
      <c r="B55" t="s">
        <v>69</v>
      </c>
      <c r="C55" t="s">
        <v>66</v>
      </c>
      <c r="F55" t="s">
        <v>211</v>
      </c>
      <c r="G55" t="s">
        <v>91</v>
      </c>
      <c r="H55" s="4">
        <v>45917.707569444443</v>
      </c>
      <c r="I55">
        <v>19</v>
      </c>
      <c r="J55" t="s">
        <v>70</v>
      </c>
      <c r="K55">
        <v>1056172922</v>
      </c>
      <c r="L55" t="s">
        <v>257</v>
      </c>
      <c r="N55" t="s">
        <v>65</v>
      </c>
      <c r="O55">
        <v>19</v>
      </c>
      <c r="P55">
        <v>2</v>
      </c>
      <c r="Q55" s="4"/>
      <c r="R55" s="1" t="str">
        <f>IF(_xlfn.XLOOKUP(L55,'RAW DATA'!A:A,'RAW DATA'!B:B)=0,"",_xlfn.XLOOKUP(L55,'RAW DATA'!A:A,'RAW DATA'!B:B))</f>
        <v>EDocument</v>
      </c>
      <c r="S55" s="1" t="str">
        <f>IF(_xlfn.XLOOKUP(L55,'RAW DATA'!A:A,'RAW DATA'!C:C)=0,"",_xlfn.XLOOKUP(L55,'RAW DATA'!A:A,'RAW DATA'!C:C))</f>
        <v>3 or less</v>
      </c>
    </row>
    <row r="56" spans="1:19" x14ac:dyDescent="0.3">
      <c r="A56" t="s">
        <v>149</v>
      </c>
      <c r="B56" t="s">
        <v>69</v>
      </c>
      <c r="C56" t="s">
        <v>66</v>
      </c>
      <c r="F56" t="s">
        <v>211</v>
      </c>
      <c r="G56" t="s">
        <v>91</v>
      </c>
      <c r="H56" s="4">
        <v>45917.707881944443</v>
      </c>
      <c r="I56">
        <v>60</v>
      </c>
      <c r="J56" t="s">
        <v>72</v>
      </c>
      <c r="K56">
        <v>1056172954</v>
      </c>
      <c r="L56" t="s">
        <v>258</v>
      </c>
      <c r="N56" t="s">
        <v>65</v>
      </c>
      <c r="O56">
        <v>60</v>
      </c>
      <c r="Q56" s="4"/>
      <c r="R56" s="1" t="str">
        <f>IF(_xlfn.XLOOKUP(L56,'RAW DATA'!A:A,'RAW DATA'!B:B)=0,"",_xlfn.XLOOKUP(L56,'RAW DATA'!A:A,'RAW DATA'!B:B))</f>
        <v>-</v>
      </c>
      <c r="S56" s="1" t="str">
        <f>IF(_xlfn.XLOOKUP(L56,'RAW DATA'!A:A,'RAW DATA'!C:C)=0,"",_xlfn.XLOOKUP(L56,'RAW DATA'!A:A,'RAW DATA'!C:C))</f>
        <v>3 or less</v>
      </c>
    </row>
    <row r="57" spans="1:19" x14ac:dyDescent="0.3">
      <c r="A57" t="s">
        <v>150</v>
      </c>
      <c r="B57" t="s">
        <v>69</v>
      </c>
      <c r="C57" t="s">
        <v>66</v>
      </c>
      <c r="F57" t="s">
        <v>211</v>
      </c>
      <c r="G57" t="s">
        <v>91</v>
      </c>
      <c r="H57" s="4">
        <v>45917.708668981482</v>
      </c>
      <c r="I57">
        <v>60</v>
      </c>
      <c r="J57" t="s">
        <v>72</v>
      </c>
      <c r="K57">
        <v>1056173134</v>
      </c>
      <c r="L57" t="s">
        <v>259</v>
      </c>
      <c r="N57" t="s">
        <v>65</v>
      </c>
      <c r="O57">
        <v>60</v>
      </c>
      <c r="Q57" s="4"/>
      <c r="R57" s="1" t="str">
        <f>IF(_xlfn.XLOOKUP(L57,'RAW DATA'!A:A,'RAW DATA'!B:B)=0,"",_xlfn.XLOOKUP(L57,'RAW DATA'!A:A,'RAW DATA'!B:B))</f>
        <v>-</v>
      </c>
      <c r="S57" s="1" t="str">
        <f>IF(_xlfn.XLOOKUP(L57,'RAW DATA'!A:A,'RAW DATA'!C:C)=0,"",_xlfn.XLOOKUP(L57,'RAW DATA'!A:A,'RAW DATA'!C:C))</f>
        <v>3 or less</v>
      </c>
    </row>
    <row r="58" spans="1:19" x14ac:dyDescent="0.3">
      <c r="A58" t="s">
        <v>151</v>
      </c>
      <c r="B58" t="s">
        <v>69</v>
      </c>
      <c r="C58" t="s">
        <v>66</v>
      </c>
      <c r="F58" t="s">
        <v>211</v>
      </c>
      <c r="G58" t="s">
        <v>91</v>
      </c>
      <c r="H58" s="4">
        <v>45917.709641203706</v>
      </c>
      <c r="I58">
        <v>21</v>
      </c>
      <c r="J58" t="s">
        <v>70</v>
      </c>
      <c r="K58">
        <v>1056173410</v>
      </c>
      <c r="L58" t="s">
        <v>260</v>
      </c>
      <c r="N58" t="s">
        <v>65</v>
      </c>
      <c r="O58">
        <v>21</v>
      </c>
      <c r="P58">
        <v>3</v>
      </c>
      <c r="Q58" s="4"/>
      <c r="R58" s="1" t="str">
        <f>IF(_xlfn.XLOOKUP(L58,'RAW DATA'!A:A,'RAW DATA'!B:B)=0,"",_xlfn.XLOOKUP(L58,'RAW DATA'!A:A,'RAW DATA'!B:B))</f>
        <v>-</v>
      </c>
      <c r="S58" s="1" t="str">
        <f>IF(_xlfn.XLOOKUP(L58,'RAW DATA'!A:A,'RAW DATA'!C:C)=0,"",_xlfn.XLOOKUP(L58,'RAW DATA'!A:A,'RAW DATA'!C:C))</f>
        <v>3 or less</v>
      </c>
    </row>
    <row r="59" spans="1:19" x14ac:dyDescent="0.3">
      <c r="A59" t="s">
        <v>152</v>
      </c>
      <c r="B59" t="s">
        <v>69</v>
      </c>
      <c r="C59" t="s">
        <v>66</v>
      </c>
      <c r="F59" t="s">
        <v>211</v>
      </c>
      <c r="G59" t="s">
        <v>91</v>
      </c>
      <c r="H59" s="4">
        <v>45917.710057870368</v>
      </c>
      <c r="I59">
        <v>23</v>
      </c>
      <c r="J59" t="s">
        <v>70</v>
      </c>
      <c r="K59">
        <v>1056173469</v>
      </c>
      <c r="L59" t="s">
        <v>261</v>
      </c>
      <c r="N59" t="s">
        <v>65</v>
      </c>
      <c r="O59">
        <v>23</v>
      </c>
      <c r="P59">
        <v>2</v>
      </c>
      <c r="Q59" s="4"/>
      <c r="R59" s="1" t="str">
        <f>IF(_xlfn.XLOOKUP(L59,'RAW DATA'!A:A,'RAW DATA'!B:B)=0,"",_xlfn.XLOOKUP(L59,'RAW DATA'!A:A,'RAW DATA'!B:B))</f>
        <v>-</v>
      </c>
      <c r="S59" s="1" t="str">
        <f>IF(_xlfn.XLOOKUP(L59,'RAW DATA'!A:A,'RAW DATA'!C:C)=0,"",_xlfn.XLOOKUP(L59,'RAW DATA'!A:A,'RAW DATA'!C:C))</f>
        <v>3 or less</v>
      </c>
    </row>
    <row r="60" spans="1:19" x14ac:dyDescent="0.3">
      <c r="A60" t="s">
        <v>153</v>
      </c>
      <c r="B60" t="s">
        <v>69</v>
      </c>
      <c r="C60" t="s">
        <v>66</v>
      </c>
      <c r="F60" t="s">
        <v>211</v>
      </c>
      <c r="G60" t="s">
        <v>91</v>
      </c>
      <c r="H60" s="4">
        <v>45917.710486111115</v>
      </c>
      <c r="I60">
        <v>60</v>
      </c>
      <c r="J60" t="s">
        <v>72</v>
      </c>
      <c r="K60">
        <v>1056173575</v>
      </c>
      <c r="L60" t="s">
        <v>262</v>
      </c>
      <c r="N60" t="s">
        <v>65</v>
      </c>
      <c r="O60">
        <v>60</v>
      </c>
      <c r="Q60" s="4"/>
      <c r="R60" s="1" t="str">
        <f>IF(_xlfn.XLOOKUP(L60,'RAW DATA'!A:A,'RAW DATA'!B:B)=0,"",_xlfn.XLOOKUP(L60,'RAW DATA'!A:A,'RAW DATA'!B:B))</f>
        <v>-</v>
      </c>
      <c r="S60" s="1" t="str">
        <f>IF(_xlfn.XLOOKUP(L60,'RAW DATA'!A:A,'RAW DATA'!C:C)=0,"",_xlfn.XLOOKUP(L60,'RAW DATA'!A:A,'RAW DATA'!C:C))</f>
        <v>3 or less</v>
      </c>
    </row>
    <row r="61" spans="1:19" x14ac:dyDescent="0.3">
      <c r="A61" t="s">
        <v>154</v>
      </c>
      <c r="B61" t="s">
        <v>69</v>
      </c>
      <c r="C61" t="s">
        <v>66</v>
      </c>
      <c r="F61" t="s">
        <v>211</v>
      </c>
      <c r="G61" t="s">
        <v>91</v>
      </c>
      <c r="H61" s="4">
        <v>45917.711284722223</v>
      </c>
      <c r="I61">
        <v>60</v>
      </c>
      <c r="J61" t="s">
        <v>72</v>
      </c>
      <c r="L61" t="s">
        <v>65</v>
      </c>
      <c r="N61" t="s">
        <v>65</v>
      </c>
      <c r="O61">
        <v>60</v>
      </c>
      <c r="Q61" s="4"/>
      <c r="R61" s="1" t="e">
        <f>IF(_xlfn.XLOOKUP(L61,'RAW DATA'!A:A,'RAW DATA'!B:B)=0,"",_xlfn.XLOOKUP(L61,'RAW DATA'!A:A,'RAW DATA'!B:B))</f>
        <v>#N/A</v>
      </c>
      <c r="S61" s="1" t="e">
        <f>IF(_xlfn.XLOOKUP(L61,'RAW DATA'!A:A,'RAW DATA'!C:C)=0,"",_xlfn.XLOOKUP(L61,'RAW DATA'!A:A,'RAW DATA'!C:C))</f>
        <v>#N/A</v>
      </c>
    </row>
    <row r="62" spans="1:19" x14ac:dyDescent="0.3">
      <c r="A62" t="s">
        <v>155</v>
      </c>
      <c r="B62" t="s">
        <v>69</v>
      </c>
      <c r="C62" t="s">
        <v>66</v>
      </c>
      <c r="F62" t="s">
        <v>211</v>
      </c>
      <c r="G62" t="s">
        <v>91</v>
      </c>
      <c r="H62" s="4">
        <v>45917.712083333332</v>
      </c>
      <c r="I62">
        <v>21</v>
      </c>
      <c r="J62" t="s">
        <v>70</v>
      </c>
      <c r="K62">
        <v>1056173932</v>
      </c>
      <c r="L62" t="s">
        <v>263</v>
      </c>
      <c r="N62" t="s">
        <v>65</v>
      </c>
      <c r="O62">
        <v>21</v>
      </c>
      <c r="P62">
        <v>3</v>
      </c>
      <c r="Q62" s="4"/>
      <c r="R62" s="1" t="str">
        <f>IF(_xlfn.XLOOKUP(L62,'RAW DATA'!A:A,'RAW DATA'!B:B)=0,"",_xlfn.XLOOKUP(L62,'RAW DATA'!A:A,'RAW DATA'!B:B))</f>
        <v>-</v>
      </c>
      <c r="S62" s="1" t="str">
        <f>IF(_xlfn.XLOOKUP(L62,'RAW DATA'!A:A,'RAW DATA'!C:C)=0,"",_xlfn.XLOOKUP(L62,'RAW DATA'!A:A,'RAW DATA'!C:C))</f>
        <v>3 or less</v>
      </c>
    </row>
    <row r="63" spans="1:19" x14ac:dyDescent="0.3">
      <c r="A63" t="s">
        <v>156</v>
      </c>
      <c r="B63" t="s">
        <v>69</v>
      </c>
      <c r="C63" t="s">
        <v>66</v>
      </c>
      <c r="F63" t="s">
        <v>211</v>
      </c>
      <c r="G63" t="s">
        <v>91</v>
      </c>
      <c r="H63" s="4">
        <v>45917.712465277778</v>
      </c>
      <c r="I63">
        <v>18</v>
      </c>
      <c r="J63" t="s">
        <v>70</v>
      </c>
      <c r="K63">
        <v>1056174043</v>
      </c>
      <c r="L63" t="s">
        <v>264</v>
      </c>
      <c r="N63" t="s">
        <v>65</v>
      </c>
      <c r="O63">
        <v>18</v>
      </c>
      <c r="P63">
        <v>4</v>
      </c>
      <c r="Q63" s="4"/>
      <c r="R63" s="1" t="str">
        <f>IF(_xlfn.XLOOKUP(L63,'RAW DATA'!A:A,'RAW DATA'!B:B)=0,"",_xlfn.XLOOKUP(L63,'RAW DATA'!A:A,'RAW DATA'!B:B))</f>
        <v>EDocument</v>
      </c>
      <c r="S63" s="1" t="str">
        <f>IF(_xlfn.XLOOKUP(L63,'RAW DATA'!A:A,'RAW DATA'!C:C)=0,"",_xlfn.XLOOKUP(L63,'RAW DATA'!A:A,'RAW DATA'!C:C))</f>
        <v>3 or less</v>
      </c>
    </row>
    <row r="64" spans="1:19" x14ac:dyDescent="0.3">
      <c r="A64" t="s">
        <v>157</v>
      </c>
      <c r="B64" t="s">
        <v>69</v>
      </c>
      <c r="C64" t="s">
        <v>66</v>
      </c>
      <c r="F64" t="s">
        <v>211</v>
      </c>
      <c r="G64" t="s">
        <v>91</v>
      </c>
      <c r="H64" s="4">
        <v>45917.712824074071</v>
      </c>
      <c r="I64">
        <v>16</v>
      </c>
      <c r="J64" t="s">
        <v>70</v>
      </c>
      <c r="K64">
        <v>1056174098</v>
      </c>
      <c r="L64" t="s">
        <v>265</v>
      </c>
      <c r="N64" t="s">
        <v>65</v>
      </c>
      <c r="O64">
        <v>16</v>
      </c>
      <c r="P64">
        <v>2</v>
      </c>
      <c r="Q64" s="4"/>
      <c r="R64" s="1" t="str">
        <f>IF(_xlfn.XLOOKUP(L64,'RAW DATA'!A:A,'RAW DATA'!B:B)=0,"",_xlfn.XLOOKUP(L64,'RAW DATA'!A:A,'RAW DATA'!B:B))</f>
        <v>-</v>
      </c>
      <c r="S64" s="1" t="str">
        <f>IF(_xlfn.XLOOKUP(L64,'RAW DATA'!A:A,'RAW DATA'!C:C)=0,"",_xlfn.XLOOKUP(L64,'RAW DATA'!A:A,'RAW DATA'!C:C))</f>
        <v>3 or less</v>
      </c>
    </row>
    <row r="65" spans="1:19" x14ac:dyDescent="0.3">
      <c r="A65" t="s">
        <v>158</v>
      </c>
      <c r="B65" t="s">
        <v>69</v>
      </c>
      <c r="C65" t="s">
        <v>66</v>
      </c>
      <c r="F65" t="s">
        <v>211</v>
      </c>
      <c r="G65" t="s">
        <v>91</v>
      </c>
      <c r="H65" s="4">
        <v>45917.713148148148</v>
      </c>
      <c r="I65">
        <v>0</v>
      </c>
      <c r="J65" t="s">
        <v>71</v>
      </c>
      <c r="L65" t="s">
        <v>65</v>
      </c>
      <c r="N65" t="s">
        <v>65</v>
      </c>
      <c r="O65">
        <v>0</v>
      </c>
      <c r="Q65" s="4"/>
      <c r="R65" s="1" t="e">
        <f>IF(_xlfn.XLOOKUP(L65,'RAW DATA'!A:A,'RAW DATA'!B:B)=0,"",_xlfn.XLOOKUP(L65,'RAW DATA'!A:A,'RAW DATA'!B:B))</f>
        <v>#N/A</v>
      </c>
      <c r="S65" s="1" t="e">
        <f>IF(_xlfn.XLOOKUP(L65,'RAW DATA'!A:A,'RAW DATA'!C:C)=0,"",_xlfn.XLOOKUP(L65,'RAW DATA'!A:A,'RAW DATA'!C:C))</f>
        <v>#N/A</v>
      </c>
    </row>
    <row r="66" spans="1:19" x14ac:dyDescent="0.3">
      <c r="A66" t="s">
        <v>159</v>
      </c>
      <c r="B66" t="s">
        <v>69</v>
      </c>
      <c r="C66" t="s">
        <v>66</v>
      </c>
      <c r="F66" t="s">
        <v>211</v>
      </c>
      <c r="G66" t="s">
        <v>91</v>
      </c>
      <c r="H66" s="4">
        <v>45917.713333333333</v>
      </c>
      <c r="I66">
        <v>17</v>
      </c>
      <c r="J66" t="s">
        <v>70</v>
      </c>
      <c r="K66">
        <v>1056174211</v>
      </c>
      <c r="L66" t="s">
        <v>266</v>
      </c>
      <c r="N66" t="s">
        <v>65</v>
      </c>
      <c r="O66">
        <v>17</v>
      </c>
      <c r="P66">
        <v>2</v>
      </c>
      <c r="Q66" s="4"/>
      <c r="R66" s="1" t="str">
        <f>IF(_xlfn.XLOOKUP(L66,'RAW DATA'!A:A,'RAW DATA'!B:B)=0,"",_xlfn.XLOOKUP(L66,'RAW DATA'!A:A,'RAW DATA'!B:B))</f>
        <v>-</v>
      </c>
      <c r="S66" s="1" t="str">
        <f>IF(_xlfn.XLOOKUP(L66,'RAW DATA'!A:A,'RAW DATA'!C:C)=0,"",_xlfn.XLOOKUP(L66,'RAW DATA'!A:A,'RAW DATA'!C:C))</f>
        <v>3 or less</v>
      </c>
    </row>
    <row r="67" spans="1:19" x14ac:dyDescent="0.3">
      <c r="A67" t="s">
        <v>160</v>
      </c>
      <c r="B67" t="s">
        <v>69</v>
      </c>
      <c r="C67" t="s">
        <v>66</v>
      </c>
      <c r="F67" t="s">
        <v>211</v>
      </c>
      <c r="G67" t="s">
        <v>91</v>
      </c>
      <c r="H67" s="4">
        <v>45917.71366898148</v>
      </c>
      <c r="I67">
        <v>26</v>
      </c>
      <c r="J67" t="s">
        <v>70</v>
      </c>
      <c r="K67">
        <v>1056174276</v>
      </c>
      <c r="L67" t="s">
        <v>244</v>
      </c>
      <c r="N67" t="s">
        <v>65</v>
      </c>
      <c r="O67">
        <v>26</v>
      </c>
      <c r="P67">
        <v>3</v>
      </c>
      <c r="Q67" s="4"/>
      <c r="R67" s="1" t="str">
        <f>IF(_xlfn.XLOOKUP(L67,'RAW DATA'!A:A,'RAW DATA'!B:B)=0,"",_xlfn.XLOOKUP(L67,'RAW DATA'!A:A,'RAW DATA'!B:B))</f>
        <v>-</v>
      </c>
      <c r="S67" s="1" t="str">
        <f>IF(_xlfn.XLOOKUP(L67,'RAW DATA'!A:A,'RAW DATA'!C:C)=0,"",_xlfn.XLOOKUP(L67,'RAW DATA'!A:A,'RAW DATA'!C:C))</f>
        <v>3 or less</v>
      </c>
    </row>
    <row r="68" spans="1:19" x14ac:dyDescent="0.3">
      <c r="A68" t="s">
        <v>161</v>
      </c>
      <c r="B68" t="s">
        <v>69</v>
      </c>
      <c r="C68" t="s">
        <v>66</v>
      </c>
      <c r="F68" t="s">
        <v>211</v>
      </c>
      <c r="G68" t="s">
        <v>91</v>
      </c>
      <c r="H68" s="4">
        <v>45917.714155092595</v>
      </c>
      <c r="I68">
        <v>21</v>
      </c>
      <c r="J68" t="s">
        <v>70</v>
      </c>
      <c r="K68">
        <v>1056174325</v>
      </c>
      <c r="L68" t="s">
        <v>267</v>
      </c>
      <c r="N68" t="s">
        <v>65</v>
      </c>
      <c r="O68">
        <v>21</v>
      </c>
      <c r="P68">
        <v>2</v>
      </c>
      <c r="Q68" s="4"/>
      <c r="R68" s="1" t="str">
        <f>IF(_xlfn.XLOOKUP(L68,'RAW DATA'!A:A,'RAW DATA'!B:B)=0,"",_xlfn.XLOOKUP(L68,'RAW DATA'!A:A,'RAW DATA'!B:B))</f>
        <v>-</v>
      </c>
      <c r="S68" s="1" t="str">
        <f>IF(_xlfn.XLOOKUP(L68,'RAW DATA'!A:A,'RAW DATA'!C:C)=0,"",_xlfn.XLOOKUP(L68,'RAW DATA'!A:A,'RAW DATA'!C:C))</f>
        <v>3 or less</v>
      </c>
    </row>
    <row r="69" spans="1:19" x14ac:dyDescent="0.3">
      <c r="A69" t="s">
        <v>162</v>
      </c>
      <c r="B69" t="s">
        <v>69</v>
      </c>
      <c r="C69" t="s">
        <v>66</v>
      </c>
      <c r="F69" t="s">
        <v>211</v>
      </c>
      <c r="G69" t="s">
        <v>91</v>
      </c>
      <c r="H69" s="4">
        <v>45917.714537037034</v>
      </c>
      <c r="I69">
        <v>33</v>
      </c>
      <c r="J69" t="s">
        <v>70</v>
      </c>
      <c r="K69">
        <v>1056174376</v>
      </c>
      <c r="L69" t="s">
        <v>268</v>
      </c>
      <c r="N69" t="s">
        <v>65</v>
      </c>
      <c r="O69">
        <v>33</v>
      </c>
      <c r="P69">
        <v>3</v>
      </c>
      <c r="Q69" s="4"/>
      <c r="R69" s="1" t="str">
        <f>IF(_xlfn.XLOOKUP(L69,'RAW DATA'!A:A,'RAW DATA'!B:B)=0,"",_xlfn.XLOOKUP(L69,'RAW DATA'!A:A,'RAW DATA'!B:B))</f>
        <v>-</v>
      </c>
      <c r="S69" s="1" t="str">
        <f>IF(_xlfn.XLOOKUP(L69,'RAW DATA'!A:A,'RAW DATA'!C:C)=0,"",_xlfn.XLOOKUP(L69,'RAW DATA'!A:A,'RAW DATA'!C:C))</f>
        <v>3 or less</v>
      </c>
    </row>
    <row r="70" spans="1:19" x14ac:dyDescent="0.3">
      <c r="A70" t="s">
        <v>163</v>
      </c>
      <c r="B70" t="s">
        <v>69</v>
      </c>
      <c r="C70" t="s">
        <v>66</v>
      </c>
      <c r="F70" t="s">
        <v>211</v>
      </c>
      <c r="G70" t="s">
        <v>91</v>
      </c>
      <c r="H70" s="4">
        <v>45917.715138888889</v>
      </c>
      <c r="I70">
        <v>24</v>
      </c>
      <c r="J70" t="s">
        <v>70</v>
      </c>
      <c r="K70">
        <v>1056174469</v>
      </c>
      <c r="L70" t="s">
        <v>269</v>
      </c>
      <c r="N70" t="s">
        <v>65</v>
      </c>
      <c r="O70">
        <v>24</v>
      </c>
      <c r="P70">
        <v>3</v>
      </c>
      <c r="Q70" s="4"/>
      <c r="R70" s="1" t="str">
        <f>IF(_xlfn.XLOOKUP(L70,'RAW DATA'!A:A,'RAW DATA'!B:B)=0,"",_xlfn.XLOOKUP(L70,'RAW DATA'!A:A,'RAW DATA'!B:B))</f>
        <v>-</v>
      </c>
      <c r="S70" s="1" t="str">
        <f>IF(_xlfn.XLOOKUP(L70,'RAW DATA'!A:A,'RAW DATA'!C:C)=0,"",_xlfn.XLOOKUP(L70,'RAW DATA'!A:A,'RAW DATA'!C:C))</f>
        <v>3 or less</v>
      </c>
    </row>
    <row r="71" spans="1:19" x14ac:dyDescent="0.3">
      <c r="A71" t="s">
        <v>164</v>
      </c>
      <c r="B71" t="s">
        <v>69</v>
      </c>
      <c r="C71" t="s">
        <v>66</v>
      </c>
      <c r="F71" t="s">
        <v>211</v>
      </c>
      <c r="G71" t="s">
        <v>91</v>
      </c>
      <c r="H71" s="4">
        <v>45917.715543981481</v>
      </c>
      <c r="I71">
        <v>19</v>
      </c>
      <c r="J71" t="s">
        <v>70</v>
      </c>
      <c r="K71">
        <v>1056174515</v>
      </c>
      <c r="L71" t="s">
        <v>270</v>
      </c>
      <c r="N71" t="s">
        <v>65</v>
      </c>
      <c r="O71">
        <v>19</v>
      </c>
      <c r="P71">
        <v>3</v>
      </c>
      <c r="Q71" s="4"/>
      <c r="R71" s="1" t="str">
        <f>IF(_xlfn.XLOOKUP(L71,'RAW DATA'!A:A,'RAW DATA'!B:B)=0,"",_xlfn.XLOOKUP(L71,'RAW DATA'!A:A,'RAW DATA'!B:B))</f>
        <v>-</v>
      </c>
      <c r="S71" s="1" t="str">
        <f>IF(_xlfn.XLOOKUP(L71,'RAW DATA'!A:A,'RAW DATA'!C:C)=0,"",_xlfn.XLOOKUP(L71,'RAW DATA'!A:A,'RAW DATA'!C:C))</f>
        <v>3 or less</v>
      </c>
    </row>
    <row r="72" spans="1:19" x14ac:dyDescent="0.3">
      <c r="A72" t="s">
        <v>165</v>
      </c>
      <c r="B72" t="s">
        <v>69</v>
      </c>
      <c r="C72" t="s">
        <v>66</v>
      </c>
      <c r="F72" t="s">
        <v>211</v>
      </c>
      <c r="G72" t="s">
        <v>91</v>
      </c>
      <c r="H72" s="4">
        <v>45917.715914351851</v>
      </c>
      <c r="I72">
        <v>21</v>
      </c>
      <c r="J72" t="s">
        <v>70</v>
      </c>
      <c r="K72">
        <v>1056174569</v>
      </c>
      <c r="L72" t="s">
        <v>271</v>
      </c>
      <c r="N72" t="s">
        <v>65</v>
      </c>
      <c r="O72">
        <v>21</v>
      </c>
      <c r="P72">
        <v>2</v>
      </c>
      <c r="Q72" s="4"/>
      <c r="R72" s="1" t="str">
        <f>IF(_xlfn.XLOOKUP(L72,'RAW DATA'!A:A,'RAW DATA'!B:B)=0,"",_xlfn.XLOOKUP(L72,'RAW DATA'!A:A,'RAW DATA'!B:B))</f>
        <v>-</v>
      </c>
      <c r="S72" s="1" t="str">
        <f>IF(_xlfn.XLOOKUP(L72,'RAW DATA'!A:A,'RAW DATA'!C:C)=0,"",_xlfn.XLOOKUP(L72,'RAW DATA'!A:A,'RAW DATA'!C:C))</f>
        <v>3 or less</v>
      </c>
    </row>
    <row r="73" spans="1:19" x14ac:dyDescent="0.3">
      <c r="A73" t="s">
        <v>166</v>
      </c>
      <c r="B73" t="s">
        <v>73</v>
      </c>
      <c r="C73" t="s">
        <v>66</v>
      </c>
      <c r="F73" t="s">
        <v>212</v>
      </c>
      <c r="G73" t="s">
        <v>92</v>
      </c>
      <c r="H73" s="4">
        <v>45917.341412037036</v>
      </c>
      <c r="I73">
        <v>73</v>
      </c>
      <c r="J73" t="s">
        <v>74</v>
      </c>
      <c r="L73" t="s">
        <v>65</v>
      </c>
      <c r="N73" t="s">
        <v>65</v>
      </c>
      <c r="O73">
        <v>73</v>
      </c>
      <c r="P73">
        <v>14</v>
      </c>
      <c r="Q73" s="4"/>
      <c r="R73" s="1" t="e">
        <f>IF(_xlfn.XLOOKUP(L73,'RAW DATA'!A:A,'RAW DATA'!B:B)=0,"",_xlfn.XLOOKUP(L73,'RAW DATA'!A:A,'RAW DATA'!B:B))</f>
        <v>#N/A</v>
      </c>
      <c r="S73" s="1" t="e">
        <f>IF(_xlfn.XLOOKUP(L73,'RAW DATA'!A:A,'RAW DATA'!C:C)=0,"",_xlfn.XLOOKUP(L73,'RAW DATA'!A:A,'RAW DATA'!C:C))</f>
        <v>#N/A</v>
      </c>
    </row>
    <row r="74" spans="1:19" x14ac:dyDescent="0.3">
      <c r="A74" t="s">
        <v>167</v>
      </c>
      <c r="B74" t="s">
        <v>73</v>
      </c>
      <c r="C74" t="s">
        <v>66</v>
      </c>
      <c r="F74" t="s">
        <v>213</v>
      </c>
      <c r="G74" t="s">
        <v>93</v>
      </c>
      <c r="H74" s="4">
        <v>45917.420601851853</v>
      </c>
      <c r="I74">
        <v>110</v>
      </c>
      <c r="J74" t="s">
        <v>75</v>
      </c>
      <c r="K74">
        <v>1056064051</v>
      </c>
      <c r="L74" t="s">
        <v>65</v>
      </c>
      <c r="N74" t="s">
        <v>65</v>
      </c>
      <c r="O74">
        <v>110</v>
      </c>
      <c r="P74">
        <v>54</v>
      </c>
      <c r="Q74" s="4"/>
      <c r="R74" s="1" t="e">
        <f>IF(_xlfn.XLOOKUP(L74,'RAW DATA'!A:A,'RAW DATA'!B:B)=0,"",_xlfn.XLOOKUP(L74,'RAW DATA'!A:A,'RAW DATA'!B:B))</f>
        <v>#N/A</v>
      </c>
      <c r="S74" s="1" t="e">
        <f>IF(_xlfn.XLOOKUP(L74,'RAW DATA'!A:A,'RAW DATA'!C:C)=0,"",_xlfn.XLOOKUP(L74,'RAW DATA'!A:A,'RAW DATA'!C:C))</f>
        <v>#N/A</v>
      </c>
    </row>
    <row r="75" spans="1:19" x14ac:dyDescent="0.3">
      <c r="A75" t="s">
        <v>168</v>
      </c>
      <c r="B75" t="s">
        <v>73</v>
      </c>
      <c r="C75" t="s">
        <v>66</v>
      </c>
      <c r="F75" t="s">
        <v>213</v>
      </c>
      <c r="G75" t="s">
        <v>93</v>
      </c>
      <c r="H75" s="4">
        <v>45917.423391203702</v>
      </c>
      <c r="I75">
        <v>105</v>
      </c>
      <c r="J75" t="s">
        <v>75</v>
      </c>
      <c r="K75">
        <v>1056064481</v>
      </c>
      <c r="L75" t="s">
        <v>65</v>
      </c>
      <c r="N75" t="s">
        <v>65</v>
      </c>
      <c r="O75">
        <v>105</v>
      </c>
      <c r="P75">
        <v>2</v>
      </c>
      <c r="Q75" s="4"/>
      <c r="R75" s="1" t="e">
        <f>IF(_xlfn.XLOOKUP(L75,'RAW DATA'!A:A,'RAW DATA'!B:B)=0,"",_xlfn.XLOOKUP(L75,'RAW DATA'!A:A,'RAW DATA'!B:B))</f>
        <v>#N/A</v>
      </c>
      <c r="S75" s="1" t="e">
        <f>IF(_xlfn.XLOOKUP(L75,'RAW DATA'!A:A,'RAW DATA'!C:C)=0,"",_xlfn.XLOOKUP(L75,'RAW DATA'!A:A,'RAW DATA'!C:C))</f>
        <v>#N/A</v>
      </c>
    </row>
    <row r="76" spans="1:19" x14ac:dyDescent="0.3">
      <c r="A76" t="s">
        <v>169</v>
      </c>
      <c r="B76" t="s">
        <v>73</v>
      </c>
      <c r="C76" t="s">
        <v>66</v>
      </c>
      <c r="F76" t="s">
        <v>213</v>
      </c>
      <c r="G76" t="s">
        <v>93</v>
      </c>
      <c r="H76" s="4">
        <v>45917.42732638889</v>
      </c>
      <c r="I76">
        <v>244</v>
      </c>
      <c r="J76" t="s">
        <v>76</v>
      </c>
      <c r="K76">
        <v>1056065252</v>
      </c>
      <c r="L76" t="s">
        <v>65</v>
      </c>
      <c r="N76" t="s">
        <v>65</v>
      </c>
      <c r="O76">
        <v>244</v>
      </c>
      <c r="P76">
        <v>4</v>
      </c>
      <c r="Q76" s="4"/>
      <c r="R76" s="1" t="e">
        <f>IF(_xlfn.XLOOKUP(L76,'RAW DATA'!A:A,'RAW DATA'!B:B)=0,"",_xlfn.XLOOKUP(L76,'RAW DATA'!A:A,'RAW DATA'!B:B))</f>
        <v>#N/A</v>
      </c>
      <c r="S76" s="1" t="e">
        <f>IF(_xlfn.XLOOKUP(L76,'RAW DATA'!A:A,'RAW DATA'!C:C)=0,"",_xlfn.XLOOKUP(L76,'RAW DATA'!A:A,'RAW DATA'!C:C))</f>
        <v>#N/A</v>
      </c>
    </row>
    <row r="77" spans="1:19" x14ac:dyDescent="0.3">
      <c r="A77" t="s">
        <v>170</v>
      </c>
      <c r="B77" t="s">
        <v>73</v>
      </c>
      <c r="C77" t="s">
        <v>66</v>
      </c>
      <c r="F77" t="s">
        <v>213</v>
      </c>
      <c r="G77" t="s">
        <v>93</v>
      </c>
      <c r="H77" s="4">
        <v>45917.434710648151</v>
      </c>
      <c r="I77">
        <v>209</v>
      </c>
      <c r="J77" t="s">
        <v>76</v>
      </c>
      <c r="K77">
        <v>1056067402</v>
      </c>
      <c r="L77" t="s">
        <v>65</v>
      </c>
      <c r="N77" t="s">
        <v>65</v>
      </c>
      <c r="O77">
        <v>209</v>
      </c>
      <c r="P77">
        <v>6</v>
      </c>
      <c r="Q77" s="4"/>
      <c r="R77" s="1" t="e">
        <f>IF(_xlfn.XLOOKUP(L77,'RAW DATA'!A:A,'RAW DATA'!B:B)=0,"",_xlfn.XLOOKUP(L77,'RAW DATA'!A:A,'RAW DATA'!B:B))</f>
        <v>#N/A</v>
      </c>
      <c r="S77" s="1" t="e">
        <f>IF(_xlfn.XLOOKUP(L77,'RAW DATA'!A:A,'RAW DATA'!C:C)=0,"",_xlfn.XLOOKUP(L77,'RAW DATA'!A:A,'RAW DATA'!C:C))</f>
        <v>#N/A</v>
      </c>
    </row>
    <row r="78" spans="1:19" x14ac:dyDescent="0.3">
      <c r="A78" t="s">
        <v>171</v>
      </c>
      <c r="B78" t="s">
        <v>73</v>
      </c>
      <c r="C78" t="s">
        <v>66</v>
      </c>
      <c r="F78" t="s">
        <v>211</v>
      </c>
      <c r="G78" t="s">
        <v>91</v>
      </c>
      <c r="H78" s="4">
        <v>45917.436307870368</v>
      </c>
      <c r="I78">
        <v>120</v>
      </c>
      <c r="J78" t="s">
        <v>65</v>
      </c>
      <c r="L78" t="s">
        <v>65</v>
      </c>
      <c r="N78" t="s">
        <v>65</v>
      </c>
      <c r="O78">
        <v>120</v>
      </c>
      <c r="P78">
        <v>20</v>
      </c>
      <c r="Q78" s="4"/>
      <c r="R78" s="1" t="e">
        <f>IF(_xlfn.XLOOKUP(L78,'RAW DATA'!A:A,'RAW DATA'!B:B)=0,"",_xlfn.XLOOKUP(L78,'RAW DATA'!A:A,'RAW DATA'!B:B))</f>
        <v>#N/A</v>
      </c>
      <c r="S78" s="1" t="e">
        <f>IF(_xlfn.XLOOKUP(L78,'RAW DATA'!A:A,'RAW DATA'!C:C)=0,"",_xlfn.XLOOKUP(L78,'RAW DATA'!A:A,'RAW DATA'!C:C))</f>
        <v>#N/A</v>
      </c>
    </row>
    <row r="79" spans="1:19" x14ac:dyDescent="0.3">
      <c r="A79" t="s">
        <v>172</v>
      </c>
      <c r="B79" t="s">
        <v>73</v>
      </c>
      <c r="C79" t="s">
        <v>66</v>
      </c>
      <c r="F79" t="s">
        <v>213</v>
      </c>
      <c r="G79" t="s">
        <v>93</v>
      </c>
      <c r="H79" s="4">
        <v>45917.441701388889</v>
      </c>
      <c r="I79">
        <v>244</v>
      </c>
      <c r="J79" t="s">
        <v>76</v>
      </c>
      <c r="K79">
        <v>1056068749</v>
      </c>
      <c r="L79" t="s">
        <v>65</v>
      </c>
      <c r="N79" t="s">
        <v>65</v>
      </c>
      <c r="O79">
        <v>244</v>
      </c>
      <c r="P79">
        <v>20</v>
      </c>
      <c r="Q79" s="4"/>
      <c r="R79" s="1" t="e">
        <f>IF(_xlfn.XLOOKUP(L79,'RAW DATA'!A:A,'RAW DATA'!B:B)=0,"",_xlfn.XLOOKUP(L79,'RAW DATA'!A:A,'RAW DATA'!B:B))</f>
        <v>#N/A</v>
      </c>
      <c r="S79" s="1" t="e">
        <f>IF(_xlfn.XLOOKUP(L79,'RAW DATA'!A:A,'RAW DATA'!C:C)=0,"",_xlfn.XLOOKUP(L79,'RAW DATA'!A:A,'RAW DATA'!C:C))</f>
        <v>#N/A</v>
      </c>
    </row>
    <row r="80" spans="1:19" x14ac:dyDescent="0.3">
      <c r="A80" t="s">
        <v>173</v>
      </c>
      <c r="B80" t="s">
        <v>73</v>
      </c>
      <c r="C80" t="s">
        <v>66</v>
      </c>
      <c r="F80" t="s">
        <v>213</v>
      </c>
      <c r="G80" t="s">
        <v>93</v>
      </c>
      <c r="H80" s="4">
        <v>45917.450069444443</v>
      </c>
      <c r="I80">
        <v>311</v>
      </c>
      <c r="J80" t="s">
        <v>77</v>
      </c>
      <c r="K80">
        <v>1056070351</v>
      </c>
      <c r="L80" t="s">
        <v>65</v>
      </c>
      <c r="N80" t="s">
        <v>65</v>
      </c>
      <c r="O80">
        <v>311</v>
      </c>
      <c r="P80">
        <v>6</v>
      </c>
      <c r="Q80" s="4"/>
      <c r="R80" s="1" t="e">
        <f>IF(_xlfn.XLOOKUP(L80,'RAW DATA'!A:A,'RAW DATA'!B:B)=0,"",_xlfn.XLOOKUP(L80,'RAW DATA'!A:A,'RAW DATA'!B:B))</f>
        <v>#N/A</v>
      </c>
      <c r="S80" s="1" t="e">
        <f>IF(_xlfn.XLOOKUP(L80,'RAW DATA'!A:A,'RAW DATA'!C:C)=0,"",_xlfn.XLOOKUP(L80,'RAW DATA'!A:A,'RAW DATA'!C:C))</f>
        <v>#N/A</v>
      </c>
    </row>
    <row r="81" spans="1:19" x14ac:dyDescent="0.3">
      <c r="A81" t="s">
        <v>174</v>
      </c>
      <c r="B81" t="s">
        <v>73</v>
      </c>
      <c r="C81" t="s">
        <v>66</v>
      </c>
      <c r="F81" t="s">
        <v>213</v>
      </c>
      <c r="G81" t="s">
        <v>93</v>
      </c>
      <c r="H81" s="4">
        <v>45917.456226851849</v>
      </c>
      <c r="I81">
        <v>108</v>
      </c>
      <c r="J81" t="s">
        <v>76</v>
      </c>
      <c r="K81">
        <v>1056071571</v>
      </c>
      <c r="L81" t="s">
        <v>65</v>
      </c>
      <c r="N81" t="s">
        <v>65</v>
      </c>
      <c r="O81">
        <v>108</v>
      </c>
      <c r="P81">
        <v>39</v>
      </c>
      <c r="Q81" s="4"/>
      <c r="R81" s="1" t="e">
        <f>IF(_xlfn.XLOOKUP(L81,'RAW DATA'!A:A,'RAW DATA'!B:B)=0,"",_xlfn.XLOOKUP(L81,'RAW DATA'!A:A,'RAW DATA'!B:B))</f>
        <v>#N/A</v>
      </c>
      <c r="S81" s="1" t="e">
        <f>IF(_xlfn.XLOOKUP(L81,'RAW DATA'!A:A,'RAW DATA'!C:C)=0,"",_xlfn.XLOOKUP(L81,'RAW DATA'!A:A,'RAW DATA'!C:C))</f>
        <v>#N/A</v>
      </c>
    </row>
    <row r="82" spans="1:19" x14ac:dyDescent="0.3">
      <c r="A82" t="s">
        <v>175</v>
      </c>
      <c r="B82" t="s">
        <v>73</v>
      </c>
      <c r="C82" t="s">
        <v>66</v>
      </c>
      <c r="F82" t="s">
        <v>213</v>
      </c>
      <c r="G82" t="s">
        <v>93</v>
      </c>
      <c r="H82" s="4">
        <v>45917.460648148146</v>
      </c>
      <c r="I82">
        <v>250</v>
      </c>
      <c r="J82" t="s">
        <v>77</v>
      </c>
      <c r="K82">
        <v>1056072432</v>
      </c>
      <c r="L82" t="s">
        <v>65</v>
      </c>
      <c r="N82" t="s">
        <v>65</v>
      </c>
      <c r="O82">
        <v>250</v>
      </c>
      <c r="P82">
        <v>11</v>
      </c>
      <c r="Q82" s="4"/>
      <c r="R82" s="1" t="e">
        <f>IF(_xlfn.XLOOKUP(L82,'RAW DATA'!A:A,'RAW DATA'!B:B)=0,"",_xlfn.XLOOKUP(L82,'RAW DATA'!A:A,'RAW DATA'!B:B))</f>
        <v>#N/A</v>
      </c>
      <c r="S82" s="1" t="e">
        <f>IF(_xlfn.XLOOKUP(L82,'RAW DATA'!A:A,'RAW DATA'!C:C)=0,"",_xlfn.XLOOKUP(L82,'RAW DATA'!A:A,'RAW DATA'!C:C))</f>
        <v>#N/A</v>
      </c>
    </row>
    <row r="83" spans="1:19" x14ac:dyDescent="0.3">
      <c r="A83" t="s">
        <v>176</v>
      </c>
      <c r="B83" t="s">
        <v>73</v>
      </c>
      <c r="C83" t="s">
        <v>66</v>
      </c>
      <c r="F83" t="s">
        <v>213</v>
      </c>
      <c r="G83" t="s">
        <v>93</v>
      </c>
      <c r="H83" s="4">
        <v>45917.517407407409</v>
      </c>
      <c r="I83">
        <v>247</v>
      </c>
      <c r="J83" t="s">
        <v>77</v>
      </c>
      <c r="K83">
        <v>1056097391</v>
      </c>
      <c r="L83" t="s">
        <v>65</v>
      </c>
      <c r="N83" t="s">
        <v>65</v>
      </c>
      <c r="O83">
        <v>247</v>
      </c>
      <c r="P83">
        <v>5</v>
      </c>
      <c r="Q83" s="4"/>
      <c r="R83" s="1" t="e">
        <f>IF(_xlfn.XLOOKUP(L83,'RAW DATA'!A:A,'RAW DATA'!B:B)=0,"",_xlfn.XLOOKUP(L83,'RAW DATA'!A:A,'RAW DATA'!B:B))</f>
        <v>#N/A</v>
      </c>
      <c r="S83" s="1" t="e">
        <f>IF(_xlfn.XLOOKUP(L83,'RAW DATA'!A:A,'RAW DATA'!C:C)=0,"",_xlfn.XLOOKUP(L83,'RAW DATA'!A:A,'RAW DATA'!C:C))</f>
        <v>#N/A</v>
      </c>
    </row>
    <row r="84" spans="1:19" x14ac:dyDescent="0.3">
      <c r="A84" t="s">
        <v>177</v>
      </c>
      <c r="B84" t="s">
        <v>73</v>
      </c>
      <c r="C84" t="s">
        <v>66</v>
      </c>
      <c r="F84" t="s">
        <v>213</v>
      </c>
      <c r="G84" t="s">
        <v>93</v>
      </c>
      <c r="H84" s="4">
        <v>45917.524641203701</v>
      </c>
      <c r="I84">
        <v>113</v>
      </c>
      <c r="J84" t="s">
        <v>77</v>
      </c>
      <c r="K84">
        <v>1056098550</v>
      </c>
      <c r="L84" t="s">
        <v>65</v>
      </c>
      <c r="N84" t="s">
        <v>65</v>
      </c>
      <c r="O84">
        <v>113</v>
      </c>
      <c r="P84">
        <v>43</v>
      </c>
      <c r="Q84" s="4"/>
      <c r="R84" s="1" t="e">
        <f>IF(_xlfn.XLOOKUP(L84,'RAW DATA'!A:A,'RAW DATA'!B:B)=0,"",_xlfn.XLOOKUP(L84,'RAW DATA'!A:A,'RAW DATA'!B:B))</f>
        <v>#N/A</v>
      </c>
      <c r="S84" s="1" t="e">
        <f>IF(_xlfn.XLOOKUP(L84,'RAW DATA'!A:A,'RAW DATA'!C:C)=0,"",_xlfn.XLOOKUP(L84,'RAW DATA'!A:A,'RAW DATA'!C:C))</f>
        <v>#N/A</v>
      </c>
    </row>
    <row r="85" spans="1:19" x14ac:dyDescent="0.3">
      <c r="A85" t="s">
        <v>178</v>
      </c>
      <c r="B85" t="s">
        <v>73</v>
      </c>
      <c r="C85" t="s">
        <v>66</v>
      </c>
      <c r="F85" t="s">
        <v>213</v>
      </c>
      <c r="G85" t="s">
        <v>93</v>
      </c>
      <c r="H85" s="4">
        <v>45917.528993055559</v>
      </c>
      <c r="I85">
        <v>331</v>
      </c>
      <c r="J85" t="s">
        <v>77</v>
      </c>
      <c r="K85">
        <v>1056099292</v>
      </c>
      <c r="L85" t="s">
        <v>65</v>
      </c>
      <c r="N85" t="s">
        <v>65</v>
      </c>
      <c r="O85">
        <v>331</v>
      </c>
      <c r="P85">
        <v>7</v>
      </c>
      <c r="Q85" s="4"/>
      <c r="R85" s="1" t="e">
        <f>IF(_xlfn.XLOOKUP(L85,'RAW DATA'!A:A,'RAW DATA'!B:B)=0,"",_xlfn.XLOOKUP(L85,'RAW DATA'!A:A,'RAW DATA'!B:B))</f>
        <v>#N/A</v>
      </c>
      <c r="S85" s="1" t="e">
        <f>IF(_xlfn.XLOOKUP(L85,'RAW DATA'!A:A,'RAW DATA'!C:C)=0,"",_xlfn.XLOOKUP(L85,'RAW DATA'!A:A,'RAW DATA'!C:C))</f>
        <v>#N/A</v>
      </c>
    </row>
    <row r="86" spans="1:19" x14ac:dyDescent="0.3">
      <c r="A86" t="s">
        <v>179</v>
      </c>
      <c r="B86" t="s">
        <v>73</v>
      </c>
      <c r="C86" t="s">
        <v>66</v>
      </c>
      <c r="F86" t="s">
        <v>213</v>
      </c>
      <c r="G86" t="s">
        <v>93</v>
      </c>
      <c r="H86" s="4">
        <v>45917.540081018517</v>
      </c>
      <c r="I86">
        <v>435</v>
      </c>
      <c r="J86" t="s">
        <v>77</v>
      </c>
      <c r="K86">
        <v>1056101035</v>
      </c>
      <c r="L86" t="s">
        <v>65</v>
      </c>
      <c r="N86" t="s">
        <v>65</v>
      </c>
      <c r="O86">
        <v>435</v>
      </c>
      <c r="P86">
        <v>6</v>
      </c>
      <c r="Q86" s="4"/>
      <c r="R86" s="1" t="e">
        <f>IF(_xlfn.XLOOKUP(L86,'RAW DATA'!A:A,'RAW DATA'!B:B)=0,"",_xlfn.XLOOKUP(L86,'RAW DATA'!A:A,'RAW DATA'!B:B))</f>
        <v>#N/A</v>
      </c>
      <c r="S86" s="1" t="e">
        <f>IF(_xlfn.XLOOKUP(L86,'RAW DATA'!A:A,'RAW DATA'!C:C)=0,"",_xlfn.XLOOKUP(L86,'RAW DATA'!A:A,'RAW DATA'!C:C))</f>
        <v>#N/A</v>
      </c>
    </row>
    <row r="87" spans="1:19" x14ac:dyDescent="0.3">
      <c r="A87" t="s">
        <v>180</v>
      </c>
      <c r="B87" t="s">
        <v>73</v>
      </c>
      <c r="C87" t="s">
        <v>66</v>
      </c>
      <c r="F87" t="s">
        <v>213</v>
      </c>
      <c r="G87" t="s">
        <v>93</v>
      </c>
      <c r="H87" s="4">
        <v>45917.549363425926</v>
      </c>
      <c r="I87">
        <v>164</v>
      </c>
      <c r="J87" t="s">
        <v>77</v>
      </c>
      <c r="K87">
        <v>1056109647</v>
      </c>
      <c r="L87" t="s">
        <v>65</v>
      </c>
      <c r="N87" t="s">
        <v>65</v>
      </c>
      <c r="O87">
        <v>164</v>
      </c>
      <c r="P87">
        <v>3</v>
      </c>
      <c r="Q87" s="4"/>
      <c r="R87" s="1" t="e">
        <f>IF(_xlfn.XLOOKUP(L87,'RAW DATA'!A:A,'RAW DATA'!B:B)=0,"",_xlfn.XLOOKUP(L87,'RAW DATA'!A:A,'RAW DATA'!B:B))</f>
        <v>#N/A</v>
      </c>
      <c r="S87" s="1" t="e">
        <f>IF(_xlfn.XLOOKUP(L87,'RAW DATA'!A:A,'RAW DATA'!C:C)=0,"",_xlfn.XLOOKUP(L87,'RAW DATA'!A:A,'RAW DATA'!C:C))</f>
        <v>#N/A</v>
      </c>
    </row>
    <row r="88" spans="1:19" x14ac:dyDescent="0.3">
      <c r="A88" t="s">
        <v>181</v>
      </c>
      <c r="B88" t="s">
        <v>73</v>
      </c>
      <c r="C88" t="s">
        <v>66</v>
      </c>
      <c r="F88" t="s">
        <v>213</v>
      </c>
      <c r="G88" t="s">
        <v>93</v>
      </c>
      <c r="H88" s="4">
        <v>45917.556064814817</v>
      </c>
      <c r="I88">
        <v>110</v>
      </c>
      <c r="J88" t="s">
        <v>77</v>
      </c>
      <c r="K88">
        <v>1056110624</v>
      </c>
      <c r="L88" t="s">
        <v>65</v>
      </c>
      <c r="N88" t="s">
        <v>65</v>
      </c>
      <c r="O88">
        <v>110</v>
      </c>
      <c r="P88">
        <v>4</v>
      </c>
      <c r="Q88" s="4"/>
      <c r="R88" s="1" t="e">
        <f>IF(_xlfn.XLOOKUP(L88,'RAW DATA'!A:A,'RAW DATA'!B:B)=0,"",_xlfn.XLOOKUP(L88,'RAW DATA'!A:A,'RAW DATA'!B:B))</f>
        <v>#N/A</v>
      </c>
      <c r="S88" s="1" t="e">
        <f>IF(_xlfn.XLOOKUP(L88,'RAW DATA'!A:A,'RAW DATA'!C:C)=0,"",_xlfn.XLOOKUP(L88,'RAW DATA'!A:A,'RAW DATA'!C:C))</f>
        <v>#N/A</v>
      </c>
    </row>
    <row r="89" spans="1:19" x14ac:dyDescent="0.3">
      <c r="A89" t="s">
        <v>182</v>
      </c>
      <c r="B89" t="s">
        <v>73</v>
      </c>
      <c r="C89" t="s">
        <v>66</v>
      </c>
      <c r="F89" t="s">
        <v>213</v>
      </c>
      <c r="G89" t="s">
        <v>93</v>
      </c>
      <c r="H89" s="4">
        <v>45917.559537037036</v>
      </c>
      <c r="I89">
        <v>386</v>
      </c>
      <c r="J89" t="s">
        <v>77</v>
      </c>
      <c r="K89">
        <v>1056111128</v>
      </c>
      <c r="L89" t="s">
        <v>65</v>
      </c>
      <c r="N89" t="s">
        <v>65</v>
      </c>
      <c r="O89">
        <v>386</v>
      </c>
      <c r="P89">
        <v>4</v>
      </c>
      <c r="Q89" s="4"/>
      <c r="R89" s="1" t="e">
        <f>IF(_xlfn.XLOOKUP(L89,'RAW DATA'!A:A,'RAW DATA'!B:B)=0,"",_xlfn.XLOOKUP(L89,'RAW DATA'!A:A,'RAW DATA'!B:B))</f>
        <v>#N/A</v>
      </c>
      <c r="S89" s="1" t="e">
        <f>IF(_xlfn.XLOOKUP(L89,'RAW DATA'!A:A,'RAW DATA'!C:C)=0,"",_xlfn.XLOOKUP(L89,'RAW DATA'!A:A,'RAW DATA'!C:C))</f>
        <v>#N/A</v>
      </c>
    </row>
    <row r="90" spans="1:19" x14ac:dyDescent="0.3">
      <c r="A90" t="s">
        <v>183</v>
      </c>
      <c r="B90" t="s">
        <v>73</v>
      </c>
      <c r="C90" t="s">
        <v>66</v>
      </c>
      <c r="F90" t="s">
        <v>214</v>
      </c>
      <c r="G90" t="s">
        <v>94</v>
      </c>
      <c r="H90" s="4">
        <v>45917.564826388887</v>
      </c>
      <c r="I90">
        <v>185</v>
      </c>
      <c r="J90" t="s">
        <v>78</v>
      </c>
      <c r="K90">
        <v>1056112229</v>
      </c>
      <c r="L90" t="s">
        <v>65</v>
      </c>
      <c r="N90" t="s">
        <v>65</v>
      </c>
      <c r="O90">
        <v>185</v>
      </c>
      <c r="P90">
        <v>60</v>
      </c>
      <c r="Q90" s="4"/>
      <c r="R90" s="1" t="e">
        <f>IF(_xlfn.XLOOKUP(L90,'RAW DATA'!A:A,'RAW DATA'!B:B)=0,"",_xlfn.XLOOKUP(L90,'RAW DATA'!A:A,'RAW DATA'!B:B))</f>
        <v>#N/A</v>
      </c>
      <c r="S90" s="1" t="e">
        <f>IF(_xlfn.XLOOKUP(L90,'RAW DATA'!A:A,'RAW DATA'!C:C)=0,"",_xlfn.XLOOKUP(L90,'RAW DATA'!A:A,'RAW DATA'!C:C))</f>
        <v>#N/A</v>
      </c>
    </row>
    <row r="91" spans="1:19" x14ac:dyDescent="0.3">
      <c r="A91" t="s">
        <v>184</v>
      </c>
      <c r="B91" t="s">
        <v>73</v>
      </c>
      <c r="C91" t="s">
        <v>66</v>
      </c>
      <c r="F91" t="s">
        <v>213</v>
      </c>
      <c r="G91" t="s">
        <v>93</v>
      </c>
      <c r="H91" s="4">
        <v>45917.567986111113</v>
      </c>
      <c r="I91">
        <v>311</v>
      </c>
      <c r="J91" t="s">
        <v>77</v>
      </c>
      <c r="K91">
        <v>1056112369</v>
      </c>
      <c r="L91" t="s">
        <v>65</v>
      </c>
      <c r="N91" t="s">
        <v>65</v>
      </c>
      <c r="O91">
        <v>311</v>
      </c>
      <c r="P91">
        <v>5</v>
      </c>
      <c r="Q91" s="4"/>
      <c r="R91" s="1" t="e">
        <f>IF(_xlfn.XLOOKUP(L91,'RAW DATA'!A:A,'RAW DATA'!B:B)=0,"",_xlfn.XLOOKUP(L91,'RAW DATA'!A:A,'RAW DATA'!B:B))</f>
        <v>#N/A</v>
      </c>
      <c r="S91" s="1" t="e">
        <f>IF(_xlfn.XLOOKUP(L91,'RAW DATA'!A:A,'RAW DATA'!C:C)=0,"",_xlfn.XLOOKUP(L91,'RAW DATA'!A:A,'RAW DATA'!C:C))</f>
        <v>#N/A</v>
      </c>
    </row>
    <row r="92" spans="1:19" x14ac:dyDescent="0.3">
      <c r="A92" t="s">
        <v>185</v>
      </c>
      <c r="B92" t="s">
        <v>73</v>
      </c>
      <c r="C92" t="s">
        <v>66</v>
      </c>
      <c r="F92" t="s">
        <v>213</v>
      </c>
      <c r="G92" t="s">
        <v>93</v>
      </c>
      <c r="H92" s="4">
        <v>45917.575104166666</v>
      </c>
      <c r="I92">
        <v>119</v>
      </c>
      <c r="J92" t="s">
        <v>76</v>
      </c>
      <c r="K92">
        <v>1056119824</v>
      </c>
      <c r="L92" t="s">
        <v>65</v>
      </c>
      <c r="N92" t="s">
        <v>65</v>
      </c>
      <c r="O92">
        <v>119</v>
      </c>
      <c r="P92">
        <v>3</v>
      </c>
      <c r="Q92" s="4"/>
      <c r="R92" s="1" t="e">
        <f>IF(_xlfn.XLOOKUP(L92,'RAW DATA'!A:A,'RAW DATA'!B:B)=0,"",_xlfn.XLOOKUP(L92,'RAW DATA'!A:A,'RAW DATA'!B:B))</f>
        <v>#N/A</v>
      </c>
      <c r="S92" s="1" t="e">
        <f>IF(_xlfn.XLOOKUP(L92,'RAW DATA'!A:A,'RAW DATA'!C:C)=0,"",_xlfn.XLOOKUP(L92,'RAW DATA'!A:A,'RAW DATA'!C:C))</f>
        <v>#N/A</v>
      </c>
    </row>
    <row r="93" spans="1:19" x14ac:dyDescent="0.3">
      <c r="A93" t="s">
        <v>186</v>
      </c>
      <c r="B93" t="s">
        <v>73</v>
      </c>
      <c r="C93" t="s">
        <v>66</v>
      </c>
      <c r="F93" t="s">
        <v>214</v>
      </c>
      <c r="G93" t="s">
        <v>94</v>
      </c>
      <c r="H93" s="4">
        <v>45917.579398148147</v>
      </c>
      <c r="I93">
        <v>81</v>
      </c>
      <c r="J93" t="s">
        <v>79</v>
      </c>
      <c r="K93">
        <v>1056123665</v>
      </c>
      <c r="L93" t="s">
        <v>65</v>
      </c>
      <c r="N93" t="s">
        <v>65</v>
      </c>
      <c r="O93">
        <v>81</v>
      </c>
      <c r="P93">
        <v>60</v>
      </c>
      <c r="Q93" s="4"/>
      <c r="R93" s="1" t="e">
        <f>IF(_xlfn.XLOOKUP(L93,'RAW DATA'!A:A,'RAW DATA'!B:B)=0,"",_xlfn.XLOOKUP(L93,'RAW DATA'!A:A,'RAW DATA'!B:B))</f>
        <v>#N/A</v>
      </c>
      <c r="S93" s="1" t="e">
        <f>IF(_xlfn.XLOOKUP(L93,'RAW DATA'!A:A,'RAW DATA'!C:C)=0,"",_xlfn.XLOOKUP(L93,'RAW DATA'!A:A,'RAW DATA'!C:C))</f>
        <v>#N/A</v>
      </c>
    </row>
    <row r="94" spans="1:19" x14ac:dyDescent="0.3">
      <c r="A94" t="s">
        <v>187</v>
      </c>
      <c r="B94" t="s">
        <v>73</v>
      </c>
      <c r="C94" t="s">
        <v>66</v>
      </c>
      <c r="F94" t="s">
        <v>213</v>
      </c>
      <c r="G94" t="s">
        <v>93</v>
      </c>
      <c r="H94" s="4">
        <v>45917.579837962963</v>
      </c>
      <c r="I94">
        <v>65</v>
      </c>
      <c r="J94" t="s">
        <v>77</v>
      </c>
      <c r="K94">
        <v>1056123743</v>
      </c>
      <c r="L94" t="s">
        <v>65</v>
      </c>
      <c r="N94" t="s">
        <v>65</v>
      </c>
      <c r="O94">
        <v>65</v>
      </c>
      <c r="P94">
        <v>37</v>
      </c>
      <c r="Q94" s="4"/>
      <c r="R94" s="1" t="e">
        <f>IF(_xlfn.XLOOKUP(L94,'RAW DATA'!A:A,'RAW DATA'!B:B)=0,"",_xlfn.XLOOKUP(L94,'RAW DATA'!A:A,'RAW DATA'!B:B))</f>
        <v>#N/A</v>
      </c>
      <c r="S94" s="1" t="e">
        <f>IF(_xlfn.XLOOKUP(L94,'RAW DATA'!A:A,'RAW DATA'!C:C)=0,"",_xlfn.XLOOKUP(L94,'RAW DATA'!A:A,'RAW DATA'!C:C))</f>
        <v>#N/A</v>
      </c>
    </row>
    <row r="95" spans="1:19" x14ac:dyDescent="0.3">
      <c r="A95" t="s">
        <v>188</v>
      </c>
      <c r="B95" t="s">
        <v>73</v>
      </c>
      <c r="C95" t="s">
        <v>66</v>
      </c>
      <c r="F95" t="s">
        <v>213</v>
      </c>
      <c r="G95" t="s">
        <v>93</v>
      </c>
      <c r="H95" s="4">
        <v>45917.583958333336</v>
      </c>
      <c r="I95">
        <v>168</v>
      </c>
      <c r="J95" t="s">
        <v>77</v>
      </c>
      <c r="K95">
        <v>1056129547</v>
      </c>
      <c r="L95" t="s">
        <v>65</v>
      </c>
      <c r="N95" t="s">
        <v>65</v>
      </c>
      <c r="O95">
        <v>168</v>
      </c>
      <c r="P95">
        <v>4</v>
      </c>
      <c r="Q95" s="4"/>
      <c r="R95" s="1" t="e">
        <f>IF(_xlfn.XLOOKUP(L95,'RAW DATA'!A:A,'RAW DATA'!B:B)=0,"",_xlfn.XLOOKUP(L95,'RAW DATA'!A:A,'RAW DATA'!B:B))</f>
        <v>#N/A</v>
      </c>
      <c r="S95" s="1" t="e">
        <f>IF(_xlfn.XLOOKUP(L95,'RAW DATA'!A:A,'RAW DATA'!C:C)=0,"",_xlfn.XLOOKUP(L95,'RAW DATA'!A:A,'RAW DATA'!C:C))</f>
        <v>#N/A</v>
      </c>
    </row>
    <row r="96" spans="1:19" x14ac:dyDescent="0.3">
      <c r="A96" t="s">
        <v>189</v>
      </c>
      <c r="B96" t="s">
        <v>73</v>
      </c>
      <c r="C96" t="s">
        <v>66</v>
      </c>
      <c r="F96" t="s">
        <v>213</v>
      </c>
      <c r="G96" t="s">
        <v>93</v>
      </c>
      <c r="H96" s="4">
        <v>45917.620717592596</v>
      </c>
      <c r="I96">
        <v>281</v>
      </c>
      <c r="J96" t="s">
        <v>77</v>
      </c>
      <c r="K96">
        <v>1056159182</v>
      </c>
      <c r="L96" t="s">
        <v>65</v>
      </c>
      <c r="N96" t="s">
        <v>65</v>
      </c>
      <c r="O96">
        <v>281</v>
      </c>
      <c r="P96">
        <v>4</v>
      </c>
      <c r="Q96" s="4"/>
      <c r="R96" s="1" t="e">
        <f>IF(_xlfn.XLOOKUP(L96,'RAW DATA'!A:A,'RAW DATA'!B:B)=0,"",_xlfn.XLOOKUP(L96,'RAW DATA'!A:A,'RAW DATA'!B:B))</f>
        <v>#N/A</v>
      </c>
      <c r="S96" s="1" t="e">
        <f>IF(_xlfn.XLOOKUP(L96,'RAW DATA'!A:A,'RAW DATA'!C:C)=0,"",_xlfn.XLOOKUP(L96,'RAW DATA'!A:A,'RAW DATA'!C:C))</f>
        <v>#N/A</v>
      </c>
    </row>
    <row r="97" spans="1:19" x14ac:dyDescent="0.3">
      <c r="A97" t="s">
        <v>190</v>
      </c>
      <c r="B97" t="s">
        <v>73</v>
      </c>
      <c r="C97" t="s">
        <v>66</v>
      </c>
      <c r="F97" t="s">
        <v>214</v>
      </c>
      <c r="G97" t="s">
        <v>94</v>
      </c>
      <c r="H97" s="4">
        <v>45917.62226851852</v>
      </c>
      <c r="I97">
        <v>300</v>
      </c>
      <c r="J97" t="s">
        <v>79</v>
      </c>
      <c r="K97">
        <v>1056159426</v>
      </c>
      <c r="L97" t="s">
        <v>65</v>
      </c>
      <c r="N97" t="s">
        <v>65</v>
      </c>
      <c r="O97">
        <v>300</v>
      </c>
      <c r="P97">
        <v>51</v>
      </c>
      <c r="Q97" s="4"/>
      <c r="R97" s="1" t="e">
        <f>IF(_xlfn.XLOOKUP(L97,'RAW DATA'!A:A,'RAW DATA'!B:B)=0,"",_xlfn.XLOOKUP(L97,'RAW DATA'!A:A,'RAW DATA'!B:B))</f>
        <v>#N/A</v>
      </c>
      <c r="S97" s="1" t="e">
        <f>IF(_xlfn.XLOOKUP(L97,'RAW DATA'!A:A,'RAW DATA'!C:C)=0,"",_xlfn.XLOOKUP(L97,'RAW DATA'!A:A,'RAW DATA'!C:C))</f>
        <v>#N/A</v>
      </c>
    </row>
    <row r="98" spans="1:19" x14ac:dyDescent="0.3">
      <c r="A98" t="s">
        <v>191</v>
      </c>
      <c r="B98" t="s">
        <v>73</v>
      </c>
      <c r="C98" t="s">
        <v>66</v>
      </c>
      <c r="F98" t="s">
        <v>213</v>
      </c>
      <c r="G98" t="s">
        <v>93</v>
      </c>
      <c r="H98" s="4">
        <v>45917.633483796293</v>
      </c>
      <c r="I98">
        <v>775</v>
      </c>
      <c r="J98" t="s">
        <v>80</v>
      </c>
      <c r="K98">
        <v>1056161048</v>
      </c>
      <c r="L98" t="s">
        <v>65</v>
      </c>
      <c r="N98" t="s">
        <v>65</v>
      </c>
      <c r="O98">
        <v>775</v>
      </c>
      <c r="P98">
        <v>4</v>
      </c>
      <c r="Q98" s="4"/>
      <c r="R98" s="1" t="e">
        <f>IF(_xlfn.XLOOKUP(L98,'RAW DATA'!A:A,'RAW DATA'!B:B)=0,"",_xlfn.XLOOKUP(L98,'RAW DATA'!A:A,'RAW DATA'!B:B))</f>
        <v>#N/A</v>
      </c>
      <c r="S98" s="1" t="e">
        <f>IF(_xlfn.XLOOKUP(L98,'RAW DATA'!A:A,'RAW DATA'!C:C)=0,"",_xlfn.XLOOKUP(L98,'RAW DATA'!A:A,'RAW DATA'!C:C))</f>
        <v>#N/A</v>
      </c>
    </row>
    <row r="99" spans="1:19" x14ac:dyDescent="0.3">
      <c r="A99" t="s">
        <v>192</v>
      </c>
      <c r="B99" t="s">
        <v>73</v>
      </c>
      <c r="C99" t="s">
        <v>66</v>
      </c>
      <c r="F99" t="s">
        <v>214</v>
      </c>
      <c r="G99" t="s">
        <v>94</v>
      </c>
      <c r="H99" s="4">
        <v>45917.639467592591</v>
      </c>
      <c r="I99">
        <v>11</v>
      </c>
      <c r="J99" t="s">
        <v>72</v>
      </c>
      <c r="L99" t="s">
        <v>65</v>
      </c>
      <c r="N99" t="s">
        <v>65</v>
      </c>
      <c r="O99">
        <v>11</v>
      </c>
      <c r="Q99" s="4"/>
      <c r="R99" s="1" t="e">
        <f>IF(_xlfn.XLOOKUP(L99,'RAW DATA'!A:A,'RAW DATA'!B:B)=0,"",_xlfn.XLOOKUP(L99,'RAW DATA'!A:A,'RAW DATA'!B:B))</f>
        <v>#N/A</v>
      </c>
      <c r="S99" s="1" t="e">
        <f>IF(_xlfn.XLOOKUP(L99,'RAW DATA'!A:A,'RAW DATA'!C:C)=0,"",_xlfn.XLOOKUP(L99,'RAW DATA'!A:A,'RAW DATA'!C:C))</f>
        <v>#N/A</v>
      </c>
    </row>
    <row r="100" spans="1:19" x14ac:dyDescent="0.3">
      <c r="A100" t="s">
        <v>193</v>
      </c>
      <c r="B100" t="s">
        <v>73</v>
      </c>
      <c r="C100" t="s">
        <v>66</v>
      </c>
      <c r="F100" t="s">
        <v>214</v>
      </c>
      <c r="G100" t="s">
        <v>94</v>
      </c>
      <c r="H100" s="4">
        <v>45917.645821759259</v>
      </c>
      <c r="I100">
        <v>61</v>
      </c>
      <c r="J100" t="s">
        <v>72</v>
      </c>
      <c r="L100" t="s">
        <v>65</v>
      </c>
      <c r="N100" t="s">
        <v>65</v>
      </c>
      <c r="O100">
        <v>60</v>
      </c>
      <c r="Q100" s="4"/>
      <c r="R100" s="1" t="e">
        <f>IF(_xlfn.XLOOKUP(L100,'RAW DATA'!A:A,'RAW DATA'!B:B)=0,"",_xlfn.XLOOKUP(L100,'RAW DATA'!A:A,'RAW DATA'!B:B))</f>
        <v>#N/A</v>
      </c>
      <c r="S100" s="1" t="e">
        <f>IF(_xlfn.XLOOKUP(L100,'RAW DATA'!A:A,'RAW DATA'!C:C)=0,"",_xlfn.XLOOKUP(L100,'RAW DATA'!A:A,'RAW DATA'!C:C))</f>
        <v>#N/A</v>
      </c>
    </row>
    <row r="101" spans="1:19" x14ac:dyDescent="0.3">
      <c r="A101" t="s">
        <v>194</v>
      </c>
      <c r="B101" t="s">
        <v>73</v>
      </c>
      <c r="C101" t="s">
        <v>66</v>
      </c>
      <c r="F101" t="s">
        <v>214</v>
      </c>
      <c r="G101" t="s">
        <v>94</v>
      </c>
      <c r="H101" s="4">
        <v>45917.651180555556</v>
      </c>
      <c r="I101">
        <v>111</v>
      </c>
      <c r="J101" t="s">
        <v>79</v>
      </c>
      <c r="K101">
        <v>1056163985</v>
      </c>
      <c r="L101" t="s">
        <v>65</v>
      </c>
      <c r="N101" t="s">
        <v>65</v>
      </c>
      <c r="O101">
        <v>111</v>
      </c>
      <c r="P101">
        <v>31</v>
      </c>
      <c r="Q101" s="4"/>
      <c r="R101" s="1" t="e">
        <f>IF(_xlfn.XLOOKUP(L101,'RAW DATA'!A:A,'RAW DATA'!B:B)=0,"",_xlfn.XLOOKUP(L101,'RAW DATA'!A:A,'RAW DATA'!B:B))</f>
        <v>#N/A</v>
      </c>
      <c r="S101" s="1" t="e">
        <f>IF(_xlfn.XLOOKUP(L101,'RAW DATA'!A:A,'RAW DATA'!C:C)=0,"",_xlfn.XLOOKUP(L101,'RAW DATA'!A:A,'RAW DATA'!C:C))</f>
        <v>#N/A</v>
      </c>
    </row>
    <row r="102" spans="1:19" x14ac:dyDescent="0.3">
      <c r="A102" t="s">
        <v>195</v>
      </c>
      <c r="B102" t="s">
        <v>81</v>
      </c>
      <c r="C102" t="s">
        <v>66</v>
      </c>
      <c r="F102" t="s">
        <v>214</v>
      </c>
      <c r="G102" t="s">
        <v>94</v>
      </c>
      <c r="H102" s="4">
        <v>45917.407569444447</v>
      </c>
      <c r="I102">
        <v>10</v>
      </c>
      <c r="J102" t="s">
        <v>72</v>
      </c>
      <c r="K102">
        <v>1055980050</v>
      </c>
      <c r="L102" t="s">
        <v>272</v>
      </c>
      <c r="N102" t="s">
        <v>65</v>
      </c>
      <c r="O102">
        <v>10</v>
      </c>
      <c r="Q102" s="4"/>
      <c r="R102" s="1" t="str">
        <f>IF(_xlfn.XLOOKUP(L102,'RAW DATA'!A:A,'RAW DATA'!B:B)=0,"",_xlfn.XLOOKUP(L102,'RAW DATA'!A:A,'RAW DATA'!B:B))</f>
        <v>Wrong Doctor</v>
      </c>
      <c r="S102" s="1" t="str">
        <f>IF(_xlfn.XLOOKUP(L102,'RAW DATA'!A:A,'RAW DATA'!C:C)=0,"",_xlfn.XLOOKUP(L102,'RAW DATA'!A:A,'RAW DATA'!C:C))</f>
        <v>3 or less</v>
      </c>
    </row>
    <row r="103" spans="1:19" x14ac:dyDescent="0.3">
      <c r="A103" t="s">
        <v>196</v>
      </c>
      <c r="B103" t="s">
        <v>81</v>
      </c>
      <c r="C103" t="s">
        <v>66</v>
      </c>
      <c r="F103" t="s">
        <v>214</v>
      </c>
      <c r="G103" t="s">
        <v>94</v>
      </c>
      <c r="H103" s="4">
        <v>45917.413449074076</v>
      </c>
      <c r="I103">
        <v>240</v>
      </c>
      <c r="J103" t="s">
        <v>82</v>
      </c>
      <c r="K103">
        <v>1055939761</v>
      </c>
      <c r="L103" t="s">
        <v>273</v>
      </c>
      <c r="N103" t="s">
        <v>65</v>
      </c>
      <c r="O103">
        <v>240</v>
      </c>
      <c r="P103">
        <v>60</v>
      </c>
      <c r="Q103" s="4"/>
      <c r="R103" s="1" t="str">
        <f>IF(_xlfn.XLOOKUP(L103,'RAW DATA'!A:A,'RAW DATA'!B:B)=0,"",_xlfn.XLOOKUP(L103,'RAW DATA'!A:A,'RAW DATA'!B:B))</f>
        <v>EDocument</v>
      </c>
      <c r="S103" s="1" t="str">
        <f>IF(_xlfn.XLOOKUP(L103,'RAW DATA'!A:A,'RAW DATA'!C:C)=0,"",_xlfn.XLOOKUP(L103,'RAW DATA'!A:A,'RAW DATA'!C:C))</f>
        <v>3 or less</v>
      </c>
    </row>
    <row r="104" spans="1:19" x14ac:dyDescent="0.3">
      <c r="A104" t="s">
        <v>197</v>
      </c>
      <c r="B104" t="s">
        <v>81</v>
      </c>
      <c r="C104" t="s">
        <v>66</v>
      </c>
      <c r="F104" t="s">
        <v>214</v>
      </c>
      <c r="G104" t="s">
        <v>94</v>
      </c>
      <c r="H104" s="4">
        <v>45917.421527777777</v>
      </c>
      <c r="I104">
        <v>59</v>
      </c>
      <c r="J104" t="s">
        <v>83</v>
      </c>
      <c r="K104">
        <v>1055939765</v>
      </c>
      <c r="L104" t="s">
        <v>274</v>
      </c>
      <c r="N104" t="s">
        <v>65</v>
      </c>
      <c r="O104">
        <v>59</v>
      </c>
      <c r="P104">
        <v>5</v>
      </c>
      <c r="Q104" s="4"/>
      <c r="R104" s="1" t="str">
        <f>IF(_xlfn.XLOOKUP(L104,'RAW DATA'!A:A,'RAW DATA'!B:B)=0,"",_xlfn.XLOOKUP(L104,'RAW DATA'!A:A,'RAW DATA'!B:B))</f>
        <v>-</v>
      </c>
      <c r="S104" s="1" t="str">
        <f>IF(_xlfn.XLOOKUP(L104,'RAW DATA'!A:A,'RAW DATA'!C:C)=0,"",_xlfn.XLOOKUP(L104,'RAW DATA'!A:A,'RAW DATA'!C:C))</f>
        <v>3 or less</v>
      </c>
    </row>
    <row r="105" spans="1:19" x14ac:dyDescent="0.3">
      <c r="A105" t="s">
        <v>198</v>
      </c>
      <c r="B105" t="s">
        <v>81</v>
      </c>
      <c r="C105" t="s">
        <v>66</v>
      </c>
      <c r="F105" t="s">
        <v>214</v>
      </c>
      <c r="G105" t="s">
        <v>94</v>
      </c>
      <c r="H105" s="4">
        <v>45917.425625000003</v>
      </c>
      <c r="I105">
        <v>57</v>
      </c>
      <c r="J105" t="s">
        <v>83</v>
      </c>
      <c r="K105">
        <v>1055939766</v>
      </c>
      <c r="L105" t="s">
        <v>275</v>
      </c>
      <c r="N105" t="s">
        <v>65</v>
      </c>
      <c r="O105">
        <v>57</v>
      </c>
      <c r="P105">
        <v>8</v>
      </c>
      <c r="Q105" s="4"/>
      <c r="R105" s="1" t="str">
        <f>IF(_xlfn.XLOOKUP(L105,'RAW DATA'!A:A,'RAW DATA'!B:B)=0,"",_xlfn.XLOOKUP(L105,'RAW DATA'!A:A,'RAW DATA'!B:B))</f>
        <v>Not a Patient at this Location</v>
      </c>
      <c r="S105" s="1" t="str">
        <f>IF(_xlfn.XLOOKUP(L105,'RAW DATA'!A:A,'RAW DATA'!C:C)=0,"",_xlfn.XLOOKUP(L105,'RAW DATA'!A:A,'RAW DATA'!C:C))</f>
        <v>3 or less</v>
      </c>
    </row>
    <row r="106" spans="1:19" x14ac:dyDescent="0.3">
      <c r="A106" t="s">
        <v>199</v>
      </c>
      <c r="B106" t="s">
        <v>81</v>
      </c>
      <c r="C106" t="s">
        <v>66</v>
      </c>
      <c r="F106" t="s">
        <v>214</v>
      </c>
      <c r="G106" t="s">
        <v>94</v>
      </c>
      <c r="H106" s="4">
        <v>45917.430011574077</v>
      </c>
      <c r="I106">
        <v>167</v>
      </c>
      <c r="J106" t="s">
        <v>84</v>
      </c>
      <c r="K106">
        <v>1055939763</v>
      </c>
      <c r="L106" t="s">
        <v>276</v>
      </c>
      <c r="N106" t="s">
        <v>65</v>
      </c>
      <c r="O106">
        <v>167</v>
      </c>
      <c r="P106">
        <v>37</v>
      </c>
      <c r="Q106" s="4"/>
      <c r="R106" s="1" t="str">
        <f>IF(_xlfn.XLOOKUP(L106,'RAW DATA'!A:A,'RAW DATA'!B:B)=0,"",_xlfn.XLOOKUP(L106,'RAW DATA'!A:A,'RAW DATA'!B:B))</f>
        <v>Wrong Doctor</v>
      </c>
      <c r="S106" s="1" t="str">
        <f>IF(_xlfn.XLOOKUP(L106,'RAW DATA'!A:A,'RAW DATA'!C:C)=0,"",_xlfn.XLOOKUP(L106,'RAW DATA'!A:A,'RAW DATA'!C:C))</f>
        <v>3 or less</v>
      </c>
    </row>
    <row r="107" spans="1:19" x14ac:dyDescent="0.3">
      <c r="A107" t="s">
        <v>200</v>
      </c>
      <c r="B107" t="s">
        <v>81</v>
      </c>
      <c r="C107" t="s">
        <v>66</v>
      </c>
      <c r="F107" t="s">
        <v>214</v>
      </c>
      <c r="G107" t="s">
        <v>94</v>
      </c>
      <c r="H107" s="4">
        <v>45917.437222222223</v>
      </c>
      <c r="I107">
        <v>1</v>
      </c>
      <c r="J107" t="s">
        <v>82</v>
      </c>
      <c r="K107">
        <v>1055980045</v>
      </c>
      <c r="L107" t="s">
        <v>277</v>
      </c>
      <c r="N107" t="s">
        <v>65</v>
      </c>
      <c r="O107">
        <v>1</v>
      </c>
      <c r="P107">
        <v>8</v>
      </c>
      <c r="Q107" s="4"/>
      <c r="R107" s="1" t="str">
        <f>IF(_xlfn.XLOOKUP(L107,'RAW DATA'!A:A,'RAW DATA'!B:B)=0,"",_xlfn.XLOOKUP(L107,'RAW DATA'!A:A,'RAW DATA'!B:B))</f>
        <v>-</v>
      </c>
      <c r="S107" s="1" t="str">
        <f>IF(_xlfn.XLOOKUP(L107,'RAW DATA'!A:A,'RAW DATA'!C:C)=0,"",_xlfn.XLOOKUP(L107,'RAW DATA'!A:A,'RAW DATA'!C:C))</f>
        <v>3 or less</v>
      </c>
    </row>
    <row r="108" spans="1:19" x14ac:dyDescent="0.3">
      <c r="A108" t="s">
        <v>201</v>
      </c>
      <c r="B108" t="s">
        <v>81</v>
      </c>
      <c r="C108" t="s">
        <v>66</v>
      </c>
      <c r="F108" t="s">
        <v>214</v>
      </c>
      <c r="G108" t="s">
        <v>94</v>
      </c>
      <c r="H108" s="4">
        <v>45917.441296296296</v>
      </c>
      <c r="I108">
        <v>10</v>
      </c>
      <c r="J108" t="s">
        <v>72</v>
      </c>
      <c r="K108">
        <v>1055980046</v>
      </c>
      <c r="L108" t="s">
        <v>278</v>
      </c>
      <c r="N108" t="s">
        <v>65</v>
      </c>
      <c r="O108">
        <v>10</v>
      </c>
      <c r="Q108" s="4"/>
      <c r="R108" s="1" t="str">
        <f>IF(_xlfn.XLOOKUP(L108,'RAW DATA'!A:A,'RAW DATA'!B:B)=0,"",_xlfn.XLOOKUP(L108,'RAW DATA'!A:A,'RAW DATA'!B:B))</f>
        <v>Doctor Does not Accept Fax</v>
      </c>
      <c r="S108" s="1" t="str">
        <f>IF(_xlfn.XLOOKUP(L108,'RAW DATA'!A:A,'RAW DATA'!C:C)=0,"",_xlfn.XLOOKUP(L108,'RAW DATA'!A:A,'RAW DATA'!C:C))</f>
        <v>3 or less</v>
      </c>
    </row>
    <row r="109" spans="1:19" x14ac:dyDescent="0.3">
      <c r="A109" t="s">
        <v>202</v>
      </c>
      <c r="B109" t="s">
        <v>81</v>
      </c>
      <c r="C109" t="s">
        <v>66</v>
      </c>
      <c r="F109" t="s">
        <v>214</v>
      </c>
      <c r="G109" t="s">
        <v>94</v>
      </c>
      <c r="H109" s="4">
        <v>45917.449189814812</v>
      </c>
      <c r="I109">
        <v>3</v>
      </c>
      <c r="J109" t="s">
        <v>85</v>
      </c>
      <c r="K109">
        <v>1055980052</v>
      </c>
      <c r="L109" t="s">
        <v>279</v>
      </c>
      <c r="N109" t="s">
        <v>65</v>
      </c>
      <c r="O109">
        <v>3</v>
      </c>
      <c r="P109">
        <v>60</v>
      </c>
      <c r="Q109" s="4"/>
      <c r="R109" s="1" t="str">
        <f>IF(_xlfn.XLOOKUP(L109,'RAW DATA'!A:A,'RAW DATA'!B:B)=0,"",_xlfn.XLOOKUP(L109,'RAW DATA'!A:A,'RAW DATA'!B:B))</f>
        <v>Wrong Doctor</v>
      </c>
      <c r="S109" s="1" t="str">
        <f>IF(_xlfn.XLOOKUP(L109,'RAW DATA'!A:A,'RAW DATA'!C:C)=0,"",_xlfn.XLOOKUP(L109,'RAW DATA'!A:A,'RAW DATA'!C:C))</f>
        <v>3 or less</v>
      </c>
    </row>
    <row r="110" spans="1:19" x14ac:dyDescent="0.3">
      <c r="A110" t="s">
        <v>203</v>
      </c>
      <c r="B110" t="s">
        <v>81</v>
      </c>
      <c r="C110" t="s">
        <v>66</v>
      </c>
      <c r="F110" t="s">
        <v>214</v>
      </c>
      <c r="G110" t="s">
        <v>94</v>
      </c>
      <c r="H110" s="4">
        <v>45917.460486111115</v>
      </c>
      <c r="I110">
        <v>1</v>
      </c>
      <c r="J110" t="s">
        <v>82</v>
      </c>
      <c r="K110">
        <v>1055980049</v>
      </c>
      <c r="L110" t="s">
        <v>280</v>
      </c>
      <c r="N110" t="s">
        <v>65</v>
      </c>
      <c r="O110">
        <v>1</v>
      </c>
      <c r="P110">
        <v>5</v>
      </c>
      <c r="Q110" s="4"/>
      <c r="R110" s="1" t="str">
        <f>IF(_xlfn.XLOOKUP(L110,'RAW DATA'!A:A,'RAW DATA'!B:B)=0,"",_xlfn.XLOOKUP(L110,'RAW DATA'!A:A,'RAW DATA'!B:B))</f>
        <v>-</v>
      </c>
      <c r="S110" s="1" t="str">
        <f>IF(_xlfn.XLOOKUP(L110,'RAW DATA'!A:A,'RAW DATA'!C:C)=0,"",_xlfn.XLOOKUP(L110,'RAW DATA'!A:A,'RAW DATA'!C:C))</f>
        <v>3 or less</v>
      </c>
    </row>
    <row r="111" spans="1:19" x14ac:dyDescent="0.3">
      <c r="A111" t="s">
        <v>204</v>
      </c>
      <c r="B111" t="s">
        <v>81</v>
      </c>
      <c r="C111" t="s">
        <v>66</v>
      </c>
      <c r="F111" t="s">
        <v>214</v>
      </c>
      <c r="G111" t="s">
        <v>94</v>
      </c>
      <c r="H111" s="4">
        <v>45917.467245370368</v>
      </c>
      <c r="I111">
        <v>50</v>
      </c>
      <c r="J111" t="s">
        <v>83</v>
      </c>
      <c r="K111">
        <v>1055980051</v>
      </c>
      <c r="L111" t="s">
        <v>281</v>
      </c>
      <c r="N111" t="s">
        <v>65</v>
      </c>
      <c r="O111">
        <v>50</v>
      </c>
      <c r="P111">
        <v>9</v>
      </c>
      <c r="Q111" s="4"/>
      <c r="R111" s="1" t="str">
        <f>IF(_xlfn.XLOOKUP(L111,'RAW DATA'!A:A,'RAW DATA'!B:B)=0,"",_xlfn.XLOOKUP(L111,'RAW DATA'!A:A,'RAW DATA'!B:B))</f>
        <v>Wrong Doctor</v>
      </c>
      <c r="S111" s="1" t="str">
        <f>IF(_xlfn.XLOOKUP(L111,'RAW DATA'!A:A,'RAW DATA'!C:C)=0,"",_xlfn.XLOOKUP(L111,'RAW DATA'!A:A,'RAW DATA'!C:C))</f>
        <v>3 or less</v>
      </c>
    </row>
    <row r="112" spans="1:19" x14ac:dyDescent="0.3">
      <c r="A112" t="s">
        <v>205</v>
      </c>
      <c r="B112" t="s">
        <v>81</v>
      </c>
      <c r="C112" t="s">
        <v>66</v>
      </c>
      <c r="F112" t="s">
        <v>214</v>
      </c>
      <c r="G112" t="s">
        <v>94</v>
      </c>
      <c r="H112" s="4">
        <v>45917.470914351848</v>
      </c>
      <c r="I112">
        <v>60</v>
      </c>
      <c r="J112" t="s">
        <v>72</v>
      </c>
      <c r="K112">
        <v>1055980053</v>
      </c>
      <c r="L112" t="s">
        <v>282</v>
      </c>
      <c r="N112" t="s">
        <v>65</v>
      </c>
      <c r="O112">
        <v>60</v>
      </c>
      <c r="Q112" s="4"/>
      <c r="R112" s="1" t="str">
        <f>IF(_xlfn.XLOOKUP(L112,'RAW DATA'!A:A,'RAW DATA'!B:B)=0,"",_xlfn.XLOOKUP(L112,'RAW DATA'!A:A,'RAW DATA'!B:B))</f>
        <v>Wrong Doctor</v>
      </c>
      <c r="S112" s="1" t="str">
        <f>IF(_xlfn.XLOOKUP(L112,'RAW DATA'!A:A,'RAW DATA'!C:C)=0,"",_xlfn.XLOOKUP(L112,'RAW DATA'!A:A,'RAW DATA'!C:C))</f>
        <v>3 or less</v>
      </c>
    </row>
    <row r="113" spans="1:19" x14ac:dyDescent="0.3">
      <c r="A113" t="s">
        <v>206</v>
      </c>
      <c r="B113" t="s">
        <v>81</v>
      </c>
      <c r="C113" t="s">
        <v>66</v>
      </c>
      <c r="F113" t="s">
        <v>214</v>
      </c>
      <c r="G113" t="s">
        <v>94</v>
      </c>
      <c r="H113" s="4">
        <v>45917.54791666667</v>
      </c>
      <c r="I113">
        <v>14</v>
      </c>
      <c r="J113" t="s">
        <v>65</v>
      </c>
      <c r="K113">
        <v>1055256980</v>
      </c>
      <c r="L113" t="s">
        <v>65</v>
      </c>
      <c r="N113" t="s">
        <v>65</v>
      </c>
      <c r="O113">
        <v>14</v>
      </c>
      <c r="P113">
        <v>60</v>
      </c>
      <c r="Q113" s="4"/>
      <c r="R113" s="1" t="e">
        <f>IF(_xlfn.XLOOKUP(L113,'RAW DATA'!A:A,'RAW DATA'!B:B)=0,"",_xlfn.XLOOKUP(L113,'RAW DATA'!A:A,'RAW DATA'!B:B))</f>
        <v>#N/A</v>
      </c>
      <c r="S113" s="1" t="e">
        <f>IF(_xlfn.XLOOKUP(L113,'RAW DATA'!A:A,'RAW DATA'!C:C)=0,"",_xlfn.XLOOKUP(L113,'RAW DATA'!A:A,'RAW DATA'!C:C))</f>
        <v>#N/A</v>
      </c>
    </row>
    <row r="114" spans="1:19" x14ac:dyDescent="0.3">
      <c r="A114" t="s">
        <v>207</v>
      </c>
      <c r="B114" t="s">
        <v>81</v>
      </c>
      <c r="C114" t="s">
        <v>66</v>
      </c>
      <c r="F114" t="s">
        <v>214</v>
      </c>
      <c r="G114" t="s">
        <v>94</v>
      </c>
      <c r="H114" s="4">
        <v>45917.704189814816</v>
      </c>
      <c r="I114">
        <v>239</v>
      </c>
      <c r="J114" t="s">
        <v>84</v>
      </c>
      <c r="K114">
        <v>1056148854</v>
      </c>
      <c r="L114" t="s">
        <v>283</v>
      </c>
      <c r="N114" t="s">
        <v>65</v>
      </c>
      <c r="O114">
        <v>239</v>
      </c>
      <c r="P114">
        <v>43</v>
      </c>
      <c r="Q114" s="4"/>
      <c r="R114" s="1" t="str">
        <f>IF(_xlfn.XLOOKUP(L114,'RAW DATA'!A:A,'RAW DATA'!B:B)=0,"",_xlfn.XLOOKUP(L114,'RAW DATA'!A:A,'RAW DATA'!B:B))</f>
        <v>Needs Appointment</v>
      </c>
      <c r="S114" s="1" t="str">
        <f>IF(_xlfn.XLOOKUP(L114,'RAW DATA'!A:A,'RAW DATA'!C:C)=0,"",_xlfn.XLOOKUP(L114,'RAW DATA'!A:A,'RAW DATA'!C:C))</f>
        <v>3 or less</v>
      </c>
    </row>
    <row r="115" spans="1:19" x14ac:dyDescent="0.3">
      <c r="A115" t="s">
        <v>208</v>
      </c>
      <c r="B115" t="s">
        <v>81</v>
      </c>
      <c r="C115" t="s">
        <v>66</v>
      </c>
      <c r="F115" t="s">
        <v>214</v>
      </c>
      <c r="G115" t="s">
        <v>94</v>
      </c>
      <c r="H115" s="4">
        <v>45917.713113425925</v>
      </c>
      <c r="I115">
        <v>1</v>
      </c>
      <c r="J115" t="s">
        <v>82</v>
      </c>
      <c r="K115">
        <v>1056148855</v>
      </c>
      <c r="L115" t="s">
        <v>284</v>
      </c>
      <c r="N115" t="s">
        <v>65</v>
      </c>
      <c r="O115">
        <v>1</v>
      </c>
      <c r="P115">
        <v>7</v>
      </c>
      <c r="Q115" s="4"/>
      <c r="R115" s="1" t="str">
        <f>IF(_xlfn.XLOOKUP(L115,'RAW DATA'!A:A,'RAW DATA'!B:B)=0,"",_xlfn.XLOOKUP(L115,'RAW DATA'!A:A,'RAW DATA'!B:B))</f>
        <v>-</v>
      </c>
      <c r="S115" s="1" t="str">
        <f>IF(_xlfn.XLOOKUP(L115,'RAW DATA'!A:A,'RAW DATA'!C:C)=0,"",_xlfn.XLOOKUP(L115,'RAW DATA'!A:A,'RAW DATA'!C:C))</f>
        <v>3 or less</v>
      </c>
    </row>
    <row r="116" spans="1:19" x14ac:dyDescent="0.3">
      <c r="A116" t="s">
        <v>209</v>
      </c>
      <c r="B116" t="s">
        <v>81</v>
      </c>
      <c r="C116" t="s">
        <v>66</v>
      </c>
      <c r="F116" t="s">
        <v>214</v>
      </c>
      <c r="G116" t="s">
        <v>94</v>
      </c>
      <c r="H116" s="4">
        <v>45917.723310185182</v>
      </c>
      <c r="I116">
        <v>59</v>
      </c>
      <c r="J116" t="s">
        <v>83</v>
      </c>
      <c r="K116">
        <v>1056148868</v>
      </c>
      <c r="L116" t="s">
        <v>285</v>
      </c>
      <c r="N116" t="s">
        <v>65</v>
      </c>
      <c r="O116">
        <v>59</v>
      </c>
      <c r="P116">
        <v>10</v>
      </c>
      <c r="Q116" s="4"/>
      <c r="R116" s="1" t="str">
        <f>IF(_xlfn.XLOOKUP(L116,'RAW DATA'!A:A,'RAW DATA'!B:B)=0,"",_xlfn.XLOOKUP(L116,'RAW DATA'!A:A,'RAW DATA'!B:B))</f>
        <v>Not a Patient at this Location</v>
      </c>
      <c r="S116" s="1" t="str">
        <f>IF(_xlfn.XLOOKUP(L116,'RAW DATA'!A:A,'RAW DATA'!C:C)=0,"",_xlfn.XLOOKUP(L116,'RAW DATA'!A:A,'RAW DATA'!C:C))</f>
        <v>3 or less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212C-B957-45C5-8678-56224640DBA6}">
  <sheetPr>
    <tabColor theme="3" tint="0.249977111117893"/>
  </sheetPr>
  <dimension ref="A1:F1109"/>
  <sheetViews>
    <sheetView workbookViewId="0">
      <selection activeCell="H2" sqref="H1:H1048576"/>
    </sheetView>
  </sheetViews>
  <sheetFormatPr defaultRowHeight="14.4" x14ac:dyDescent="0.3"/>
  <cols>
    <col min="1" max="1" width="11.88671875" bestFit="1" customWidth="1"/>
    <col min="2" max="2" width="40.44140625" bestFit="1" customWidth="1"/>
    <col min="3" max="3" width="16.5546875" bestFit="1" customWidth="1"/>
    <col min="4" max="4" width="22.5546875" bestFit="1" customWidth="1"/>
    <col min="5" max="5" width="14.88671875" bestFit="1" customWidth="1"/>
    <col min="6" max="6" width="14.6640625" bestFit="1" customWidth="1"/>
  </cols>
  <sheetData>
    <row r="1" spans="1:6" x14ac:dyDescent="0.3">
      <c r="A1" t="s">
        <v>19</v>
      </c>
      <c r="B1" t="s">
        <v>17</v>
      </c>
      <c r="C1" t="s">
        <v>18</v>
      </c>
      <c r="D1" s="1" t="s">
        <v>1</v>
      </c>
      <c r="E1" s="1" t="s">
        <v>20</v>
      </c>
      <c r="F1" s="1" t="s">
        <v>21</v>
      </c>
    </row>
    <row r="2" spans="1:6" x14ac:dyDescent="0.3">
      <c r="A2" t="s">
        <v>286</v>
      </c>
      <c r="B2" t="s">
        <v>26</v>
      </c>
      <c r="C2" t="s">
        <v>27</v>
      </c>
      <c r="D2" s="1" t="str">
        <f>_xlfn.IFNA(_xlfn.XLOOKUP(Data[[#This Row],[unqid]],'Quipt Prod Data'!L:L,'Quipt Prod Data'!B:B),"")</f>
        <v/>
      </c>
      <c r="E2" s="1" t="str">
        <f>_xlfn.IFNA(_xlfn.XMATCH(Data[[#This Row],[unqid]],'Quipt Prod Data'!L:L,0),"")</f>
        <v/>
      </c>
      <c r="F2" s="1" t="str">
        <f>IF(COUNTIF('Quipt Prod Data'!L:L,Data[[#This Row],[unqid]])=0,"",COUNTIF('Quipt Prod Data'!L:L,Data[[#This Row],[unqid]]))</f>
        <v/>
      </c>
    </row>
    <row r="3" spans="1:6" x14ac:dyDescent="0.3">
      <c r="A3" t="s">
        <v>287</v>
      </c>
      <c r="B3" t="s">
        <v>26</v>
      </c>
      <c r="C3" t="s">
        <v>27</v>
      </c>
      <c r="D3" s="1" t="str">
        <f>_xlfn.IFNA(_xlfn.XLOOKUP(Data[[#This Row],[unqid]],'Quipt Prod Data'!L:L,'Quipt Prod Data'!B:B),"")</f>
        <v/>
      </c>
      <c r="E3" s="1" t="str">
        <f>_xlfn.IFNA(_xlfn.XMATCH(Data[[#This Row],[unqid]],'Quipt Prod Data'!L:L,0),"")</f>
        <v/>
      </c>
      <c r="F3" s="1" t="str">
        <f>IF(COUNTIF('Quipt Prod Data'!L:L,Data[[#This Row],[unqid]])=0,"",COUNTIF('Quipt Prod Data'!L:L,Data[[#This Row],[unqid]]))</f>
        <v/>
      </c>
    </row>
    <row r="4" spans="1:6" x14ac:dyDescent="0.3">
      <c r="A4" t="s">
        <v>288</v>
      </c>
      <c r="B4" t="s">
        <v>28</v>
      </c>
      <c r="C4" t="s">
        <v>27</v>
      </c>
      <c r="D4" s="1" t="str">
        <f>_xlfn.IFNA(_xlfn.XLOOKUP(Data[[#This Row],[unqid]],'Quipt Prod Data'!L:L,'Quipt Prod Data'!B:B),"")</f>
        <v/>
      </c>
      <c r="E4" s="1" t="str">
        <f>_xlfn.IFNA(_xlfn.XMATCH(Data[[#This Row],[unqid]],'Quipt Prod Data'!L:L,0),"")</f>
        <v/>
      </c>
      <c r="F4" s="1" t="str">
        <f>IF(COUNTIF('Quipt Prod Data'!L:L,Data[[#This Row],[unqid]])=0,"",COUNTIF('Quipt Prod Data'!L:L,Data[[#This Row],[unqid]]))</f>
        <v/>
      </c>
    </row>
    <row r="5" spans="1:6" x14ac:dyDescent="0.3">
      <c r="A5" t="s">
        <v>289</v>
      </c>
      <c r="B5" t="s">
        <v>28</v>
      </c>
      <c r="C5" t="s">
        <v>27</v>
      </c>
      <c r="D5" s="1" t="str">
        <f>_xlfn.IFNA(_xlfn.XLOOKUP(Data[[#This Row],[unqid]],'Quipt Prod Data'!L:L,'Quipt Prod Data'!B:B),"")</f>
        <v/>
      </c>
      <c r="E5" s="1" t="str">
        <f>_xlfn.IFNA(_xlfn.XMATCH(Data[[#This Row],[unqid]],'Quipt Prod Data'!L:L,0),"")</f>
        <v/>
      </c>
      <c r="F5" s="1" t="str">
        <f>IF(COUNTIF('Quipt Prod Data'!L:L,Data[[#This Row],[unqid]])=0,"",COUNTIF('Quipt Prod Data'!L:L,Data[[#This Row],[unqid]]))</f>
        <v/>
      </c>
    </row>
    <row r="6" spans="1:6" x14ac:dyDescent="0.3">
      <c r="A6" t="s">
        <v>290</v>
      </c>
      <c r="B6" t="s">
        <v>26</v>
      </c>
      <c r="C6" t="s">
        <v>27</v>
      </c>
      <c r="D6" s="1" t="str">
        <f>_xlfn.IFNA(_xlfn.XLOOKUP(Data[[#This Row],[unqid]],'Quipt Prod Data'!L:L,'Quipt Prod Data'!B:B),"")</f>
        <v/>
      </c>
      <c r="E6" s="1" t="str">
        <f>_xlfn.IFNA(_xlfn.XMATCH(Data[[#This Row],[unqid]],'Quipt Prod Data'!L:L,0),"")</f>
        <v/>
      </c>
      <c r="F6" s="1" t="str">
        <f>IF(COUNTIF('Quipt Prod Data'!L:L,Data[[#This Row],[unqid]])=0,"",COUNTIF('Quipt Prod Data'!L:L,Data[[#This Row],[unqid]]))</f>
        <v/>
      </c>
    </row>
    <row r="7" spans="1:6" x14ac:dyDescent="0.3">
      <c r="A7" t="s">
        <v>291</v>
      </c>
      <c r="B7" t="s">
        <v>29</v>
      </c>
      <c r="C7" t="s">
        <v>27</v>
      </c>
      <c r="D7" s="1" t="str">
        <f>_xlfn.IFNA(_xlfn.XLOOKUP(Data[[#This Row],[unqid]],'Quipt Prod Data'!L:L,'Quipt Prod Data'!B:B),"")</f>
        <v/>
      </c>
      <c r="E7" s="1" t="str">
        <f>_xlfn.IFNA(_xlfn.XMATCH(Data[[#This Row],[unqid]],'Quipt Prod Data'!L:L,0),"")</f>
        <v/>
      </c>
      <c r="F7" s="1" t="str">
        <f>IF(COUNTIF('Quipt Prod Data'!L:L,Data[[#This Row],[unqid]])=0,"",COUNTIF('Quipt Prod Data'!L:L,Data[[#This Row],[unqid]]))</f>
        <v/>
      </c>
    </row>
    <row r="8" spans="1:6" x14ac:dyDescent="0.3">
      <c r="A8" t="s">
        <v>292</v>
      </c>
      <c r="B8" t="s">
        <v>30</v>
      </c>
      <c r="C8" t="s">
        <v>27</v>
      </c>
      <c r="D8" s="1" t="str">
        <f>_xlfn.IFNA(_xlfn.XLOOKUP(Data[[#This Row],[unqid]],'Quipt Prod Data'!L:L,'Quipt Prod Data'!B:B),"")</f>
        <v/>
      </c>
      <c r="E8" s="1" t="str">
        <f>_xlfn.IFNA(_xlfn.XMATCH(Data[[#This Row],[unqid]],'Quipt Prod Data'!L:L,0),"")</f>
        <v/>
      </c>
      <c r="F8" s="1" t="str">
        <f>IF(COUNTIF('Quipt Prod Data'!L:L,Data[[#This Row],[unqid]])=0,"",COUNTIF('Quipt Prod Data'!L:L,Data[[#This Row],[unqid]]))</f>
        <v/>
      </c>
    </row>
    <row r="9" spans="1:6" x14ac:dyDescent="0.3">
      <c r="A9" t="s">
        <v>293</v>
      </c>
      <c r="B9" t="s">
        <v>26</v>
      </c>
      <c r="C9" t="s">
        <v>27</v>
      </c>
      <c r="D9" s="1" t="str">
        <f>_xlfn.IFNA(_xlfn.XLOOKUP(Data[[#This Row],[unqid]],'Quipt Prod Data'!L:L,'Quipt Prod Data'!B:B),"")</f>
        <v/>
      </c>
      <c r="E9" s="1" t="str">
        <f>_xlfn.IFNA(_xlfn.XMATCH(Data[[#This Row],[unqid]],'Quipt Prod Data'!L:L,0),"")</f>
        <v/>
      </c>
      <c r="F9" s="1" t="str">
        <f>IF(COUNTIF('Quipt Prod Data'!L:L,Data[[#This Row],[unqid]])=0,"",COUNTIF('Quipt Prod Data'!L:L,Data[[#This Row],[unqid]]))</f>
        <v/>
      </c>
    </row>
    <row r="10" spans="1:6" x14ac:dyDescent="0.3">
      <c r="A10" t="s">
        <v>275</v>
      </c>
      <c r="B10" t="s">
        <v>31</v>
      </c>
      <c r="C10" t="s">
        <v>27</v>
      </c>
      <c r="D10" s="1" t="str">
        <f>_xlfn.IFNA(_xlfn.XLOOKUP(Data[[#This Row],[unqid]],'Quipt Prod Data'!L:L,'Quipt Prod Data'!B:B),"")</f>
        <v>Portal Quipt-PTCall</v>
      </c>
      <c r="E10" s="1">
        <f>_xlfn.IFNA(_xlfn.XMATCH(Data[[#This Row],[unqid]],'Quipt Prod Data'!L:L,0),"")</f>
        <v>105</v>
      </c>
      <c r="F10" s="1">
        <f>IF(COUNTIF('Quipt Prod Data'!L:L,Data[[#This Row],[unqid]])=0,"",COUNTIF('Quipt Prod Data'!L:L,Data[[#This Row],[unqid]]))</f>
        <v>1</v>
      </c>
    </row>
    <row r="11" spans="1:6" x14ac:dyDescent="0.3">
      <c r="A11" t="s">
        <v>294</v>
      </c>
      <c r="B11" t="s">
        <v>30</v>
      </c>
      <c r="C11" t="s">
        <v>27</v>
      </c>
      <c r="D11" s="1" t="str">
        <f>_xlfn.IFNA(_xlfn.XLOOKUP(Data[[#This Row],[unqid]],'Quipt Prod Data'!L:L,'Quipt Prod Data'!B:B),"")</f>
        <v/>
      </c>
      <c r="E11" s="1" t="str">
        <f>_xlfn.IFNA(_xlfn.XMATCH(Data[[#This Row],[unqid]],'Quipt Prod Data'!L:L,0),"")</f>
        <v/>
      </c>
      <c r="F11" s="1" t="str">
        <f>IF(COUNTIF('Quipt Prod Data'!L:L,Data[[#This Row],[unqid]])=0,"",COUNTIF('Quipt Prod Data'!L:L,Data[[#This Row],[unqid]]))</f>
        <v/>
      </c>
    </row>
    <row r="12" spans="1:6" x14ac:dyDescent="0.3">
      <c r="A12" t="s">
        <v>295</v>
      </c>
      <c r="B12" t="s">
        <v>26</v>
      </c>
      <c r="C12" t="s">
        <v>27</v>
      </c>
      <c r="D12" s="1" t="str">
        <f>_xlfn.IFNA(_xlfn.XLOOKUP(Data[[#This Row],[unqid]],'Quipt Prod Data'!L:L,'Quipt Prod Data'!B:B),"")</f>
        <v/>
      </c>
      <c r="E12" s="1" t="str">
        <f>_xlfn.IFNA(_xlfn.XMATCH(Data[[#This Row],[unqid]],'Quipt Prod Data'!L:L,0),"")</f>
        <v/>
      </c>
      <c r="F12" s="1" t="str">
        <f>IF(COUNTIF('Quipt Prod Data'!L:L,Data[[#This Row],[unqid]])=0,"",COUNTIF('Quipt Prod Data'!L:L,Data[[#This Row],[unqid]]))</f>
        <v/>
      </c>
    </row>
    <row r="13" spans="1:6" x14ac:dyDescent="0.3">
      <c r="A13" t="s">
        <v>296</v>
      </c>
      <c r="B13" t="s">
        <v>26</v>
      </c>
      <c r="C13" t="s">
        <v>27</v>
      </c>
      <c r="D13" s="1" t="str">
        <f>_xlfn.IFNA(_xlfn.XLOOKUP(Data[[#This Row],[unqid]],'Quipt Prod Data'!L:L,'Quipt Prod Data'!B:B),"")</f>
        <v/>
      </c>
      <c r="E13" s="1" t="str">
        <f>_xlfn.IFNA(_xlfn.XMATCH(Data[[#This Row],[unqid]],'Quipt Prod Data'!L:L,0),"")</f>
        <v/>
      </c>
      <c r="F13" s="1" t="str">
        <f>IF(COUNTIF('Quipt Prod Data'!L:L,Data[[#This Row],[unqid]])=0,"",COUNTIF('Quipt Prod Data'!L:L,Data[[#This Row],[unqid]]))</f>
        <v/>
      </c>
    </row>
    <row r="14" spans="1:6" x14ac:dyDescent="0.3">
      <c r="A14" t="s">
        <v>297</v>
      </c>
      <c r="B14" t="s">
        <v>30</v>
      </c>
      <c r="C14" t="s">
        <v>27</v>
      </c>
      <c r="D14" s="1" t="str">
        <f>_xlfn.IFNA(_xlfn.XLOOKUP(Data[[#This Row],[unqid]],'Quipt Prod Data'!L:L,'Quipt Prod Data'!B:B),"")</f>
        <v/>
      </c>
      <c r="E14" s="1" t="str">
        <f>_xlfn.IFNA(_xlfn.XMATCH(Data[[#This Row],[unqid]],'Quipt Prod Data'!L:L,0),"")</f>
        <v/>
      </c>
      <c r="F14" s="1" t="str">
        <f>IF(COUNTIF('Quipt Prod Data'!L:L,Data[[#This Row],[unqid]])=0,"",COUNTIF('Quipt Prod Data'!L:L,Data[[#This Row],[unqid]]))</f>
        <v/>
      </c>
    </row>
    <row r="15" spans="1:6" x14ac:dyDescent="0.3">
      <c r="A15" t="s">
        <v>298</v>
      </c>
      <c r="B15" t="s">
        <v>26</v>
      </c>
      <c r="C15" t="s">
        <v>27</v>
      </c>
      <c r="D15" s="1" t="str">
        <f>_xlfn.IFNA(_xlfn.XLOOKUP(Data[[#This Row],[unqid]],'Quipt Prod Data'!L:L,'Quipt Prod Data'!B:B),"")</f>
        <v/>
      </c>
      <c r="E15" s="1" t="str">
        <f>_xlfn.IFNA(_xlfn.XMATCH(Data[[#This Row],[unqid]],'Quipt Prod Data'!L:L,0),"")</f>
        <v/>
      </c>
      <c r="F15" s="1" t="str">
        <f>IF(COUNTIF('Quipt Prod Data'!L:L,Data[[#This Row],[unqid]])=0,"",COUNTIF('Quipt Prod Data'!L:L,Data[[#This Row],[unqid]]))</f>
        <v/>
      </c>
    </row>
    <row r="16" spans="1:6" x14ac:dyDescent="0.3">
      <c r="A16" t="s">
        <v>299</v>
      </c>
      <c r="B16" t="s">
        <v>26</v>
      </c>
      <c r="C16" t="s">
        <v>27</v>
      </c>
      <c r="D16" s="1" t="str">
        <f>_xlfn.IFNA(_xlfn.XLOOKUP(Data[[#This Row],[unqid]],'Quipt Prod Data'!L:L,'Quipt Prod Data'!B:B),"")</f>
        <v/>
      </c>
      <c r="E16" s="1" t="str">
        <f>_xlfn.IFNA(_xlfn.XMATCH(Data[[#This Row],[unqid]],'Quipt Prod Data'!L:L,0),"")</f>
        <v/>
      </c>
      <c r="F16" s="1" t="str">
        <f>IF(COUNTIF('Quipt Prod Data'!L:L,Data[[#This Row],[unqid]])=0,"",COUNTIF('Quipt Prod Data'!L:L,Data[[#This Row],[unqid]]))</f>
        <v/>
      </c>
    </row>
    <row r="17" spans="1:6" x14ac:dyDescent="0.3">
      <c r="A17" t="s">
        <v>300</v>
      </c>
      <c r="B17" t="s">
        <v>32</v>
      </c>
      <c r="C17" t="s">
        <v>27</v>
      </c>
      <c r="D17" s="1" t="str">
        <f>_xlfn.IFNA(_xlfn.XLOOKUP(Data[[#This Row],[unqid]],'Quipt Prod Data'!L:L,'Quipt Prod Data'!B:B),"")</f>
        <v/>
      </c>
      <c r="E17" s="1" t="str">
        <f>_xlfn.IFNA(_xlfn.XMATCH(Data[[#This Row],[unqid]],'Quipt Prod Data'!L:L,0),"")</f>
        <v/>
      </c>
      <c r="F17" s="1" t="str">
        <f>IF(COUNTIF('Quipt Prod Data'!L:L,Data[[#This Row],[unqid]])=0,"",COUNTIF('Quipt Prod Data'!L:L,Data[[#This Row],[unqid]]))</f>
        <v/>
      </c>
    </row>
    <row r="18" spans="1:6" x14ac:dyDescent="0.3">
      <c r="A18" t="s">
        <v>301</v>
      </c>
      <c r="B18" t="s">
        <v>32</v>
      </c>
      <c r="C18" t="s">
        <v>27</v>
      </c>
      <c r="D18" s="1" t="str">
        <f>_xlfn.IFNA(_xlfn.XLOOKUP(Data[[#This Row],[unqid]],'Quipt Prod Data'!L:L,'Quipt Prod Data'!B:B),"")</f>
        <v/>
      </c>
      <c r="E18" s="1" t="str">
        <f>_xlfn.IFNA(_xlfn.XMATCH(Data[[#This Row],[unqid]],'Quipt Prod Data'!L:L,0),"")</f>
        <v/>
      </c>
      <c r="F18" s="1" t="str">
        <f>IF(COUNTIF('Quipt Prod Data'!L:L,Data[[#This Row],[unqid]])=0,"",COUNTIF('Quipt Prod Data'!L:L,Data[[#This Row],[unqid]]))</f>
        <v/>
      </c>
    </row>
    <row r="19" spans="1:6" x14ac:dyDescent="0.3">
      <c r="A19" t="s">
        <v>302</v>
      </c>
      <c r="B19" t="s">
        <v>32</v>
      </c>
      <c r="C19" t="s">
        <v>27</v>
      </c>
      <c r="D19" s="1" t="str">
        <f>_xlfn.IFNA(_xlfn.XLOOKUP(Data[[#This Row],[unqid]],'Quipt Prod Data'!L:L,'Quipt Prod Data'!B:B),"")</f>
        <v/>
      </c>
      <c r="E19" s="1" t="str">
        <f>_xlfn.IFNA(_xlfn.XMATCH(Data[[#This Row],[unqid]],'Quipt Prod Data'!L:L,0),"")</f>
        <v/>
      </c>
      <c r="F19" s="1" t="str">
        <f>IF(COUNTIF('Quipt Prod Data'!L:L,Data[[#This Row],[unqid]])=0,"",COUNTIF('Quipt Prod Data'!L:L,Data[[#This Row],[unqid]]))</f>
        <v/>
      </c>
    </row>
    <row r="20" spans="1:6" x14ac:dyDescent="0.3">
      <c r="A20" t="s">
        <v>303</v>
      </c>
      <c r="B20" t="s">
        <v>28</v>
      </c>
      <c r="C20" t="s">
        <v>27</v>
      </c>
      <c r="D20" s="1" t="str">
        <f>_xlfn.IFNA(_xlfn.XLOOKUP(Data[[#This Row],[unqid]],'Quipt Prod Data'!L:L,'Quipt Prod Data'!B:B),"")</f>
        <v/>
      </c>
      <c r="E20" s="1" t="str">
        <f>_xlfn.IFNA(_xlfn.XMATCH(Data[[#This Row],[unqid]],'Quipt Prod Data'!L:L,0),"")</f>
        <v/>
      </c>
      <c r="F20" s="1" t="str">
        <f>IF(COUNTIF('Quipt Prod Data'!L:L,Data[[#This Row],[unqid]])=0,"",COUNTIF('Quipt Prod Data'!L:L,Data[[#This Row],[unqid]]))</f>
        <v/>
      </c>
    </row>
    <row r="21" spans="1:6" x14ac:dyDescent="0.3">
      <c r="A21" t="s">
        <v>304</v>
      </c>
      <c r="B21" t="s">
        <v>26</v>
      </c>
      <c r="C21" t="s">
        <v>27</v>
      </c>
      <c r="D21" s="1" t="str">
        <f>_xlfn.IFNA(_xlfn.XLOOKUP(Data[[#This Row],[unqid]],'Quipt Prod Data'!L:L,'Quipt Prod Data'!B:B),"")</f>
        <v/>
      </c>
      <c r="E21" s="1" t="str">
        <f>_xlfn.IFNA(_xlfn.XMATCH(Data[[#This Row],[unqid]],'Quipt Prod Data'!L:L,0),"")</f>
        <v/>
      </c>
      <c r="F21" s="1" t="str">
        <f>IF(COUNTIF('Quipt Prod Data'!L:L,Data[[#This Row],[unqid]])=0,"",COUNTIF('Quipt Prod Data'!L:L,Data[[#This Row],[unqid]]))</f>
        <v/>
      </c>
    </row>
    <row r="22" spans="1:6" x14ac:dyDescent="0.3">
      <c r="A22" t="s">
        <v>305</v>
      </c>
      <c r="B22" t="s">
        <v>26</v>
      </c>
      <c r="C22" t="s">
        <v>27</v>
      </c>
      <c r="D22" s="1" t="str">
        <f>_xlfn.IFNA(_xlfn.XLOOKUP(Data[[#This Row],[unqid]],'Quipt Prod Data'!L:L,'Quipt Prod Data'!B:B),"")</f>
        <v/>
      </c>
      <c r="E22" s="1" t="str">
        <f>_xlfn.IFNA(_xlfn.XMATCH(Data[[#This Row],[unqid]],'Quipt Prod Data'!L:L,0),"")</f>
        <v/>
      </c>
      <c r="F22" s="1" t="str">
        <f>IF(COUNTIF('Quipt Prod Data'!L:L,Data[[#This Row],[unqid]])=0,"",COUNTIF('Quipt Prod Data'!L:L,Data[[#This Row],[unqid]]))</f>
        <v/>
      </c>
    </row>
    <row r="23" spans="1:6" x14ac:dyDescent="0.3">
      <c r="A23" t="s">
        <v>306</v>
      </c>
      <c r="B23" t="s">
        <v>33</v>
      </c>
      <c r="C23" t="s">
        <v>27</v>
      </c>
      <c r="D23" s="1" t="str">
        <f>_xlfn.IFNA(_xlfn.XLOOKUP(Data[[#This Row],[unqid]],'Quipt Prod Data'!L:L,'Quipt Prod Data'!B:B),"")</f>
        <v/>
      </c>
      <c r="E23" s="1" t="str">
        <f>_xlfn.IFNA(_xlfn.XMATCH(Data[[#This Row],[unqid]],'Quipt Prod Data'!L:L,0),"")</f>
        <v/>
      </c>
      <c r="F23" s="1" t="str">
        <f>IF(COUNTIF('Quipt Prod Data'!L:L,Data[[#This Row],[unqid]])=0,"",COUNTIF('Quipt Prod Data'!L:L,Data[[#This Row],[unqid]]))</f>
        <v/>
      </c>
    </row>
    <row r="24" spans="1:6" x14ac:dyDescent="0.3">
      <c r="A24" t="s">
        <v>307</v>
      </c>
      <c r="B24" t="s">
        <v>33</v>
      </c>
      <c r="C24" t="s">
        <v>27</v>
      </c>
      <c r="D24" s="1" t="str">
        <f>_xlfn.IFNA(_xlfn.XLOOKUP(Data[[#This Row],[unqid]],'Quipt Prod Data'!L:L,'Quipt Prod Data'!B:B),"")</f>
        <v/>
      </c>
      <c r="E24" s="1" t="str">
        <f>_xlfn.IFNA(_xlfn.XMATCH(Data[[#This Row],[unqid]],'Quipt Prod Data'!L:L,0),"")</f>
        <v/>
      </c>
      <c r="F24" s="1" t="str">
        <f>IF(COUNTIF('Quipt Prod Data'!L:L,Data[[#This Row],[unqid]])=0,"",COUNTIF('Quipt Prod Data'!L:L,Data[[#This Row],[unqid]]))</f>
        <v/>
      </c>
    </row>
    <row r="25" spans="1:6" x14ac:dyDescent="0.3">
      <c r="A25" t="s">
        <v>308</v>
      </c>
      <c r="B25" t="s">
        <v>32</v>
      </c>
      <c r="C25" t="s">
        <v>27</v>
      </c>
      <c r="D25" s="1" t="str">
        <f>_xlfn.IFNA(_xlfn.XLOOKUP(Data[[#This Row],[unqid]],'Quipt Prod Data'!L:L,'Quipt Prod Data'!B:B),"")</f>
        <v/>
      </c>
      <c r="E25" s="1" t="str">
        <f>_xlfn.IFNA(_xlfn.XMATCH(Data[[#This Row],[unqid]],'Quipt Prod Data'!L:L,0),"")</f>
        <v/>
      </c>
      <c r="F25" s="1" t="str">
        <f>IF(COUNTIF('Quipt Prod Data'!L:L,Data[[#This Row],[unqid]])=0,"",COUNTIF('Quipt Prod Data'!L:L,Data[[#This Row],[unqid]]))</f>
        <v/>
      </c>
    </row>
    <row r="26" spans="1:6" x14ac:dyDescent="0.3">
      <c r="A26" t="s">
        <v>309</v>
      </c>
      <c r="B26" t="s">
        <v>32</v>
      </c>
      <c r="C26" t="s">
        <v>27</v>
      </c>
      <c r="D26" s="1" t="str">
        <f>_xlfn.IFNA(_xlfn.XLOOKUP(Data[[#This Row],[unqid]],'Quipt Prod Data'!L:L,'Quipt Prod Data'!B:B),"")</f>
        <v/>
      </c>
      <c r="E26" s="1" t="str">
        <f>_xlfn.IFNA(_xlfn.XMATCH(Data[[#This Row],[unqid]],'Quipt Prod Data'!L:L,0),"")</f>
        <v/>
      </c>
      <c r="F26" s="1" t="str">
        <f>IF(COUNTIF('Quipt Prod Data'!L:L,Data[[#This Row],[unqid]])=0,"",COUNTIF('Quipt Prod Data'!L:L,Data[[#This Row],[unqid]]))</f>
        <v/>
      </c>
    </row>
    <row r="27" spans="1:6" x14ac:dyDescent="0.3">
      <c r="A27" t="s">
        <v>310</v>
      </c>
      <c r="B27" t="s">
        <v>32</v>
      </c>
      <c r="C27" t="s">
        <v>27</v>
      </c>
      <c r="D27" s="1" t="str">
        <f>_xlfn.IFNA(_xlfn.XLOOKUP(Data[[#This Row],[unqid]],'Quipt Prod Data'!L:L,'Quipt Prod Data'!B:B),"")</f>
        <v/>
      </c>
      <c r="E27" s="1" t="str">
        <f>_xlfn.IFNA(_xlfn.XMATCH(Data[[#This Row],[unqid]],'Quipt Prod Data'!L:L,0),"")</f>
        <v/>
      </c>
      <c r="F27" s="1" t="str">
        <f>IF(COUNTIF('Quipt Prod Data'!L:L,Data[[#This Row],[unqid]])=0,"",COUNTIF('Quipt Prod Data'!L:L,Data[[#This Row],[unqid]]))</f>
        <v/>
      </c>
    </row>
    <row r="28" spans="1:6" x14ac:dyDescent="0.3">
      <c r="A28" t="s">
        <v>311</v>
      </c>
      <c r="B28" t="s">
        <v>26</v>
      </c>
      <c r="C28" t="s">
        <v>27</v>
      </c>
      <c r="D28" s="1" t="str">
        <f>_xlfn.IFNA(_xlfn.XLOOKUP(Data[[#This Row],[unqid]],'Quipt Prod Data'!L:L,'Quipt Prod Data'!B:B),"")</f>
        <v/>
      </c>
      <c r="E28" s="1" t="str">
        <f>_xlfn.IFNA(_xlfn.XMATCH(Data[[#This Row],[unqid]],'Quipt Prod Data'!L:L,0),"")</f>
        <v/>
      </c>
      <c r="F28" s="1" t="str">
        <f>IF(COUNTIF('Quipt Prod Data'!L:L,Data[[#This Row],[unqid]])=0,"",COUNTIF('Quipt Prod Data'!L:L,Data[[#This Row],[unqid]]))</f>
        <v/>
      </c>
    </row>
    <row r="29" spans="1:6" x14ac:dyDescent="0.3">
      <c r="A29" t="s">
        <v>312</v>
      </c>
      <c r="B29" t="s">
        <v>26</v>
      </c>
      <c r="C29" t="s">
        <v>27</v>
      </c>
      <c r="D29" s="1" t="str">
        <f>_xlfn.IFNA(_xlfn.XLOOKUP(Data[[#This Row],[unqid]],'Quipt Prod Data'!L:L,'Quipt Prod Data'!B:B),"")</f>
        <v/>
      </c>
      <c r="E29" s="1" t="str">
        <f>_xlfn.IFNA(_xlfn.XMATCH(Data[[#This Row],[unqid]],'Quipt Prod Data'!L:L,0),"")</f>
        <v/>
      </c>
      <c r="F29" s="1" t="str">
        <f>IF(COUNTIF('Quipt Prod Data'!L:L,Data[[#This Row],[unqid]])=0,"",COUNTIF('Quipt Prod Data'!L:L,Data[[#This Row],[unqid]]))</f>
        <v/>
      </c>
    </row>
    <row r="30" spans="1:6" x14ac:dyDescent="0.3">
      <c r="A30" t="s">
        <v>313</v>
      </c>
      <c r="B30" t="s">
        <v>32</v>
      </c>
      <c r="C30" t="s">
        <v>27</v>
      </c>
      <c r="D30" s="1" t="str">
        <f>_xlfn.IFNA(_xlfn.XLOOKUP(Data[[#This Row],[unqid]],'Quipt Prod Data'!L:L,'Quipt Prod Data'!B:B),"")</f>
        <v/>
      </c>
      <c r="E30" s="1" t="str">
        <f>_xlfn.IFNA(_xlfn.XMATCH(Data[[#This Row],[unqid]],'Quipt Prod Data'!L:L,0),"")</f>
        <v/>
      </c>
      <c r="F30" s="1" t="str">
        <f>IF(COUNTIF('Quipt Prod Data'!L:L,Data[[#This Row],[unqid]])=0,"",COUNTIF('Quipt Prod Data'!L:L,Data[[#This Row],[unqid]]))</f>
        <v/>
      </c>
    </row>
    <row r="31" spans="1:6" x14ac:dyDescent="0.3">
      <c r="A31" t="s">
        <v>314</v>
      </c>
      <c r="B31" t="s">
        <v>30</v>
      </c>
      <c r="C31" t="s">
        <v>27</v>
      </c>
      <c r="D31" s="1" t="str">
        <f>_xlfn.IFNA(_xlfn.XLOOKUP(Data[[#This Row],[unqid]],'Quipt Prod Data'!L:L,'Quipt Prod Data'!B:B),"")</f>
        <v/>
      </c>
      <c r="E31" s="1" t="str">
        <f>_xlfn.IFNA(_xlfn.XMATCH(Data[[#This Row],[unqid]],'Quipt Prod Data'!L:L,0),"")</f>
        <v/>
      </c>
      <c r="F31" s="1" t="str">
        <f>IF(COUNTIF('Quipt Prod Data'!L:L,Data[[#This Row],[unqid]])=0,"",COUNTIF('Quipt Prod Data'!L:L,Data[[#This Row],[unqid]]))</f>
        <v/>
      </c>
    </row>
    <row r="32" spans="1:6" x14ac:dyDescent="0.3">
      <c r="A32" t="s">
        <v>315</v>
      </c>
      <c r="B32" t="s">
        <v>26</v>
      </c>
      <c r="C32" t="s">
        <v>27</v>
      </c>
      <c r="D32" s="1" t="str">
        <f>_xlfn.IFNA(_xlfn.XLOOKUP(Data[[#This Row],[unqid]],'Quipt Prod Data'!L:L,'Quipt Prod Data'!B:B),"")</f>
        <v/>
      </c>
      <c r="E32" s="1" t="str">
        <f>_xlfn.IFNA(_xlfn.XMATCH(Data[[#This Row],[unqid]],'Quipt Prod Data'!L:L,0),"")</f>
        <v/>
      </c>
      <c r="F32" s="1" t="str">
        <f>IF(COUNTIF('Quipt Prod Data'!L:L,Data[[#This Row],[unqid]])=0,"",COUNTIF('Quipt Prod Data'!L:L,Data[[#This Row],[unqid]]))</f>
        <v/>
      </c>
    </row>
    <row r="33" spans="1:6" x14ac:dyDescent="0.3">
      <c r="A33" t="s">
        <v>316</v>
      </c>
      <c r="B33" t="s">
        <v>30</v>
      </c>
      <c r="C33" t="s">
        <v>27</v>
      </c>
      <c r="D33" s="1" t="str">
        <f>_xlfn.IFNA(_xlfn.XLOOKUP(Data[[#This Row],[unqid]],'Quipt Prod Data'!L:L,'Quipt Prod Data'!B:B),"")</f>
        <v/>
      </c>
      <c r="E33" s="1" t="str">
        <f>_xlfn.IFNA(_xlfn.XMATCH(Data[[#This Row],[unqid]],'Quipt Prod Data'!L:L,0),"")</f>
        <v/>
      </c>
      <c r="F33" s="1" t="str">
        <f>IF(COUNTIF('Quipt Prod Data'!L:L,Data[[#This Row],[unqid]])=0,"",COUNTIF('Quipt Prod Data'!L:L,Data[[#This Row],[unqid]]))</f>
        <v/>
      </c>
    </row>
    <row r="34" spans="1:6" x14ac:dyDescent="0.3">
      <c r="A34" t="s">
        <v>317</v>
      </c>
      <c r="B34" t="s">
        <v>26</v>
      </c>
      <c r="C34" t="s">
        <v>27</v>
      </c>
      <c r="D34" s="1" t="str">
        <f>_xlfn.IFNA(_xlfn.XLOOKUP(Data[[#This Row],[unqid]],'Quipt Prod Data'!L:L,'Quipt Prod Data'!B:B),"")</f>
        <v/>
      </c>
      <c r="E34" s="1" t="str">
        <f>_xlfn.IFNA(_xlfn.XMATCH(Data[[#This Row],[unqid]],'Quipt Prod Data'!L:L,0),"")</f>
        <v/>
      </c>
      <c r="F34" s="1" t="str">
        <f>IF(COUNTIF('Quipt Prod Data'!L:L,Data[[#This Row],[unqid]])=0,"",COUNTIF('Quipt Prod Data'!L:L,Data[[#This Row],[unqid]]))</f>
        <v/>
      </c>
    </row>
    <row r="35" spans="1:6" x14ac:dyDescent="0.3">
      <c r="A35" t="s">
        <v>318</v>
      </c>
      <c r="B35" t="s">
        <v>26</v>
      </c>
      <c r="C35" t="s">
        <v>27</v>
      </c>
      <c r="D35" s="1" t="str">
        <f>_xlfn.IFNA(_xlfn.XLOOKUP(Data[[#This Row],[unqid]],'Quipt Prod Data'!L:L,'Quipt Prod Data'!B:B),"")</f>
        <v/>
      </c>
      <c r="E35" s="1" t="str">
        <f>_xlfn.IFNA(_xlfn.XMATCH(Data[[#This Row],[unqid]],'Quipt Prod Data'!L:L,0),"")</f>
        <v/>
      </c>
      <c r="F35" s="1" t="str">
        <f>IF(COUNTIF('Quipt Prod Data'!L:L,Data[[#This Row],[unqid]])=0,"",COUNTIF('Quipt Prod Data'!L:L,Data[[#This Row],[unqid]]))</f>
        <v/>
      </c>
    </row>
    <row r="36" spans="1:6" x14ac:dyDescent="0.3">
      <c r="A36" t="s">
        <v>319</v>
      </c>
      <c r="B36" t="s">
        <v>26</v>
      </c>
      <c r="C36" t="s">
        <v>27</v>
      </c>
      <c r="D36" s="1" t="str">
        <f>_xlfn.IFNA(_xlfn.XLOOKUP(Data[[#This Row],[unqid]],'Quipt Prod Data'!L:L,'Quipt Prod Data'!B:B),"")</f>
        <v/>
      </c>
      <c r="E36" s="1" t="str">
        <f>_xlfn.IFNA(_xlfn.XMATCH(Data[[#This Row],[unqid]],'Quipt Prod Data'!L:L,0),"")</f>
        <v/>
      </c>
      <c r="F36" s="1" t="str">
        <f>IF(COUNTIF('Quipt Prod Data'!L:L,Data[[#This Row],[unqid]])=0,"",COUNTIF('Quipt Prod Data'!L:L,Data[[#This Row],[unqid]]))</f>
        <v/>
      </c>
    </row>
    <row r="37" spans="1:6" x14ac:dyDescent="0.3">
      <c r="A37" t="s">
        <v>320</v>
      </c>
      <c r="B37" t="s">
        <v>26</v>
      </c>
      <c r="C37" t="s">
        <v>27</v>
      </c>
      <c r="D37" s="1" t="str">
        <f>_xlfn.IFNA(_xlfn.XLOOKUP(Data[[#This Row],[unqid]],'Quipt Prod Data'!L:L,'Quipt Prod Data'!B:B),"")</f>
        <v/>
      </c>
      <c r="E37" s="1" t="str">
        <f>_xlfn.IFNA(_xlfn.XMATCH(Data[[#This Row],[unqid]],'Quipt Prod Data'!L:L,0),"")</f>
        <v/>
      </c>
      <c r="F37" s="1" t="str">
        <f>IF(COUNTIF('Quipt Prod Data'!L:L,Data[[#This Row],[unqid]])=0,"",COUNTIF('Quipt Prod Data'!L:L,Data[[#This Row],[unqid]]))</f>
        <v/>
      </c>
    </row>
    <row r="38" spans="1:6" x14ac:dyDescent="0.3">
      <c r="A38" t="s">
        <v>321</v>
      </c>
      <c r="B38" t="s">
        <v>26</v>
      </c>
      <c r="C38" t="s">
        <v>27</v>
      </c>
      <c r="D38" s="1" t="str">
        <f>_xlfn.IFNA(_xlfn.XLOOKUP(Data[[#This Row],[unqid]],'Quipt Prod Data'!L:L,'Quipt Prod Data'!B:B),"")</f>
        <v/>
      </c>
      <c r="E38" s="1" t="str">
        <f>_xlfn.IFNA(_xlfn.XMATCH(Data[[#This Row],[unqid]],'Quipt Prod Data'!L:L,0),"")</f>
        <v/>
      </c>
      <c r="F38" s="1" t="str">
        <f>IF(COUNTIF('Quipt Prod Data'!L:L,Data[[#This Row],[unqid]])=0,"",COUNTIF('Quipt Prod Data'!L:L,Data[[#This Row],[unqid]]))</f>
        <v/>
      </c>
    </row>
    <row r="39" spans="1:6" x14ac:dyDescent="0.3">
      <c r="A39" t="s">
        <v>322</v>
      </c>
      <c r="B39" t="s">
        <v>26</v>
      </c>
      <c r="C39" t="s">
        <v>27</v>
      </c>
      <c r="D39" s="1" t="str">
        <f>_xlfn.IFNA(_xlfn.XLOOKUP(Data[[#This Row],[unqid]],'Quipt Prod Data'!L:L,'Quipt Prod Data'!B:B),"")</f>
        <v/>
      </c>
      <c r="E39" s="1" t="str">
        <f>_xlfn.IFNA(_xlfn.XMATCH(Data[[#This Row],[unqid]],'Quipt Prod Data'!L:L,0),"")</f>
        <v/>
      </c>
      <c r="F39" s="1" t="str">
        <f>IF(COUNTIF('Quipt Prod Data'!L:L,Data[[#This Row],[unqid]])=0,"",COUNTIF('Quipt Prod Data'!L:L,Data[[#This Row],[unqid]]))</f>
        <v/>
      </c>
    </row>
    <row r="40" spans="1:6" x14ac:dyDescent="0.3">
      <c r="A40" t="s">
        <v>323</v>
      </c>
      <c r="B40" t="s">
        <v>26</v>
      </c>
      <c r="C40" t="s">
        <v>27</v>
      </c>
      <c r="D40" s="1" t="str">
        <f>_xlfn.IFNA(_xlfn.XLOOKUP(Data[[#This Row],[unqid]],'Quipt Prod Data'!L:L,'Quipt Prod Data'!B:B),"")</f>
        <v/>
      </c>
      <c r="E40" s="1" t="str">
        <f>_xlfn.IFNA(_xlfn.XMATCH(Data[[#This Row],[unqid]],'Quipt Prod Data'!L:L,0),"")</f>
        <v/>
      </c>
      <c r="F40" s="1" t="str">
        <f>IF(COUNTIF('Quipt Prod Data'!L:L,Data[[#This Row],[unqid]])=0,"",COUNTIF('Quipt Prod Data'!L:L,Data[[#This Row],[unqid]]))</f>
        <v/>
      </c>
    </row>
    <row r="41" spans="1:6" x14ac:dyDescent="0.3">
      <c r="A41" t="s">
        <v>324</v>
      </c>
      <c r="B41" t="s">
        <v>26</v>
      </c>
      <c r="C41" t="s">
        <v>27</v>
      </c>
      <c r="D41" s="1" t="str">
        <f>_xlfn.IFNA(_xlfn.XLOOKUP(Data[[#This Row],[unqid]],'Quipt Prod Data'!L:L,'Quipt Prod Data'!B:B),"")</f>
        <v/>
      </c>
      <c r="E41" s="1" t="str">
        <f>_xlfn.IFNA(_xlfn.XMATCH(Data[[#This Row],[unqid]],'Quipt Prod Data'!L:L,0),"")</f>
        <v/>
      </c>
      <c r="F41" s="1" t="str">
        <f>IF(COUNTIF('Quipt Prod Data'!L:L,Data[[#This Row],[unqid]])=0,"",COUNTIF('Quipt Prod Data'!L:L,Data[[#This Row],[unqid]]))</f>
        <v/>
      </c>
    </row>
    <row r="42" spans="1:6" x14ac:dyDescent="0.3">
      <c r="A42" t="s">
        <v>325</v>
      </c>
      <c r="B42" t="s">
        <v>32</v>
      </c>
      <c r="C42" t="s">
        <v>27</v>
      </c>
      <c r="D42" s="1" t="str">
        <f>_xlfn.IFNA(_xlfn.XLOOKUP(Data[[#This Row],[unqid]],'Quipt Prod Data'!L:L,'Quipt Prod Data'!B:B),"")</f>
        <v/>
      </c>
      <c r="E42" s="1" t="str">
        <f>_xlfn.IFNA(_xlfn.XMATCH(Data[[#This Row],[unqid]],'Quipt Prod Data'!L:L,0),"")</f>
        <v/>
      </c>
      <c r="F42" s="1" t="str">
        <f>IF(COUNTIF('Quipt Prod Data'!L:L,Data[[#This Row],[unqid]])=0,"",COUNTIF('Quipt Prod Data'!L:L,Data[[#This Row],[unqid]]))</f>
        <v/>
      </c>
    </row>
    <row r="43" spans="1:6" x14ac:dyDescent="0.3">
      <c r="A43" t="s">
        <v>326</v>
      </c>
      <c r="B43" t="s">
        <v>34</v>
      </c>
      <c r="C43" t="s">
        <v>27</v>
      </c>
      <c r="D43" s="1" t="str">
        <f>_xlfn.IFNA(_xlfn.XLOOKUP(Data[[#This Row],[unqid]],'Quipt Prod Data'!L:L,'Quipt Prod Data'!B:B),"")</f>
        <v/>
      </c>
      <c r="E43" s="1" t="str">
        <f>_xlfn.IFNA(_xlfn.XMATCH(Data[[#This Row],[unqid]],'Quipt Prod Data'!L:L,0),"")</f>
        <v/>
      </c>
      <c r="F43" s="1" t="str">
        <f>IF(COUNTIF('Quipt Prod Data'!L:L,Data[[#This Row],[unqid]])=0,"",COUNTIF('Quipt Prod Data'!L:L,Data[[#This Row],[unqid]]))</f>
        <v/>
      </c>
    </row>
    <row r="44" spans="1:6" x14ac:dyDescent="0.3">
      <c r="A44" t="s">
        <v>327</v>
      </c>
      <c r="B44" t="s">
        <v>26</v>
      </c>
      <c r="C44" t="s">
        <v>27</v>
      </c>
      <c r="D44" s="1" t="str">
        <f>_xlfn.IFNA(_xlfn.XLOOKUP(Data[[#This Row],[unqid]],'Quipt Prod Data'!L:L,'Quipt Prod Data'!B:B),"")</f>
        <v/>
      </c>
      <c r="E44" s="1" t="str">
        <f>_xlfn.IFNA(_xlfn.XMATCH(Data[[#This Row],[unqid]],'Quipt Prod Data'!L:L,0),"")</f>
        <v/>
      </c>
      <c r="F44" s="1" t="str">
        <f>IF(COUNTIF('Quipt Prod Data'!L:L,Data[[#This Row],[unqid]])=0,"",COUNTIF('Quipt Prod Data'!L:L,Data[[#This Row],[unqid]]))</f>
        <v/>
      </c>
    </row>
    <row r="45" spans="1:6" x14ac:dyDescent="0.3">
      <c r="A45" t="s">
        <v>328</v>
      </c>
      <c r="B45" t="s">
        <v>26</v>
      </c>
      <c r="C45" t="s">
        <v>27</v>
      </c>
      <c r="D45" s="1" t="str">
        <f>_xlfn.IFNA(_xlfn.XLOOKUP(Data[[#This Row],[unqid]],'Quipt Prod Data'!L:L,'Quipt Prod Data'!B:B),"")</f>
        <v/>
      </c>
      <c r="E45" s="1" t="str">
        <f>_xlfn.IFNA(_xlfn.XMATCH(Data[[#This Row],[unqid]],'Quipt Prod Data'!L:L,0),"")</f>
        <v/>
      </c>
      <c r="F45" s="1" t="str">
        <f>IF(COUNTIF('Quipt Prod Data'!L:L,Data[[#This Row],[unqid]])=0,"",COUNTIF('Quipt Prod Data'!L:L,Data[[#This Row],[unqid]]))</f>
        <v/>
      </c>
    </row>
    <row r="46" spans="1:6" x14ac:dyDescent="0.3">
      <c r="A46" t="s">
        <v>329</v>
      </c>
      <c r="B46" t="s">
        <v>26</v>
      </c>
      <c r="C46" t="s">
        <v>27</v>
      </c>
      <c r="D46" s="1" t="str">
        <f>_xlfn.IFNA(_xlfn.XLOOKUP(Data[[#This Row],[unqid]],'Quipt Prod Data'!L:L,'Quipt Prod Data'!B:B),"")</f>
        <v/>
      </c>
      <c r="E46" s="1" t="str">
        <f>_xlfn.IFNA(_xlfn.XMATCH(Data[[#This Row],[unqid]],'Quipt Prod Data'!L:L,0),"")</f>
        <v/>
      </c>
      <c r="F46" s="1" t="str">
        <f>IF(COUNTIF('Quipt Prod Data'!L:L,Data[[#This Row],[unqid]])=0,"",COUNTIF('Quipt Prod Data'!L:L,Data[[#This Row],[unqid]]))</f>
        <v/>
      </c>
    </row>
    <row r="47" spans="1:6" x14ac:dyDescent="0.3">
      <c r="A47" t="s">
        <v>330</v>
      </c>
      <c r="B47" t="s">
        <v>26</v>
      </c>
      <c r="C47" t="s">
        <v>27</v>
      </c>
      <c r="D47" s="1" t="str">
        <f>_xlfn.IFNA(_xlfn.XLOOKUP(Data[[#This Row],[unqid]],'Quipt Prod Data'!L:L,'Quipt Prod Data'!B:B),"")</f>
        <v/>
      </c>
      <c r="E47" s="1" t="str">
        <f>_xlfn.IFNA(_xlfn.XMATCH(Data[[#This Row],[unqid]],'Quipt Prod Data'!L:L,0),"")</f>
        <v/>
      </c>
      <c r="F47" s="1" t="str">
        <f>IF(COUNTIF('Quipt Prod Data'!L:L,Data[[#This Row],[unqid]])=0,"",COUNTIF('Quipt Prod Data'!L:L,Data[[#This Row],[unqid]]))</f>
        <v/>
      </c>
    </row>
    <row r="48" spans="1:6" x14ac:dyDescent="0.3">
      <c r="A48" t="s">
        <v>331</v>
      </c>
      <c r="B48" t="s">
        <v>26</v>
      </c>
      <c r="C48" t="s">
        <v>27</v>
      </c>
      <c r="D48" s="1" t="str">
        <f>_xlfn.IFNA(_xlfn.XLOOKUP(Data[[#This Row],[unqid]],'Quipt Prod Data'!L:L,'Quipt Prod Data'!B:B),"")</f>
        <v/>
      </c>
      <c r="E48" s="1" t="str">
        <f>_xlfn.IFNA(_xlfn.XMATCH(Data[[#This Row],[unqid]],'Quipt Prod Data'!L:L,0),"")</f>
        <v/>
      </c>
      <c r="F48" s="1" t="str">
        <f>IF(COUNTIF('Quipt Prod Data'!L:L,Data[[#This Row],[unqid]])=0,"",COUNTIF('Quipt Prod Data'!L:L,Data[[#This Row],[unqid]]))</f>
        <v/>
      </c>
    </row>
    <row r="49" spans="1:6" x14ac:dyDescent="0.3">
      <c r="A49" t="s">
        <v>332</v>
      </c>
      <c r="B49" t="s">
        <v>26</v>
      </c>
      <c r="C49" t="s">
        <v>27</v>
      </c>
      <c r="D49" s="1" t="str">
        <f>_xlfn.IFNA(_xlfn.XLOOKUP(Data[[#This Row],[unqid]],'Quipt Prod Data'!L:L,'Quipt Prod Data'!B:B),"")</f>
        <v/>
      </c>
      <c r="E49" s="1" t="str">
        <f>_xlfn.IFNA(_xlfn.XMATCH(Data[[#This Row],[unqid]],'Quipt Prod Data'!L:L,0),"")</f>
        <v/>
      </c>
      <c r="F49" s="1" t="str">
        <f>IF(COUNTIF('Quipt Prod Data'!L:L,Data[[#This Row],[unqid]])=0,"",COUNTIF('Quipt Prod Data'!L:L,Data[[#This Row],[unqid]]))</f>
        <v/>
      </c>
    </row>
    <row r="50" spans="1:6" x14ac:dyDescent="0.3">
      <c r="A50" t="s">
        <v>333</v>
      </c>
      <c r="B50" t="s">
        <v>26</v>
      </c>
      <c r="C50" t="s">
        <v>27</v>
      </c>
      <c r="D50" s="1" t="str">
        <f>_xlfn.IFNA(_xlfn.XLOOKUP(Data[[#This Row],[unqid]],'Quipt Prod Data'!L:L,'Quipt Prod Data'!B:B),"")</f>
        <v/>
      </c>
      <c r="E50" s="1" t="str">
        <f>_xlfn.IFNA(_xlfn.XMATCH(Data[[#This Row],[unqid]],'Quipt Prod Data'!L:L,0),"")</f>
        <v/>
      </c>
      <c r="F50" s="1" t="str">
        <f>IF(COUNTIF('Quipt Prod Data'!L:L,Data[[#This Row],[unqid]])=0,"",COUNTIF('Quipt Prod Data'!L:L,Data[[#This Row],[unqid]]))</f>
        <v/>
      </c>
    </row>
    <row r="51" spans="1:6" x14ac:dyDescent="0.3">
      <c r="A51" t="s">
        <v>334</v>
      </c>
      <c r="B51" t="s">
        <v>26</v>
      </c>
      <c r="C51" t="s">
        <v>27</v>
      </c>
      <c r="D51" s="1" t="str">
        <f>_xlfn.IFNA(_xlfn.XLOOKUP(Data[[#This Row],[unqid]],'Quipt Prod Data'!L:L,'Quipt Prod Data'!B:B),"")</f>
        <v/>
      </c>
      <c r="E51" s="1" t="str">
        <f>_xlfn.IFNA(_xlfn.XMATCH(Data[[#This Row],[unqid]],'Quipt Prod Data'!L:L,0),"")</f>
        <v/>
      </c>
      <c r="F51" s="1" t="str">
        <f>IF(COUNTIF('Quipt Prod Data'!L:L,Data[[#This Row],[unqid]])=0,"",COUNTIF('Quipt Prod Data'!L:L,Data[[#This Row],[unqid]]))</f>
        <v/>
      </c>
    </row>
    <row r="52" spans="1:6" x14ac:dyDescent="0.3">
      <c r="A52" t="s">
        <v>335</v>
      </c>
      <c r="B52" t="s">
        <v>26</v>
      </c>
      <c r="C52" t="s">
        <v>27</v>
      </c>
      <c r="D52" s="1" t="str">
        <f>_xlfn.IFNA(_xlfn.XLOOKUP(Data[[#This Row],[unqid]],'Quipt Prod Data'!L:L,'Quipt Prod Data'!B:B),"")</f>
        <v/>
      </c>
      <c r="E52" s="1" t="str">
        <f>_xlfn.IFNA(_xlfn.XMATCH(Data[[#This Row],[unqid]],'Quipt Prod Data'!L:L,0),"")</f>
        <v/>
      </c>
      <c r="F52" s="1" t="str">
        <f>IF(COUNTIF('Quipt Prod Data'!L:L,Data[[#This Row],[unqid]])=0,"",COUNTIF('Quipt Prod Data'!L:L,Data[[#This Row],[unqid]]))</f>
        <v/>
      </c>
    </row>
    <row r="53" spans="1:6" x14ac:dyDescent="0.3">
      <c r="A53" t="s">
        <v>336</v>
      </c>
      <c r="B53" t="s">
        <v>32</v>
      </c>
      <c r="C53" t="s">
        <v>27</v>
      </c>
      <c r="D53" s="1" t="str">
        <f>_xlfn.IFNA(_xlfn.XLOOKUP(Data[[#This Row],[unqid]],'Quipt Prod Data'!L:L,'Quipt Prod Data'!B:B),"")</f>
        <v/>
      </c>
      <c r="E53" s="1" t="str">
        <f>_xlfn.IFNA(_xlfn.XMATCH(Data[[#This Row],[unqid]],'Quipt Prod Data'!L:L,0),"")</f>
        <v/>
      </c>
      <c r="F53" s="1" t="str">
        <f>IF(COUNTIF('Quipt Prod Data'!L:L,Data[[#This Row],[unqid]])=0,"",COUNTIF('Quipt Prod Data'!L:L,Data[[#This Row],[unqid]]))</f>
        <v/>
      </c>
    </row>
    <row r="54" spans="1:6" x14ac:dyDescent="0.3">
      <c r="A54" t="s">
        <v>337</v>
      </c>
      <c r="B54" t="s">
        <v>32</v>
      </c>
      <c r="C54" t="s">
        <v>27</v>
      </c>
      <c r="D54" s="1" t="str">
        <f>_xlfn.IFNA(_xlfn.XLOOKUP(Data[[#This Row],[unqid]],'Quipt Prod Data'!L:L,'Quipt Prod Data'!B:B),"")</f>
        <v/>
      </c>
      <c r="E54" s="1" t="str">
        <f>_xlfn.IFNA(_xlfn.XMATCH(Data[[#This Row],[unqid]],'Quipt Prod Data'!L:L,0),"")</f>
        <v/>
      </c>
      <c r="F54" s="1" t="str">
        <f>IF(COUNTIF('Quipt Prod Data'!L:L,Data[[#This Row],[unqid]])=0,"",COUNTIF('Quipt Prod Data'!L:L,Data[[#This Row],[unqid]]))</f>
        <v/>
      </c>
    </row>
    <row r="55" spans="1:6" x14ac:dyDescent="0.3">
      <c r="A55" t="s">
        <v>338</v>
      </c>
      <c r="B55" t="s">
        <v>26</v>
      </c>
      <c r="C55" t="s">
        <v>27</v>
      </c>
      <c r="D55" s="1" t="str">
        <f>_xlfn.IFNA(_xlfn.XLOOKUP(Data[[#This Row],[unqid]],'Quipt Prod Data'!L:L,'Quipt Prod Data'!B:B),"")</f>
        <v/>
      </c>
      <c r="E55" s="1" t="str">
        <f>_xlfn.IFNA(_xlfn.XMATCH(Data[[#This Row],[unqid]],'Quipt Prod Data'!L:L,0),"")</f>
        <v/>
      </c>
      <c r="F55" s="1" t="str">
        <f>IF(COUNTIF('Quipt Prod Data'!L:L,Data[[#This Row],[unqid]])=0,"",COUNTIF('Quipt Prod Data'!L:L,Data[[#This Row],[unqid]]))</f>
        <v/>
      </c>
    </row>
    <row r="56" spans="1:6" x14ac:dyDescent="0.3">
      <c r="A56" t="s">
        <v>339</v>
      </c>
      <c r="B56" t="s">
        <v>28</v>
      </c>
      <c r="C56" t="s">
        <v>27</v>
      </c>
      <c r="D56" s="1" t="str">
        <f>_xlfn.IFNA(_xlfn.XLOOKUP(Data[[#This Row],[unqid]],'Quipt Prod Data'!L:L,'Quipt Prod Data'!B:B),"")</f>
        <v/>
      </c>
      <c r="E56" s="1" t="str">
        <f>_xlfn.IFNA(_xlfn.XMATCH(Data[[#This Row],[unqid]],'Quipt Prod Data'!L:L,0),"")</f>
        <v/>
      </c>
      <c r="F56" s="1" t="str">
        <f>IF(COUNTIF('Quipt Prod Data'!L:L,Data[[#This Row],[unqid]])=0,"",COUNTIF('Quipt Prod Data'!L:L,Data[[#This Row],[unqid]]))</f>
        <v/>
      </c>
    </row>
    <row r="57" spans="1:6" x14ac:dyDescent="0.3">
      <c r="A57" t="s">
        <v>340</v>
      </c>
      <c r="B57" t="s">
        <v>26</v>
      </c>
      <c r="C57" t="s">
        <v>27</v>
      </c>
      <c r="D57" s="1" t="str">
        <f>_xlfn.IFNA(_xlfn.XLOOKUP(Data[[#This Row],[unqid]],'Quipt Prod Data'!L:L,'Quipt Prod Data'!B:B),"")</f>
        <v/>
      </c>
      <c r="E57" s="1" t="str">
        <f>_xlfn.IFNA(_xlfn.XMATCH(Data[[#This Row],[unqid]],'Quipt Prod Data'!L:L,0),"")</f>
        <v/>
      </c>
      <c r="F57" s="1" t="str">
        <f>IF(COUNTIF('Quipt Prod Data'!L:L,Data[[#This Row],[unqid]])=0,"",COUNTIF('Quipt Prod Data'!L:L,Data[[#This Row],[unqid]]))</f>
        <v/>
      </c>
    </row>
    <row r="58" spans="1:6" x14ac:dyDescent="0.3">
      <c r="A58" t="s">
        <v>341</v>
      </c>
      <c r="B58" t="s">
        <v>26</v>
      </c>
      <c r="C58" t="s">
        <v>27</v>
      </c>
      <c r="D58" s="1" t="str">
        <f>_xlfn.IFNA(_xlfn.XLOOKUP(Data[[#This Row],[unqid]],'Quipt Prod Data'!L:L,'Quipt Prod Data'!B:B),"")</f>
        <v/>
      </c>
      <c r="E58" s="1" t="str">
        <f>_xlfn.IFNA(_xlfn.XMATCH(Data[[#This Row],[unqid]],'Quipt Prod Data'!L:L,0),"")</f>
        <v/>
      </c>
      <c r="F58" s="1" t="str">
        <f>IF(COUNTIF('Quipt Prod Data'!L:L,Data[[#This Row],[unqid]])=0,"",COUNTIF('Quipt Prod Data'!L:L,Data[[#This Row],[unqid]]))</f>
        <v/>
      </c>
    </row>
    <row r="59" spans="1:6" x14ac:dyDescent="0.3">
      <c r="A59" t="s">
        <v>342</v>
      </c>
      <c r="B59" t="s">
        <v>29</v>
      </c>
      <c r="C59" t="s">
        <v>27</v>
      </c>
      <c r="D59" s="1" t="str">
        <f>_xlfn.IFNA(_xlfn.XLOOKUP(Data[[#This Row],[unqid]],'Quipt Prod Data'!L:L,'Quipt Prod Data'!B:B),"")</f>
        <v/>
      </c>
      <c r="E59" s="1" t="str">
        <f>_xlfn.IFNA(_xlfn.XMATCH(Data[[#This Row],[unqid]],'Quipt Prod Data'!L:L,0),"")</f>
        <v/>
      </c>
      <c r="F59" s="1" t="str">
        <f>IF(COUNTIF('Quipt Prod Data'!L:L,Data[[#This Row],[unqid]])=0,"",COUNTIF('Quipt Prod Data'!L:L,Data[[#This Row],[unqid]]))</f>
        <v/>
      </c>
    </row>
    <row r="60" spans="1:6" x14ac:dyDescent="0.3">
      <c r="A60" t="s">
        <v>343</v>
      </c>
      <c r="B60" t="s">
        <v>35</v>
      </c>
      <c r="C60" t="s">
        <v>27</v>
      </c>
      <c r="D60" s="1" t="str">
        <f>_xlfn.IFNA(_xlfn.XLOOKUP(Data[[#This Row],[unqid]],'Quipt Prod Data'!L:L,'Quipt Prod Data'!B:B),"")</f>
        <v/>
      </c>
      <c r="E60" s="1" t="str">
        <f>_xlfn.IFNA(_xlfn.XMATCH(Data[[#This Row],[unqid]],'Quipt Prod Data'!L:L,0),"")</f>
        <v/>
      </c>
      <c r="F60" s="1" t="str">
        <f>IF(COUNTIF('Quipt Prod Data'!L:L,Data[[#This Row],[unqid]])=0,"",COUNTIF('Quipt Prod Data'!L:L,Data[[#This Row],[unqid]]))</f>
        <v/>
      </c>
    </row>
    <row r="61" spans="1:6" x14ac:dyDescent="0.3">
      <c r="A61" t="s">
        <v>344</v>
      </c>
      <c r="B61" t="s">
        <v>26</v>
      </c>
      <c r="C61" t="s">
        <v>27</v>
      </c>
      <c r="D61" s="1" t="str">
        <f>_xlfn.IFNA(_xlfn.XLOOKUP(Data[[#This Row],[unqid]],'Quipt Prod Data'!L:L,'Quipt Prod Data'!B:B),"")</f>
        <v/>
      </c>
      <c r="E61" s="1" t="str">
        <f>_xlfn.IFNA(_xlfn.XMATCH(Data[[#This Row],[unqid]],'Quipt Prod Data'!L:L,0),"")</f>
        <v/>
      </c>
      <c r="F61" s="1" t="str">
        <f>IF(COUNTIF('Quipt Prod Data'!L:L,Data[[#This Row],[unqid]])=0,"",COUNTIF('Quipt Prod Data'!L:L,Data[[#This Row],[unqid]]))</f>
        <v/>
      </c>
    </row>
    <row r="62" spans="1:6" x14ac:dyDescent="0.3">
      <c r="A62" t="s">
        <v>345</v>
      </c>
      <c r="B62" t="s">
        <v>26</v>
      </c>
      <c r="C62" t="s">
        <v>27</v>
      </c>
      <c r="D62" s="1" t="str">
        <f>_xlfn.IFNA(_xlfn.XLOOKUP(Data[[#This Row],[unqid]],'Quipt Prod Data'!L:L,'Quipt Prod Data'!B:B),"")</f>
        <v/>
      </c>
      <c r="E62" s="1" t="str">
        <f>_xlfn.IFNA(_xlfn.XMATCH(Data[[#This Row],[unqid]],'Quipt Prod Data'!L:L,0),"")</f>
        <v/>
      </c>
      <c r="F62" s="1" t="str">
        <f>IF(COUNTIF('Quipt Prod Data'!L:L,Data[[#This Row],[unqid]])=0,"",COUNTIF('Quipt Prod Data'!L:L,Data[[#This Row],[unqid]]))</f>
        <v/>
      </c>
    </row>
    <row r="63" spans="1:6" x14ac:dyDescent="0.3">
      <c r="A63" t="s">
        <v>346</v>
      </c>
      <c r="B63" t="s">
        <v>26</v>
      </c>
      <c r="C63" t="s">
        <v>27</v>
      </c>
      <c r="D63" s="1" t="str">
        <f>_xlfn.IFNA(_xlfn.XLOOKUP(Data[[#This Row],[unqid]],'Quipt Prod Data'!L:L,'Quipt Prod Data'!B:B),"")</f>
        <v/>
      </c>
      <c r="E63" s="1" t="str">
        <f>_xlfn.IFNA(_xlfn.XMATCH(Data[[#This Row],[unqid]],'Quipt Prod Data'!L:L,0),"")</f>
        <v/>
      </c>
      <c r="F63" s="1" t="str">
        <f>IF(COUNTIF('Quipt Prod Data'!L:L,Data[[#This Row],[unqid]])=0,"",COUNTIF('Quipt Prod Data'!L:L,Data[[#This Row],[unqid]]))</f>
        <v/>
      </c>
    </row>
    <row r="64" spans="1:6" x14ac:dyDescent="0.3">
      <c r="A64" t="s">
        <v>347</v>
      </c>
      <c r="B64" t="s">
        <v>30</v>
      </c>
      <c r="C64" t="s">
        <v>27</v>
      </c>
      <c r="D64" s="1" t="str">
        <f>_xlfn.IFNA(_xlfn.XLOOKUP(Data[[#This Row],[unqid]],'Quipt Prod Data'!L:L,'Quipt Prod Data'!B:B),"")</f>
        <v/>
      </c>
      <c r="E64" s="1" t="str">
        <f>_xlfn.IFNA(_xlfn.XMATCH(Data[[#This Row],[unqid]],'Quipt Prod Data'!L:L,0),"")</f>
        <v/>
      </c>
      <c r="F64" s="1" t="str">
        <f>IF(COUNTIF('Quipt Prod Data'!L:L,Data[[#This Row],[unqid]])=0,"",COUNTIF('Quipt Prod Data'!L:L,Data[[#This Row],[unqid]]))</f>
        <v/>
      </c>
    </row>
    <row r="65" spans="1:6" x14ac:dyDescent="0.3">
      <c r="A65" t="s">
        <v>348</v>
      </c>
      <c r="B65" t="s">
        <v>26</v>
      </c>
      <c r="C65" t="s">
        <v>27</v>
      </c>
      <c r="D65" s="1" t="str">
        <f>_xlfn.IFNA(_xlfn.XLOOKUP(Data[[#This Row],[unqid]],'Quipt Prod Data'!L:L,'Quipt Prod Data'!B:B),"")</f>
        <v/>
      </c>
      <c r="E65" s="1" t="str">
        <f>_xlfn.IFNA(_xlfn.XMATCH(Data[[#This Row],[unqid]],'Quipt Prod Data'!L:L,0),"")</f>
        <v/>
      </c>
      <c r="F65" s="1" t="str">
        <f>IF(COUNTIF('Quipt Prod Data'!L:L,Data[[#This Row],[unqid]])=0,"",COUNTIF('Quipt Prod Data'!L:L,Data[[#This Row],[unqid]]))</f>
        <v/>
      </c>
    </row>
    <row r="66" spans="1:6" x14ac:dyDescent="0.3">
      <c r="A66" t="s">
        <v>349</v>
      </c>
      <c r="B66" t="s">
        <v>32</v>
      </c>
      <c r="C66" t="s">
        <v>27</v>
      </c>
      <c r="D66" s="1" t="str">
        <f>_xlfn.IFNA(_xlfn.XLOOKUP(Data[[#This Row],[unqid]],'Quipt Prod Data'!L:L,'Quipt Prod Data'!B:B),"")</f>
        <v/>
      </c>
      <c r="E66" s="1" t="str">
        <f>_xlfn.IFNA(_xlfn.XMATCH(Data[[#This Row],[unqid]],'Quipt Prod Data'!L:L,0),"")</f>
        <v/>
      </c>
      <c r="F66" s="1" t="str">
        <f>IF(COUNTIF('Quipt Prod Data'!L:L,Data[[#This Row],[unqid]])=0,"",COUNTIF('Quipt Prod Data'!L:L,Data[[#This Row],[unqid]]))</f>
        <v/>
      </c>
    </row>
    <row r="67" spans="1:6" x14ac:dyDescent="0.3">
      <c r="A67" t="s">
        <v>350</v>
      </c>
      <c r="B67" t="s">
        <v>26</v>
      </c>
      <c r="C67" t="s">
        <v>27</v>
      </c>
      <c r="D67" s="1" t="str">
        <f>_xlfn.IFNA(_xlfn.XLOOKUP(Data[[#This Row],[unqid]],'Quipt Prod Data'!L:L,'Quipt Prod Data'!B:B),"")</f>
        <v/>
      </c>
      <c r="E67" s="1" t="str">
        <f>_xlfn.IFNA(_xlfn.XMATCH(Data[[#This Row],[unqid]],'Quipt Prod Data'!L:L,0),"")</f>
        <v/>
      </c>
      <c r="F67" s="1" t="str">
        <f>IF(COUNTIF('Quipt Prod Data'!L:L,Data[[#This Row],[unqid]])=0,"",COUNTIF('Quipt Prod Data'!L:L,Data[[#This Row],[unqid]]))</f>
        <v/>
      </c>
    </row>
    <row r="68" spans="1:6" x14ac:dyDescent="0.3">
      <c r="A68" t="s">
        <v>351</v>
      </c>
      <c r="B68" t="s">
        <v>26</v>
      </c>
      <c r="C68" t="s">
        <v>27</v>
      </c>
      <c r="D68" s="1" t="str">
        <f>_xlfn.IFNA(_xlfn.XLOOKUP(Data[[#This Row],[unqid]],'Quipt Prod Data'!L:L,'Quipt Prod Data'!B:B),"")</f>
        <v/>
      </c>
      <c r="E68" s="1" t="str">
        <f>_xlfn.IFNA(_xlfn.XMATCH(Data[[#This Row],[unqid]],'Quipt Prod Data'!L:L,0),"")</f>
        <v/>
      </c>
      <c r="F68" s="1" t="str">
        <f>IF(COUNTIF('Quipt Prod Data'!L:L,Data[[#This Row],[unqid]])=0,"",COUNTIF('Quipt Prod Data'!L:L,Data[[#This Row],[unqid]]))</f>
        <v/>
      </c>
    </row>
    <row r="69" spans="1:6" x14ac:dyDescent="0.3">
      <c r="A69" t="s">
        <v>352</v>
      </c>
      <c r="B69" t="s">
        <v>26</v>
      </c>
      <c r="C69" t="s">
        <v>27</v>
      </c>
      <c r="D69" s="1" t="str">
        <f>_xlfn.IFNA(_xlfn.XLOOKUP(Data[[#This Row],[unqid]],'Quipt Prod Data'!L:L,'Quipt Prod Data'!B:B),"")</f>
        <v/>
      </c>
      <c r="E69" s="1" t="str">
        <f>_xlfn.IFNA(_xlfn.XMATCH(Data[[#This Row],[unqid]],'Quipt Prod Data'!L:L,0),"")</f>
        <v/>
      </c>
      <c r="F69" s="1" t="str">
        <f>IF(COUNTIF('Quipt Prod Data'!L:L,Data[[#This Row],[unqid]])=0,"",COUNTIF('Quipt Prod Data'!L:L,Data[[#This Row],[unqid]]))</f>
        <v/>
      </c>
    </row>
    <row r="70" spans="1:6" x14ac:dyDescent="0.3">
      <c r="A70" t="s">
        <v>353</v>
      </c>
      <c r="B70" t="s">
        <v>26</v>
      </c>
      <c r="C70" t="s">
        <v>27</v>
      </c>
      <c r="D70" s="1" t="str">
        <f>_xlfn.IFNA(_xlfn.XLOOKUP(Data[[#This Row],[unqid]],'Quipt Prod Data'!L:L,'Quipt Prod Data'!B:B),"")</f>
        <v/>
      </c>
      <c r="E70" s="1" t="str">
        <f>_xlfn.IFNA(_xlfn.XMATCH(Data[[#This Row],[unqid]],'Quipt Prod Data'!L:L,0),"")</f>
        <v/>
      </c>
      <c r="F70" s="1" t="str">
        <f>IF(COUNTIF('Quipt Prod Data'!L:L,Data[[#This Row],[unqid]])=0,"",COUNTIF('Quipt Prod Data'!L:L,Data[[#This Row],[unqid]]))</f>
        <v/>
      </c>
    </row>
    <row r="71" spans="1:6" x14ac:dyDescent="0.3">
      <c r="A71" t="s">
        <v>354</v>
      </c>
      <c r="B71" t="s">
        <v>32</v>
      </c>
      <c r="C71" t="s">
        <v>27</v>
      </c>
      <c r="D71" s="1" t="str">
        <f>_xlfn.IFNA(_xlfn.XLOOKUP(Data[[#This Row],[unqid]],'Quipt Prod Data'!L:L,'Quipt Prod Data'!B:B),"")</f>
        <v/>
      </c>
      <c r="E71" s="1" t="str">
        <f>_xlfn.IFNA(_xlfn.XMATCH(Data[[#This Row],[unqid]],'Quipt Prod Data'!L:L,0),"")</f>
        <v/>
      </c>
      <c r="F71" s="1" t="str">
        <f>IF(COUNTIF('Quipt Prod Data'!L:L,Data[[#This Row],[unqid]])=0,"",COUNTIF('Quipt Prod Data'!L:L,Data[[#This Row],[unqid]]))</f>
        <v/>
      </c>
    </row>
    <row r="72" spans="1:6" x14ac:dyDescent="0.3">
      <c r="A72" t="s">
        <v>355</v>
      </c>
      <c r="B72" t="s">
        <v>32</v>
      </c>
      <c r="C72" t="s">
        <v>27</v>
      </c>
      <c r="D72" s="1" t="str">
        <f>_xlfn.IFNA(_xlfn.XLOOKUP(Data[[#This Row],[unqid]],'Quipt Prod Data'!L:L,'Quipt Prod Data'!B:B),"")</f>
        <v/>
      </c>
      <c r="E72" s="1" t="str">
        <f>_xlfn.IFNA(_xlfn.XMATCH(Data[[#This Row],[unqid]],'Quipt Prod Data'!L:L,0),"")</f>
        <v/>
      </c>
      <c r="F72" s="1" t="str">
        <f>IF(COUNTIF('Quipt Prod Data'!L:L,Data[[#This Row],[unqid]])=0,"",COUNTIF('Quipt Prod Data'!L:L,Data[[#This Row],[unqid]]))</f>
        <v/>
      </c>
    </row>
    <row r="73" spans="1:6" x14ac:dyDescent="0.3">
      <c r="A73" t="s">
        <v>356</v>
      </c>
      <c r="B73" t="s">
        <v>26</v>
      </c>
      <c r="C73" t="s">
        <v>27</v>
      </c>
      <c r="D73" s="1" t="str">
        <f>_xlfn.IFNA(_xlfn.XLOOKUP(Data[[#This Row],[unqid]],'Quipt Prod Data'!L:L,'Quipt Prod Data'!B:B),"")</f>
        <v/>
      </c>
      <c r="E73" s="1" t="str">
        <f>_xlfn.IFNA(_xlfn.XMATCH(Data[[#This Row],[unqid]],'Quipt Prod Data'!L:L,0),"")</f>
        <v/>
      </c>
      <c r="F73" s="1" t="str">
        <f>IF(COUNTIF('Quipt Prod Data'!L:L,Data[[#This Row],[unqid]])=0,"",COUNTIF('Quipt Prod Data'!L:L,Data[[#This Row],[unqid]]))</f>
        <v/>
      </c>
    </row>
    <row r="74" spans="1:6" x14ac:dyDescent="0.3">
      <c r="A74" t="s">
        <v>357</v>
      </c>
      <c r="B74" t="s">
        <v>26</v>
      </c>
      <c r="C74" t="s">
        <v>27</v>
      </c>
      <c r="D74" s="1" t="str">
        <f>_xlfn.IFNA(_xlfn.XLOOKUP(Data[[#This Row],[unqid]],'Quipt Prod Data'!L:L,'Quipt Prod Data'!B:B),"")</f>
        <v/>
      </c>
      <c r="E74" s="1" t="str">
        <f>_xlfn.IFNA(_xlfn.XMATCH(Data[[#This Row],[unqid]],'Quipt Prod Data'!L:L,0),"")</f>
        <v/>
      </c>
      <c r="F74" s="1" t="str">
        <f>IF(COUNTIF('Quipt Prod Data'!L:L,Data[[#This Row],[unqid]])=0,"",COUNTIF('Quipt Prod Data'!L:L,Data[[#This Row],[unqid]]))</f>
        <v/>
      </c>
    </row>
    <row r="75" spans="1:6" x14ac:dyDescent="0.3">
      <c r="A75" t="s">
        <v>358</v>
      </c>
      <c r="B75" t="s">
        <v>26</v>
      </c>
      <c r="C75" t="s">
        <v>27</v>
      </c>
      <c r="D75" s="1" t="str">
        <f>_xlfn.IFNA(_xlfn.XLOOKUP(Data[[#This Row],[unqid]],'Quipt Prod Data'!L:L,'Quipt Prod Data'!B:B),"")</f>
        <v/>
      </c>
      <c r="E75" s="1" t="str">
        <f>_xlfn.IFNA(_xlfn.XMATCH(Data[[#This Row],[unqid]],'Quipt Prod Data'!L:L,0),"")</f>
        <v/>
      </c>
      <c r="F75" s="1" t="str">
        <f>IF(COUNTIF('Quipt Prod Data'!L:L,Data[[#This Row],[unqid]])=0,"",COUNTIF('Quipt Prod Data'!L:L,Data[[#This Row],[unqid]]))</f>
        <v/>
      </c>
    </row>
    <row r="76" spans="1:6" x14ac:dyDescent="0.3">
      <c r="A76" t="s">
        <v>359</v>
      </c>
      <c r="B76" t="s">
        <v>26</v>
      </c>
      <c r="C76" t="s">
        <v>27</v>
      </c>
      <c r="D76" s="1" t="str">
        <f>_xlfn.IFNA(_xlfn.XLOOKUP(Data[[#This Row],[unqid]],'Quipt Prod Data'!L:L,'Quipt Prod Data'!B:B),"")</f>
        <v/>
      </c>
      <c r="E76" s="1" t="str">
        <f>_xlfn.IFNA(_xlfn.XMATCH(Data[[#This Row],[unqid]],'Quipt Prod Data'!L:L,0),"")</f>
        <v/>
      </c>
      <c r="F76" s="1" t="str">
        <f>IF(COUNTIF('Quipt Prod Data'!L:L,Data[[#This Row],[unqid]])=0,"",COUNTIF('Quipt Prod Data'!L:L,Data[[#This Row],[unqid]]))</f>
        <v/>
      </c>
    </row>
    <row r="77" spans="1:6" x14ac:dyDescent="0.3">
      <c r="A77" t="s">
        <v>360</v>
      </c>
      <c r="B77" t="s">
        <v>26</v>
      </c>
      <c r="C77" t="s">
        <v>27</v>
      </c>
      <c r="D77" s="1" t="str">
        <f>_xlfn.IFNA(_xlfn.XLOOKUP(Data[[#This Row],[unqid]],'Quipt Prod Data'!L:L,'Quipt Prod Data'!B:B),"")</f>
        <v/>
      </c>
      <c r="E77" s="1" t="str">
        <f>_xlfn.IFNA(_xlfn.XMATCH(Data[[#This Row],[unqid]],'Quipt Prod Data'!L:L,0),"")</f>
        <v/>
      </c>
      <c r="F77" s="1" t="str">
        <f>IF(COUNTIF('Quipt Prod Data'!L:L,Data[[#This Row],[unqid]])=0,"",COUNTIF('Quipt Prod Data'!L:L,Data[[#This Row],[unqid]]))</f>
        <v/>
      </c>
    </row>
    <row r="78" spans="1:6" x14ac:dyDescent="0.3">
      <c r="A78" t="s">
        <v>361</v>
      </c>
      <c r="B78" t="s">
        <v>26</v>
      </c>
      <c r="C78" t="s">
        <v>27</v>
      </c>
      <c r="D78" s="1" t="str">
        <f>_xlfn.IFNA(_xlfn.XLOOKUP(Data[[#This Row],[unqid]],'Quipt Prod Data'!L:L,'Quipt Prod Data'!B:B),"")</f>
        <v/>
      </c>
      <c r="E78" s="1" t="str">
        <f>_xlfn.IFNA(_xlfn.XMATCH(Data[[#This Row],[unqid]],'Quipt Prod Data'!L:L,0),"")</f>
        <v/>
      </c>
      <c r="F78" s="1" t="str">
        <f>IF(COUNTIF('Quipt Prod Data'!L:L,Data[[#This Row],[unqid]])=0,"",COUNTIF('Quipt Prod Data'!L:L,Data[[#This Row],[unqid]]))</f>
        <v/>
      </c>
    </row>
    <row r="79" spans="1:6" x14ac:dyDescent="0.3">
      <c r="A79" t="s">
        <v>362</v>
      </c>
      <c r="B79" t="s">
        <v>26</v>
      </c>
      <c r="C79" t="s">
        <v>27</v>
      </c>
      <c r="D79" s="1" t="str">
        <f>_xlfn.IFNA(_xlfn.XLOOKUP(Data[[#This Row],[unqid]],'Quipt Prod Data'!L:L,'Quipt Prod Data'!B:B),"")</f>
        <v/>
      </c>
      <c r="E79" s="1" t="str">
        <f>_xlfn.IFNA(_xlfn.XMATCH(Data[[#This Row],[unqid]],'Quipt Prod Data'!L:L,0),"")</f>
        <v/>
      </c>
      <c r="F79" s="1" t="str">
        <f>IF(COUNTIF('Quipt Prod Data'!L:L,Data[[#This Row],[unqid]])=0,"",COUNTIF('Quipt Prod Data'!L:L,Data[[#This Row],[unqid]]))</f>
        <v/>
      </c>
    </row>
    <row r="80" spans="1:6" x14ac:dyDescent="0.3">
      <c r="A80" t="s">
        <v>363</v>
      </c>
      <c r="B80" t="s">
        <v>32</v>
      </c>
      <c r="C80" t="s">
        <v>27</v>
      </c>
      <c r="D80" s="1" t="str">
        <f>_xlfn.IFNA(_xlfn.XLOOKUP(Data[[#This Row],[unqid]],'Quipt Prod Data'!L:L,'Quipt Prod Data'!B:B),"")</f>
        <v/>
      </c>
      <c r="E80" s="1" t="str">
        <f>_xlfn.IFNA(_xlfn.XMATCH(Data[[#This Row],[unqid]],'Quipt Prod Data'!L:L,0),"")</f>
        <v/>
      </c>
      <c r="F80" s="1" t="str">
        <f>IF(COUNTIF('Quipt Prod Data'!L:L,Data[[#This Row],[unqid]])=0,"",COUNTIF('Quipt Prod Data'!L:L,Data[[#This Row],[unqid]]))</f>
        <v/>
      </c>
    </row>
    <row r="81" spans="1:6" x14ac:dyDescent="0.3">
      <c r="A81" t="s">
        <v>364</v>
      </c>
      <c r="B81" t="s">
        <v>26</v>
      </c>
      <c r="C81" t="s">
        <v>27</v>
      </c>
      <c r="D81" s="1" t="str">
        <f>_xlfn.IFNA(_xlfn.XLOOKUP(Data[[#This Row],[unqid]],'Quipt Prod Data'!L:L,'Quipt Prod Data'!B:B),"")</f>
        <v/>
      </c>
      <c r="E81" s="1" t="str">
        <f>_xlfn.IFNA(_xlfn.XMATCH(Data[[#This Row],[unqid]],'Quipt Prod Data'!L:L,0),"")</f>
        <v/>
      </c>
      <c r="F81" s="1" t="str">
        <f>IF(COUNTIF('Quipt Prod Data'!L:L,Data[[#This Row],[unqid]])=0,"",COUNTIF('Quipt Prod Data'!L:L,Data[[#This Row],[unqid]]))</f>
        <v/>
      </c>
    </row>
    <row r="82" spans="1:6" x14ac:dyDescent="0.3">
      <c r="A82" t="s">
        <v>365</v>
      </c>
      <c r="B82" t="s">
        <v>26</v>
      </c>
      <c r="C82" t="s">
        <v>27</v>
      </c>
      <c r="D82" s="1" t="str">
        <f>_xlfn.IFNA(_xlfn.XLOOKUP(Data[[#This Row],[unqid]],'Quipt Prod Data'!L:L,'Quipt Prod Data'!B:B),"")</f>
        <v/>
      </c>
      <c r="E82" s="1" t="str">
        <f>_xlfn.IFNA(_xlfn.XMATCH(Data[[#This Row],[unqid]],'Quipt Prod Data'!L:L,0),"")</f>
        <v/>
      </c>
      <c r="F82" s="1" t="str">
        <f>IF(COUNTIF('Quipt Prod Data'!L:L,Data[[#This Row],[unqid]])=0,"",COUNTIF('Quipt Prod Data'!L:L,Data[[#This Row],[unqid]]))</f>
        <v/>
      </c>
    </row>
    <row r="83" spans="1:6" x14ac:dyDescent="0.3">
      <c r="A83" t="s">
        <v>366</v>
      </c>
      <c r="B83" t="s">
        <v>30</v>
      </c>
      <c r="C83" t="s">
        <v>27</v>
      </c>
      <c r="D83" s="1" t="str">
        <f>_xlfn.IFNA(_xlfn.XLOOKUP(Data[[#This Row],[unqid]],'Quipt Prod Data'!L:L,'Quipt Prod Data'!B:B),"")</f>
        <v/>
      </c>
      <c r="E83" s="1" t="str">
        <f>_xlfn.IFNA(_xlfn.XMATCH(Data[[#This Row],[unqid]],'Quipt Prod Data'!L:L,0),"")</f>
        <v/>
      </c>
      <c r="F83" s="1" t="str">
        <f>IF(COUNTIF('Quipt Prod Data'!L:L,Data[[#This Row],[unqid]])=0,"",COUNTIF('Quipt Prod Data'!L:L,Data[[#This Row],[unqid]]))</f>
        <v/>
      </c>
    </row>
    <row r="84" spans="1:6" x14ac:dyDescent="0.3">
      <c r="A84" t="s">
        <v>367</v>
      </c>
      <c r="B84" t="s">
        <v>32</v>
      </c>
      <c r="C84" t="s">
        <v>27</v>
      </c>
      <c r="D84" s="1" t="str">
        <f>_xlfn.IFNA(_xlfn.XLOOKUP(Data[[#This Row],[unqid]],'Quipt Prod Data'!L:L,'Quipt Prod Data'!B:B),"")</f>
        <v/>
      </c>
      <c r="E84" s="1" t="str">
        <f>_xlfn.IFNA(_xlfn.XMATCH(Data[[#This Row],[unqid]],'Quipt Prod Data'!L:L,0),"")</f>
        <v/>
      </c>
      <c r="F84" s="1" t="str">
        <f>IF(COUNTIF('Quipt Prod Data'!L:L,Data[[#This Row],[unqid]])=0,"",COUNTIF('Quipt Prod Data'!L:L,Data[[#This Row],[unqid]]))</f>
        <v/>
      </c>
    </row>
    <row r="85" spans="1:6" x14ac:dyDescent="0.3">
      <c r="A85" t="s">
        <v>368</v>
      </c>
      <c r="B85" t="s">
        <v>34</v>
      </c>
      <c r="C85" t="s">
        <v>27</v>
      </c>
      <c r="D85" s="1" t="str">
        <f>_xlfn.IFNA(_xlfn.XLOOKUP(Data[[#This Row],[unqid]],'Quipt Prod Data'!L:L,'Quipt Prod Data'!B:B),"")</f>
        <v/>
      </c>
      <c r="E85" s="1" t="str">
        <f>_xlfn.IFNA(_xlfn.XMATCH(Data[[#This Row],[unqid]],'Quipt Prod Data'!L:L,0),"")</f>
        <v/>
      </c>
      <c r="F85" s="1" t="str">
        <f>IF(COUNTIF('Quipt Prod Data'!L:L,Data[[#This Row],[unqid]])=0,"",COUNTIF('Quipt Prod Data'!L:L,Data[[#This Row],[unqid]]))</f>
        <v/>
      </c>
    </row>
    <row r="86" spans="1:6" x14ac:dyDescent="0.3">
      <c r="A86" t="s">
        <v>369</v>
      </c>
      <c r="B86" t="s">
        <v>26</v>
      </c>
      <c r="C86" t="s">
        <v>27</v>
      </c>
      <c r="D86" s="1" t="str">
        <f>_xlfn.IFNA(_xlfn.XLOOKUP(Data[[#This Row],[unqid]],'Quipt Prod Data'!L:L,'Quipt Prod Data'!B:B),"")</f>
        <v/>
      </c>
      <c r="E86" s="1" t="str">
        <f>_xlfn.IFNA(_xlfn.XMATCH(Data[[#This Row],[unqid]],'Quipt Prod Data'!L:L,0),"")</f>
        <v/>
      </c>
      <c r="F86" s="1" t="str">
        <f>IF(COUNTIF('Quipt Prod Data'!L:L,Data[[#This Row],[unqid]])=0,"",COUNTIF('Quipt Prod Data'!L:L,Data[[#This Row],[unqid]]))</f>
        <v/>
      </c>
    </row>
    <row r="87" spans="1:6" x14ac:dyDescent="0.3">
      <c r="A87" t="s">
        <v>370</v>
      </c>
      <c r="B87" t="s">
        <v>32</v>
      </c>
      <c r="C87" t="s">
        <v>27</v>
      </c>
      <c r="D87" s="1" t="str">
        <f>_xlfn.IFNA(_xlfn.XLOOKUP(Data[[#This Row],[unqid]],'Quipt Prod Data'!L:L,'Quipt Prod Data'!B:B),"")</f>
        <v/>
      </c>
      <c r="E87" s="1" t="str">
        <f>_xlfn.IFNA(_xlfn.XMATCH(Data[[#This Row],[unqid]],'Quipt Prod Data'!L:L,0),"")</f>
        <v/>
      </c>
      <c r="F87" s="1" t="str">
        <f>IF(COUNTIF('Quipt Prod Data'!L:L,Data[[#This Row],[unqid]])=0,"",COUNTIF('Quipt Prod Data'!L:L,Data[[#This Row],[unqid]]))</f>
        <v/>
      </c>
    </row>
    <row r="88" spans="1:6" x14ac:dyDescent="0.3">
      <c r="A88" t="s">
        <v>371</v>
      </c>
      <c r="B88" t="s">
        <v>26</v>
      </c>
      <c r="C88" t="s">
        <v>27</v>
      </c>
      <c r="D88" s="1" t="str">
        <f>_xlfn.IFNA(_xlfn.XLOOKUP(Data[[#This Row],[unqid]],'Quipt Prod Data'!L:L,'Quipt Prod Data'!B:B),"")</f>
        <v/>
      </c>
      <c r="E88" s="1" t="str">
        <f>_xlfn.IFNA(_xlfn.XMATCH(Data[[#This Row],[unqid]],'Quipt Prod Data'!L:L,0),"")</f>
        <v/>
      </c>
      <c r="F88" s="1" t="str">
        <f>IF(COUNTIF('Quipt Prod Data'!L:L,Data[[#This Row],[unqid]])=0,"",COUNTIF('Quipt Prod Data'!L:L,Data[[#This Row],[unqid]]))</f>
        <v/>
      </c>
    </row>
    <row r="89" spans="1:6" x14ac:dyDescent="0.3">
      <c r="A89" t="s">
        <v>372</v>
      </c>
      <c r="B89" t="s">
        <v>26</v>
      </c>
      <c r="C89" t="s">
        <v>27</v>
      </c>
      <c r="D89" s="1" t="str">
        <f>_xlfn.IFNA(_xlfn.XLOOKUP(Data[[#This Row],[unqid]],'Quipt Prod Data'!L:L,'Quipt Prod Data'!B:B),"")</f>
        <v/>
      </c>
      <c r="E89" s="1" t="str">
        <f>_xlfn.IFNA(_xlfn.XMATCH(Data[[#This Row],[unqid]],'Quipt Prod Data'!L:L,0),"")</f>
        <v/>
      </c>
      <c r="F89" s="1" t="str">
        <f>IF(COUNTIF('Quipt Prod Data'!L:L,Data[[#This Row],[unqid]])=0,"",COUNTIF('Quipt Prod Data'!L:L,Data[[#This Row],[unqid]]))</f>
        <v/>
      </c>
    </row>
    <row r="90" spans="1:6" x14ac:dyDescent="0.3">
      <c r="A90" t="s">
        <v>218</v>
      </c>
      <c r="B90" t="s">
        <v>28</v>
      </c>
      <c r="C90" t="s">
        <v>27</v>
      </c>
      <c r="D90" s="1" t="str">
        <f>_xlfn.IFNA(_xlfn.XLOOKUP(Data[[#This Row],[unqid]],'Quipt Prod Data'!L:L,'Quipt Prod Data'!B:B),"")</f>
        <v>Portal Quipt-Edocument</v>
      </c>
      <c r="E90" s="1">
        <f>_xlfn.IFNA(_xlfn.XMATCH(Data[[#This Row],[unqid]],'Quipt Prod Data'!L:L,0),"")</f>
        <v>6</v>
      </c>
      <c r="F90" s="1">
        <f>IF(COUNTIF('Quipt Prod Data'!L:L,Data[[#This Row],[unqid]])=0,"",COUNTIF('Quipt Prod Data'!L:L,Data[[#This Row],[unqid]]))</f>
        <v>1</v>
      </c>
    </row>
    <row r="91" spans="1:6" x14ac:dyDescent="0.3">
      <c r="A91" t="s">
        <v>373</v>
      </c>
      <c r="B91" t="s">
        <v>32</v>
      </c>
      <c r="C91" t="s">
        <v>27</v>
      </c>
      <c r="D91" s="1" t="str">
        <f>_xlfn.IFNA(_xlfn.XLOOKUP(Data[[#This Row],[unqid]],'Quipt Prod Data'!L:L,'Quipt Prod Data'!B:B),"")</f>
        <v/>
      </c>
      <c r="E91" s="1" t="str">
        <f>_xlfn.IFNA(_xlfn.XMATCH(Data[[#This Row],[unqid]],'Quipt Prod Data'!L:L,0),"")</f>
        <v/>
      </c>
      <c r="F91" s="1" t="str">
        <f>IF(COUNTIF('Quipt Prod Data'!L:L,Data[[#This Row],[unqid]])=0,"",COUNTIF('Quipt Prod Data'!L:L,Data[[#This Row],[unqid]]))</f>
        <v/>
      </c>
    </row>
    <row r="92" spans="1:6" x14ac:dyDescent="0.3">
      <c r="A92" t="s">
        <v>374</v>
      </c>
      <c r="B92" t="s">
        <v>34</v>
      </c>
      <c r="C92" t="s">
        <v>27</v>
      </c>
      <c r="D92" s="1" t="str">
        <f>_xlfn.IFNA(_xlfn.XLOOKUP(Data[[#This Row],[unqid]],'Quipt Prod Data'!L:L,'Quipt Prod Data'!B:B),"")</f>
        <v/>
      </c>
      <c r="E92" s="1" t="str">
        <f>_xlfn.IFNA(_xlfn.XMATCH(Data[[#This Row],[unqid]],'Quipt Prod Data'!L:L,0),"")</f>
        <v/>
      </c>
      <c r="F92" s="1" t="str">
        <f>IF(COUNTIF('Quipt Prod Data'!L:L,Data[[#This Row],[unqid]])=0,"",COUNTIF('Quipt Prod Data'!L:L,Data[[#This Row],[unqid]]))</f>
        <v/>
      </c>
    </row>
    <row r="93" spans="1:6" x14ac:dyDescent="0.3">
      <c r="A93" t="s">
        <v>375</v>
      </c>
      <c r="B93" t="s">
        <v>32</v>
      </c>
      <c r="C93" t="s">
        <v>27</v>
      </c>
      <c r="D93" s="1" t="str">
        <f>_xlfn.IFNA(_xlfn.XLOOKUP(Data[[#This Row],[unqid]],'Quipt Prod Data'!L:L,'Quipt Prod Data'!B:B),"")</f>
        <v/>
      </c>
      <c r="E93" s="1" t="str">
        <f>_xlfn.IFNA(_xlfn.XMATCH(Data[[#This Row],[unqid]],'Quipt Prod Data'!L:L,0),"")</f>
        <v/>
      </c>
      <c r="F93" s="1" t="str">
        <f>IF(COUNTIF('Quipt Prod Data'!L:L,Data[[#This Row],[unqid]])=0,"",COUNTIF('Quipt Prod Data'!L:L,Data[[#This Row],[unqid]]))</f>
        <v/>
      </c>
    </row>
    <row r="94" spans="1:6" x14ac:dyDescent="0.3">
      <c r="A94" t="s">
        <v>376</v>
      </c>
      <c r="B94" t="s">
        <v>32</v>
      </c>
      <c r="C94" t="s">
        <v>27</v>
      </c>
      <c r="D94" s="1" t="str">
        <f>_xlfn.IFNA(_xlfn.XLOOKUP(Data[[#This Row],[unqid]],'Quipt Prod Data'!L:L,'Quipt Prod Data'!B:B),"")</f>
        <v/>
      </c>
      <c r="E94" s="1" t="str">
        <f>_xlfn.IFNA(_xlfn.XMATCH(Data[[#This Row],[unqid]],'Quipt Prod Data'!L:L,0),"")</f>
        <v/>
      </c>
      <c r="F94" s="1" t="str">
        <f>IF(COUNTIF('Quipt Prod Data'!L:L,Data[[#This Row],[unqid]])=0,"",COUNTIF('Quipt Prod Data'!L:L,Data[[#This Row],[unqid]]))</f>
        <v/>
      </c>
    </row>
    <row r="95" spans="1:6" x14ac:dyDescent="0.3">
      <c r="A95" t="s">
        <v>377</v>
      </c>
      <c r="B95" t="s">
        <v>32</v>
      </c>
      <c r="C95" t="s">
        <v>27</v>
      </c>
      <c r="D95" s="1" t="str">
        <f>_xlfn.IFNA(_xlfn.XLOOKUP(Data[[#This Row],[unqid]],'Quipt Prod Data'!L:L,'Quipt Prod Data'!B:B),"")</f>
        <v/>
      </c>
      <c r="E95" s="1" t="str">
        <f>_xlfn.IFNA(_xlfn.XMATCH(Data[[#This Row],[unqid]],'Quipt Prod Data'!L:L,0),"")</f>
        <v/>
      </c>
      <c r="F95" s="1" t="str">
        <f>IF(COUNTIF('Quipt Prod Data'!L:L,Data[[#This Row],[unqid]])=0,"",COUNTIF('Quipt Prod Data'!L:L,Data[[#This Row],[unqid]]))</f>
        <v/>
      </c>
    </row>
    <row r="96" spans="1:6" x14ac:dyDescent="0.3">
      <c r="A96" t="s">
        <v>378</v>
      </c>
      <c r="B96" t="s">
        <v>34</v>
      </c>
      <c r="C96" t="s">
        <v>27</v>
      </c>
      <c r="D96" s="1" t="str">
        <f>_xlfn.IFNA(_xlfn.XLOOKUP(Data[[#This Row],[unqid]],'Quipt Prod Data'!L:L,'Quipt Prod Data'!B:B),"")</f>
        <v/>
      </c>
      <c r="E96" s="1" t="str">
        <f>_xlfn.IFNA(_xlfn.XMATCH(Data[[#This Row],[unqid]],'Quipt Prod Data'!L:L,0),"")</f>
        <v/>
      </c>
      <c r="F96" s="1" t="str">
        <f>IF(COUNTIF('Quipt Prod Data'!L:L,Data[[#This Row],[unqid]])=0,"",COUNTIF('Quipt Prod Data'!L:L,Data[[#This Row],[unqid]]))</f>
        <v/>
      </c>
    </row>
    <row r="97" spans="1:6" x14ac:dyDescent="0.3">
      <c r="A97" t="s">
        <v>379</v>
      </c>
      <c r="B97" t="s">
        <v>32</v>
      </c>
      <c r="C97" t="s">
        <v>27</v>
      </c>
      <c r="D97" s="1" t="str">
        <f>_xlfn.IFNA(_xlfn.XLOOKUP(Data[[#This Row],[unqid]],'Quipt Prod Data'!L:L,'Quipt Prod Data'!B:B),"")</f>
        <v/>
      </c>
      <c r="E97" s="1" t="str">
        <f>_xlfn.IFNA(_xlfn.XMATCH(Data[[#This Row],[unqid]],'Quipt Prod Data'!L:L,0),"")</f>
        <v/>
      </c>
      <c r="F97" s="1" t="str">
        <f>IF(COUNTIF('Quipt Prod Data'!L:L,Data[[#This Row],[unqid]])=0,"",COUNTIF('Quipt Prod Data'!L:L,Data[[#This Row],[unqid]]))</f>
        <v/>
      </c>
    </row>
    <row r="98" spans="1:6" x14ac:dyDescent="0.3">
      <c r="A98" t="s">
        <v>380</v>
      </c>
      <c r="B98" t="s">
        <v>26</v>
      </c>
      <c r="C98" t="s">
        <v>27</v>
      </c>
      <c r="D98" s="1" t="str">
        <f>_xlfn.IFNA(_xlfn.XLOOKUP(Data[[#This Row],[unqid]],'Quipt Prod Data'!L:L,'Quipt Prod Data'!B:B),"")</f>
        <v/>
      </c>
      <c r="E98" s="1" t="str">
        <f>_xlfn.IFNA(_xlfn.XMATCH(Data[[#This Row],[unqid]],'Quipt Prod Data'!L:L,0),"")</f>
        <v/>
      </c>
      <c r="F98" s="1" t="str">
        <f>IF(COUNTIF('Quipt Prod Data'!L:L,Data[[#This Row],[unqid]])=0,"",COUNTIF('Quipt Prod Data'!L:L,Data[[#This Row],[unqid]]))</f>
        <v/>
      </c>
    </row>
    <row r="99" spans="1:6" x14ac:dyDescent="0.3">
      <c r="A99" t="s">
        <v>381</v>
      </c>
      <c r="B99" t="s">
        <v>32</v>
      </c>
      <c r="C99" t="s">
        <v>27</v>
      </c>
      <c r="D99" s="1" t="str">
        <f>_xlfn.IFNA(_xlfn.XLOOKUP(Data[[#This Row],[unqid]],'Quipt Prod Data'!L:L,'Quipt Prod Data'!B:B),"")</f>
        <v/>
      </c>
      <c r="E99" s="1" t="str">
        <f>_xlfn.IFNA(_xlfn.XMATCH(Data[[#This Row],[unqid]],'Quipt Prod Data'!L:L,0),"")</f>
        <v/>
      </c>
      <c r="F99" s="1" t="str">
        <f>IF(COUNTIF('Quipt Prod Data'!L:L,Data[[#This Row],[unqid]])=0,"",COUNTIF('Quipt Prod Data'!L:L,Data[[#This Row],[unqid]]))</f>
        <v/>
      </c>
    </row>
    <row r="100" spans="1:6" x14ac:dyDescent="0.3">
      <c r="A100" t="s">
        <v>382</v>
      </c>
      <c r="B100" t="s">
        <v>26</v>
      </c>
      <c r="C100" t="s">
        <v>27</v>
      </c>
      <c r="D100" s="1" t="str">
        <f>_xlfn.IFNA(_xlfn.XLOOKUP(Data[[#This Row],[unqid]],'Quipt Prod Data'!L:L,'Quipt Prod Data'!B:B),"")</f>
        <v/>
      </c>
      <c r="E100" s="1" t="str">
        <f>_xlfn.IFNA(_xlfn.XMATCH(Data[[#This Row],[unqid]],'Quipt Prod Data'!L:L,0),"")</f>
        <v/>
      </c>
      <c r="F100" s="1" t="str">
        <f>IF(COUNTIF('Quipt Prod Data'!L:L,Data[[#This Row],[unqid]])=0,"",COUNTIF('Quipt Prod Data'!L:L,Data[[#This Row],[unqid]]))</f>
        <v/>
      </c>
    </row>
    <row r="101" spans="1:6" x14ac:dyDescent="0.3">
      <c r="A101" t="s">
        <v>383</v>
      </c>
      <c r="B101" t="s">
        <v>26</v>
      </c>
      <c r="C101" t="s">
        <v>27</v>
      </c>
      <c r="D101" s="1" t="str">
        <f>_xlfn.IFNA(_xlfn.XLOOKUP(Data[[#This Row],[unqid]],'Quipt Prod Data'!L:L,'Quipt Prod Data'!B:B),"")</f>
        <v/>
      </c>
      <c r="E101" s="1" t="str">
        <f>_xlfn.IFNA(_xlfn.XMATCH(Data[[#This Row],[unqid]],'Quipt Prod Data'!L:L,0),"")</f>
        <v/>
      </c>
      <c r="F101" s="1" t="str">
        <f>IF(COUNTIF('Quipt Prod Data'!L:L,Data[[#This Row],[unqid]])=0,"",COUNTIF('Quipt Prod Data'!L:L,Data[[#This Row],[unqid]]))</f>
        <v/>
      </c>
    </row>
    <row r="102" spans="1:6" x14ac:dyDescent="0.3">
      <c r="A102" t="s">
        <v>384</v>
      </c>
      <c r="B102" t="s">
        <v>26</v>
      </c>
      <c r="C102" t="s">
        <v>27</v>
      </c>
      <c r="D102" s="1" t="str">
        <f>_xlfn.IFNA(_xlfn.XLOOKUP(Data[[#This Row],[unqid]],'Quipt Prod Data'!L:L,'Quipt Prod Data'!B:B),"")</f>
        <v/>
      </c>
      <c r="E102" s="1" t="str">
        <f>_xlfn.IFNA(_xlfn.XMATCH(Data[[#This Row],[unqid]],'Quipt Prod Data'!L:L,0),"")</f>
        <v/>
      </c>
      <c r="F102" s="1" t="str">
        <f>IF(COUNTIF('Quipt Prod Data'!L:L,Data[[#This Row],[unqid]])=0,"",COUNTIF('Quipt Prod Data'!L:L,Data[[#This Row],[unqid]]))</f>
        <v/>
      </c>
    </row>
    <row r="103" spans="1:6" x14ac:dyDescent="0.3">
      <c r="A103" t="s">
        <v>385</v>
      </c>
      <c r="B103" t="s">
        <v>26</v>
      </c>
      <c r="C103" t="s">
        <v>27</v>
      </c>
      <c r="D103" s="1" t="str">
        <f>_xlfn.IFNA(_xlfn.XLOOKUP(Data[[#This Row],[unqid]],'Quipt Prod Data'!L:L,'Quipt Prod Data'!B:B),"")</f>
        <v/>
      </c>
      <c r="E103" s="1" t="str">
        <f>_xlfn.IFNA(_xlfn.XMATCH(Data[[#This Row],[unqid]],'Quipt Prod Data'!L:L,0),"")</f>
        <v/>
      </c>
      <c r="F103" s="1" t="str">
        <f>IF(COUNTIF('Quipt Prod Data'!L:L,Data[[#This Row],[unqid]])=0,"",COUNTIF('Quipt Prod Data'!L:L,Data[[#This Row],[unqid]]))</f>
        <v/>
      </c>
    </row>
    <row r="104" spans="1:6" x14ac:dyDescent="0.3">
      <c r="A104" t="s">
        <v>386</v>
      </c>
      <c r="B104" t="s">
        <v>26</v>
      </c>
      <c r="C104" t="s">
        <v>27</v>
      </c>
      <c r="D104" s="1" t="str">
        <f>_xlfn.IFNA(_xlfn.XLOOKUP(Data[[#This Row],[unqid]],'Quipt Prod Data'!L:L,'Quipt Prod Data'!B:B),"")</f>
        <v/>
      </c>
      <c r="E104" s="1" t="str">
        <f>_xlfn.IFNA(_xlfn.XMATCH(Data[[#This Row],[unqid]],'Quipt Prod Data'!L:L,0),"")</f>
        <v/>
      </c>
      <c r="F104" s="1" t="str">
        <f>IF(COUNTIF('Quipt Prod Data'!L:L,Data[[#This Row],[unqid]])=0,"",COUNTIF('Quipt Prod Data'!L:L,Data[[#This Row],[unqid]]))</f>
        <v/>
      </c>
    </row>
    <row r="105" spans="1:6" x14ac:dyDescent="0.3">
      <c r="A105" t="s">
        <v>387</v>
      </c>
      <c r="B105" t="s">
        <v>26</v>
      </c>
      <c r="C105" t="s">
        <v>27</v>
      </c>
      <c r="D105" s="1" t="str">
        <f>_xlfn.IFNA(_xlfn.XLOOKUP(Data[[#This Row],[unqid]],'Quipt Prod Data'!L:L,'Quipt Prod Data'!B:B),"")</f>
        <v/>
      </c>
      <c r="E105" s="1" t="str">
        <f>_xlfn.IFNA(_xlfn.XMATCH(Data[[#This Row],[unqid]],'Quipt Prod Data'!L:L,0),"")</f>
        <v/>
      </c>
      <c r="F105" s="1" t="str">
        <f>IF(COUNTIF('Quipt Prod Data'!L:L,Data[[#This Row],[unqid]])=0,"",COUNTIF('Quipt Prod Data'!L:L,Data[[#This Row],[unqid]]))</f>
        <v/>
      </c>
    </row>
    <row r="106" spans="1:6" x14ac:dyDescent="0.3">
      <c r="A106" t="s">
        <v>388</v>
      </c>
      <c r="B106" t="s">
        <v>26</v>
      </c>
      <c r="C106" t="s">
        <v>27</v>
      </c>
      <c r="D106" s="1" t="str">
        <f>_xlfn.IFNA(_xlfn.XLOOKUP(Data[[#This Row],[unqid]],'Quipt Prod Data'!L:L,'Quipt Prod Data'!B:B),"")</f>
        <v/>
      </c>
      <c r="E106" s="1" t="str">
        <f>_xlfn.IFNA(_xlfn.XMATCH(Data[[#This Row],[unqid]],'Quipt Prod Data'!L:L,0),"")</f>
        <v/>
      </c>
      <c r="F106" s="1" t="str">
        <f>IF(COUNTIF('Quipt Prod Data'!L:L,Data[[#This Row],[unqid]])=0,"",COUNTIF('Quipt Prod Data'!L:L,Data[[#This Row],[unqid]]))</f>
        <v/>
      </c>
    </row>
    <row r="107" spans="1:6" x14ac:dyDescent="0.3">
      <c r="A107" t="s">
        <v>389</v>
      </c>
      <c r="B107" t="s">
        <v>32</v>
      </c>
      <c r="C107" t="s">
        <v>27</v>
      </c>
      <c r="D107" s="1" t="str">
        <f>_xlfn.IFNA(_xlfn.XLOOKUP(Data[[#This Row],[unqid]],'Quipt Prod Data'!L:L,'Quipt Prod Data'!B:B),"")</f>
        <v/>
      </c>
      <c r="E107" s="1" t="str">
        <f>_xlfn.IFNA(_xlfn.XMATCH(Data[[#This Row],[unqid]],'Quipt Prod Data'!L:L,0),"")</f>
        <v/>
      </c>
      <c r="F107" s="1" t="str">
        <f>IF(COUNTIF('Quipt Prod Data'!L:L,Data[[#This Row],[unqid]])=0,"",COUNTIF('Quipt Prod Data'!L:L,Data[[#This Row],[unqid]]))</f>
        <v/>
      </c>
    </row>
    <row r="108" spans="1:6" x14ac:dyDescent="0.3">
      <c r="A108" t="s">
        <v>390</v>
      </c>
      <c r="B108" t="s">
        <v>26</v>
      </c>
      <c r="C108" t="s">
        <v>27</v>
      </c>
      <c r="D108" s="1" t="str">
        <f>_xlfn.IFNA(_xlfn.XLOOKUP(Data[[#This Row],[unqid]],'Quipt Prod Data'!L:L,'Quipt Prod Data'!B:B),"")</f>
        <v/>
      </c>
      <c r="E108" s="1" t="str">
        <f>_xlfn.IFNA(_xlfn.XMATCH(Data[[#This Row],[unqid]],'Quipt Prod Data'!L:L,0),"")</f>
        <v/>
      </c>
      <c r="F108" s="1" t="str">
        <f>IF(COUNTIF('Quipt Prod Data'!L:L,Data[[#This Row],[unqid]])=0,"",COUNTIF('Quipt Prod Data'!L:L,Data[[#This Row],[unqid]]))</f>
        <v/>
      </c>
    </row>
    <row r="109" spans="1:6" x14ac:dyDescent="0.3">
      <c r="A109" t="s">
        <v>391</v>
      </c>
      <c r="B109" t="s">
        <v>26</v>
      </c>
      <c r="C109" t="s">
        <v>27</v>
      </c>
      <c r="D109" s="1" t="str">
        <f>_xlfn.IFNA(_xlfn.XLOOKUP(Data[[#This Row],[unqid]],'Quipt Prod Data'!L:L,'Quipt Prod Data'!B:B),"")</f>
        <v/>
      </c>
      <c r="E109" s="1" t="str">
        <f>_xlfn.IFNA(_xlfn.XMATCH(Data[[#This Row],[unqid]],'Quipt Prod Data'!L:L,0),"")</f>
        <v/>
      </c>
      <c r="F109" s="1" t="str">
        <f>IF(COUNTIF('Quipt Prod Data'!L:L,Data[[#This Row],[unqid]])=0,"",COUNTIF('Quipt Prod Data'!L:L,Data[[#This Row],[unqid]]))</f>
        <v/>
      </c>
    </row>
    <row r="110" spans="1:6" x14ac:dyDescent="0.3">
      <c r="A110" t="s">
        <v>392</v>
      </c>
      <c r="B110" t="s">
        <v>26</v>
      </c>
      <c r="C110" t="s">
        <v>27</v>
      </c>
      <c r="D110" s="1" t="str">
        <f>_xlfn.IFNA(_xlfn.XLOOKUP(Data[[#This Row],[unqid]],'Quipt Prod Data'!L:L,'Quipt Prod Data'!B:B),"")</f>
        <v/>
      </c>
      <c r="E110" s="1" t="str">
        <f>_xlfn.IFNA(_xlfn.XMATCH(Data[[#This Row],[unqid]],'Quipt Prod Data'!L:L,0),"")</f>
        <v/>
      </c>
      <c r="F110" s="1" t="str">
        <f>IF(COUNTIF('Quipt Prod Data'!L:L,Data[[#This Row],[unqid]])=0,"",COUNTIF('Quipt Prod Data'!L:L,Data[[#This Row],[unqid]]))</f>
        <v/>
      </c>
    </row>
    <row r="111" spans="1:6" x14ac:dyDescent="0.3">
      <c r="A111" t="s">
        <v>393</v>
      </c>
      <c r="B111" t="s">
        <v>26</v>
      </c>
      <c r="C111" t="s">
        <v>27</v>
      </c>
      <c r="D111" s="1" t="str">
        <f>_xlfn.IFNA(_xlfn.XLOOKUP(Data[[#This Row],[unqid]],'Quipt Prod Data'!L:L,'Quipt Prod Data'!B:B),"")</f>
        <v/>
      </c>
      <c r="E111" s="1" t="str">
        <f>_xlfn.IFNA(_xlfn.XMATCH(Data[[#This Row],[unqid]],'Quipt Prod Data'!L:L,0),"")</f>
        <v/>
      </c>
      <c r="F111" s="1" t="str">
        <f>IF(COUNTIF('Quipt Prod Data'!L:L,Data[[#This Row],[unqid]])=0,"",COUNTIF('Quipt Prod Data'!L:L,Data[[#This Row],[unqid]]))</f>
        <v/>
      </c>
    </row>
    <row r="112" spans="1:6" x14ac:dyDescent="0.3">
      <c r="A112" t="s">
        <v>271</v>
      </c>
      <c r="B112" t="s">
        <v>26</v>
      </c>
      <c r="C112" t="s">
        <v>27</v>
      </c>
      <c r="D112" s="1" t="str">
        <f>_xlfn.IFNA(_xlfn.XLOOKUP(Data[[#This Row],[unqid]],'Quipt Prod Data'!L:L,'Quipt Prod Data'!B:B),"")</f>
        <v>Portal Quipt-Edocument</v>
      </c>
      <c r="E112" s="1">
        <f>_xlfn.IFNA(_xlfn.XMATCH(Data[[#This Row],[unqid]],'Quipt Prod Data'!L:L,0),"")</f>
        <v>72</v>
      </c>
      <c r="F112" s="1">
        <f>IF(COUNTIF('Quipt Prod Data'!L:L,Data[[#This Row],[unqid]])=0,"",COUNTIF('Quipt Prod Data'!L:L,Data[[#This Row],[unqid]]))</f>
        <v>1</v>
      </c>
    </row>
    <row r="113" spans="1:6" x14ac:dyDescent="0.3">
      <c r="A113" t="s">
        <v>394</v>
      </c>
      <c r="B113" t="s">
        <v>26</v>
      </c>
      <c r="C113" t="s">
        <v>27</v>
      </c>
      <c r="D113" s="1" t="str">
        <f>_xlfn.IFNA(_xlfn.XLOOKUP(Data[[#This Row],[unqid]],'Quipt Prod Data'!L:L,'Quipt Prod Data'!B:B),"")</f>
        <v/>
      </c>
      <c r="E113" s="1" t="str">
        <f>_xlfn.IFNA(_xlfn.XMATCH(Data[[#This Row],[unqid]],'Quipt Prod Data'!L:L,0),"")</f>
        <v/>
      </c>
      <c r="F113" s="1" t="str">
        <f>IF(COUNTIF('Quipt Prod Data'!L:L,Data[[#This Row],[unqid]])=0,"",COUNTIF('Quipt Prod Data'!L:L,Data[[#This Row],[unqid]]))</f>
        <v/>
      </c>
    </row>
    <row r="114" spans="1:6" x14ac:dyDescent="0.3">
      <c r="A114" t="s">
        <v>395</v>
      </c>
      <c r="B114" t="s">
        <v>32</v>
      </c>
      <c r="C114" t="s">
        <v>27</v>
      </c>
      <c r="D114" s="1" t="str">
        <f>_xlfn.IFNA(_xlfn.XLOOKUP(Data[[#This Row],[unqid]],'Quipt Prod Data'!L:L,'Quipt Prod Data'!B:B),"")</f>
        <v/>
      </c>
      <c r="E114" s="1" t="str">
        <f>_xlfn.IFNA(_xlfn.XMATCH(Data[[#This Row],[unqid]],'Quipt Prod Data'!L:L,0),"")</f>
        <v/>
      </c>
      <c r="F114" s="1" t="str">
        <f>IF(COUNTIF('Quipt Prod Data'!L:L,Data[[#This Row],[unqid]])=0,"",COUNTIF('Quipt Prod Data'!L:L,Data[[#This Row],[unqid]]))</f>
        <v/>
      </c>
    </row>
    <row r="115" spans="1:6" x14ac:dyDescent="0.3">
      <c r="A115" t="s">
        <v>396</v>
      </c>
      <c r="B115" t="s">
        <v>26</v>
      </c>
      <c r="C115" t="s">
        <v>27</v>
      </c>
      <c r="D115" s="1" t="str">
        <f>_xlfn.IFNA(_xlfn.XLOOKUP(Data[[#This Row],[unqid]],'Quipt Prod Data'!L:L,'Quipt Prod Data'!B:B),"")</f>
        <v/>
      </c>
      <c r="E115" s="1" t="str">
        <f>_xlfn.IFNA(_xlfn.XMATCH(Data[[#This Row],[unqid]],'Quipt Prod Data'!L:L,0),"")</f>
        <v/>
      </c>
      <c r="F115" s="1" t="str">
        <f>IF(COUNTIF('Quipt Prod Data'!L:L,Data[[#This Row],[unqid]])=0,"",COUNTIF('Quipt Prod Data'!L:L,Data[[#This Row],[unqid]]))</f>
        <v/>
      </c>
    </row>
    <row r="116" spans="1:6" x14ac:dyDescent="0.3">
      <c r="A116" t="s">
        <v>397</v>
      </c>
      <c r="B116" t="s">
        <v>26</v>
      </c>
      <c r="C116" t="s">
        <v>27</v>
      </c>
      <c r="D116" s="1" t="str">
        <f>_xlfn.IFNA(_xlfn.XLOOKUP(Data[[#This Row],[unqid]],'Quipt Prod Data'!L:L,'Quipt Prod Data'!B:B),"")</f>
        <v/>
      </c>
      <c r="E116" s="1" t="str">
        <f>_xlfn.IFNA(_xlfn.XMATCH(Data[[#This Row],[unqid]],'Quipt Prod Data'!L:L,0),"")</f>
        <v/>
      </c>
      <c r="F116" s="1" t="str">
        <f>IF(COUNTIF('Quipt Prod Data'!L:L,Data[[#This Row],[unqid]])=0,"",COUNTIF('Quipt Prod Data'!L:L,Data[[#This Row],[unqid]]))</f>
        <v/>
      </c>
    </row>
    <row r="117" spans="1:6" x14ac:dyDescent="0.3">
      <c r="A117" t="s">
        <v>398</v>
      </c>
      <c r="B117" t="s">
        <v>26</v>
      </c>
      <c r="C117" t="s">
        <v>27</v>
      </c>
      <c r="D117" s="1" t="str">
        <f>_xlfn.IFNA(_xlfn.XLOOKUP(Data[[#This Row],[unqid]],'Quipt Prod Data'!L:L,'Quipt Prod Data'!B:B),"")</f>
        <v/>
      </c>
      <c r="E117" s="1" t="str">
        <f>_xlfn.IFNA(_xlfn.XMATCH(Data[[#This Row],[unqid]],'Quipt Prod Data'!L:L,0),"")</f>
        <v/>
      </c>
      <c r="F117" s="1" t="str">
        <f>IF(COUNTIF('Quipt Prod Data'!L:L,Data[[#This Row],[unqid]])=0,"",COUNTIF('Quipt Prod Data'!L:L,Data[[#This Row],[unqid]]))</f>
        <v/>
      </c>
    </row>
    <row r="118" spans="1:6" x14ac:dyDescent="0.3">
      <c r="A118" t="s">
        <v>399</v>
      </c>
      <c r="B118" t="s">
        <v>26</v>
      </c>
      <c r="C118" t="s">
        <v>27</v>
      </c>
      <c r="D118" s="1" t="str">
        <f>_xlfn.IFNA(_xlfn.XLOOKUP(Data[[#This Row],[unqid]],'Quipt Prod Data'!L:L,'Quipt Prod Data'!B:B),"")</f>
        <v/>
      </c>
      <c r="E118" s="1" t="str">
        <f>_xlfn.IFNA(_xlfn.XMATCH(Data[[#This Row],[unqid]],'Quipt Prod Data'!L:L,0),"")</f>
        <v/>
      </c>
      <c r="F118" s="1" t="str">
        <f>IF(COUNTIF('Quipt Prod Data'!L:L,Data[[#This Row],[unqid]])=0,"",COUNTIF('Quipt Prod Data'!L:L,Data[[#This Row],[unqid]]))</f>
        <v/>
      </c>
    </row>
    <row r="119" spans="1:6" x14ac:dyDescent="0.3">
      <c r="A119" t="s">
        <v>278</v>
      </c>
      <c r="B119" t="s">
        <v>36</v>
      </c>
      <c r="C119" t="s">
        <v>27</v>
      </c>
      <c r="D119" s="1" t="str">
        <f>_xlfn.IFNA(_xlfn.XLOOKUP(Data[[#This Row],[unqid]],'Quipt Prod Data'!L:L,'Quipt Prod Data'!B:B),"")</f>
        <v>Portal Quipt-PTCall</v>
      </c>
      <c r="E119" s="1">
        <f>_xlfn.IFNA(_xlfn.XMATCH(Data[[#This Row],[unqid]],'Quipt Prod Data'!L:L,0),"")</f>
        <v>108</v>
      </c>
      <c r="F119" s="1">
        <f>IF(COUNTIF('Quipt Prod Data'!L:L,Data[[#This Row],[unqid]])=0,"",COUNTIF('Quipt Prod Data'!L:L,Data[[#This Row],[unqid]]))</f>
        <v>1</v>
      </c>
    </row>
    <row r="120" spans="1:6" x14ac:dyDescent="0.3">
      <c r="A120" t="s">
        <v>400</v>
      </c>
      <c r="B120" t="s">
        <v>32</v>
      </c>
      <c r="C120" t="s">
        <v>27</v>
      </c>
      <c r="D120" s="1" t="str">
        <f>_xlfn.IFNA(_xlfn.XLOOKUP(Data[[#This Row],[unqid]],'Quipt Prod Data'!L:L,'Quipt Prod Data'!B:B),"")</f>
        <v/>
      </c>
      <c r="E120" s="1" t="str">
        <f>_xlfn.IFNA(_xlfn.XMATCH(Data[[#This Row],[unqid]],'Quipt Prod Data'!L:L,0),"")</f>
        <v/>
      </c>
      <c r="F120" s="1" t="str">
        <f>IF(COUNTIF('Quipt Prod Data'!L:L,Data[[#This Row],[unqid]])=0,"",COUNTIF('Quipt Prod Data'!L:L,Data[[#This Row],[unqid]]))</f>
        <v/>
      </c>
    </row>
    <row r="121" spans="1:6" x14ac:dyDescent="0.3">
      <c r="A121" t="s">
        <v>401</v>
      </c>
      <c r="B121" t="s">
        <v>26</v>
      </c>
      <c r="C121" t="s">
        <v>27</v>
      </c>
      <c r="D121" s="1" t="str">
        <f>_xlfn.IFNA(_xlfn.XLOOKUP(Data[[#This Row],[unqid]],'Quipt Prod Data'!L:L,'Quipt Prod Data'!B:B),"")</f>
        <v/>
      </c>
      <c r="E121" s="1" t="str">
        <f>_xlfn.IFNA(_xlfn.XMATCH(Data[[#This Row],[unqid]],'Quipt Prod Data'!L:L,0),"")</f>
        <v/>
      </c>
      <c r="F121" s="1" t="str">
        <f>IF(COUNTIF('Quipt Prod Data'!L:L,Data[[#This Row],[unqid]])=0,"",COUNTIF('Quipt Prod Data'!L:L,Data[[#This Row],[unqid]]))</f>
        <v/>
      </c>
    </row>
    <row r="122" spans="1:6" x14ac:dyDescent="0.3">
      <c r="A122" t="s">
        <v>402</v>
      </c>
      <c r="B122" t="s">
        <v>26</v>
      </c>
      <c r="C122" t="s">
        <v>27</v>
      </c>
      <c r="D122" s="1" t="str">
        <f>_xlfn.IFNA(_xlfn.XLOOKUP(Data[[#This Row],[unqid]],'Quipt Prod Data'!L:L,'Quipt Prod Data'!B:B),"")</f>
        <v/>
      </c>
      <c r="E122" s="1" t="str">
        <f>_xlfn.IFNA(_xlfn.XMATCH(Data[[#This Row],[unqid]],'Quipt Prod Data'!L:L,0),"")</f>
        <v/>
      </c>
      <c r="F122" s="1" t="str">
        <f>IF(COUNTIF('Quipt Prod Data'!L:L,Data[[#This Row],[unqid]])=0,"",COUNTIF('Quipt Prod Data'!L:L,Data[[#This Row],[unqid]]))</f>
        <v/>
      </c>
    </row>
    <row r="123" spans="1:6" x14ac:dyDescent="0.3">
      <c r="A123" t="s">
        <v>403</v>
      </c>
      <c r="B123" t="s">
        <v>26</v>
      </c>
      <c r="C123" t="s">
        <v>27</v>
      </c>
      <c r="D123" s="1" t="str">
        <f>_xlfn.IFNA(_xlfn.XLOOKUP(Data[[#This Row],[unqid]],'Quipt Prod Data'!L:L,'Quipt Prod Data'!B:B),"")</f>
        <v/>
      </c>
      <c r="E123" s="1" t="str">
        <f>_xlfn.IFNA(_xlfn.XMATCH(Data[[#This Row],[unqid]],'Quipt Prod Data'!L:L,0),"")</f>
        <v/>
      </c>
      <c r="F123" s="1" t="str">
        <f>IF(COUNTIF('Quipt Prod Data'!L:L,Data[[#This Row],[unqid]])=0,"",COUNTIF('Quipt Prod Data'!L:L,Data[[#This Row],[unqid]]))</f>
        <v/>
      </c>
    </row>
    <row r="124" spans="1:6" x14ac:dyDescent="0.3">
      <c r="A124" t="s">
        <v>404</v>
      </c>
      <c r="B124" t="s">
        <v>26</v>
      </c>
      <c r="C124" t="s">
        <v>27</v>
      </c>
      <c r="D124" s="1" t="str">
        <f>_xlfn.IFNA(_xlfn.XLOOKUP(Data[[#This Row],[unqid]],'Quipt Prod Data'!L:L,'Quipt Prod Data'!B:B),"")</f>
        <v/>
      </c>
      <c r="E124" s="1" t="str">
        <f>_xlfn.IFNA(_xlfn.XMATCH(Data[[#This Row],[unqid]],'Quipt Prod Data'!L:L,0),"")</f>
        <v/>
      </c>
      <c r="F124" s="1" t="str">
        <f>IF(COUNTIF('Quipt Prod Data'!L:L,Data[[#This Row],[unqid]])=0,"",COUNTIF('Quipt Prod Data'!L:L,Data[[#This Row],[unqid]]))</f>
        <v/>
      </c>
    </row>
    <row r="125" spans="1:6" x14ac:dyDescent="0.3">
      <c r="A125" t="s">
        <v>405</v>
      </c>
      <c r="B125" t="s">
        <v>32</v>
      </c>
      <c r="C125" t="s">
        <v>27</v>
      </c>
      <c r="D125" s="1" t="str">
        <f>_xlfn.IFNA(_xlfn.XLOOKUP(Data[[#This Row],[unqid]],'Quipt Prod Data'!L:L,'Quipt Prod Data'!B:B),"")</f>
        <v/>
      </c>
      <c r="E125" s="1" t="str">
        <f>_xlfn.IFNA(_xlfn.XMATCH(Data[[#This Row],[unqid]],'Quipt Prod Data'!L:L,0),"")</f>
        <v/>
      </c>
      <c r="F125" s="1" t="str">
        <f>IF(COUNTIF('Quipt Prod Data'!L:L,Data[[#This Row],[unqid]])=0,"",COUNTIF('Quipt Prod Data'!L:L,Data[[#This Row],[unqid]]))</f>
        <v/>
      </c>
    </row>
    <row r="126" spans="1:6" x14ac:dyDescent="0.3">
      <c r="A126" t="s">
        <v>406</v>
      </c>
      <c r="B126" t="s">
        <v>26</v>
      </c>
      <c r="C126" t="s">
        <v>27</v>
      </c>
      <c r="D126" s="1" t="str">
        <f>_xlfn.IFNA(_xlfn.XLOOKUP(Data[[#This Row],[unqid]],'Quipt Prod Data'!L:L,'Quipt Prod Data'!B:B),"")</f>
        <v/>
      </c>
      <c r="E126" s="1" t="str">
        <f>_xlfn.IFNA(_xlfn.XMATCH(Data[[#This Row],[unqid]],'Quipt Prod Data'!L:L,0),"")</f>
        <v/>
      </c>
      <c r="F126" s="1" t="str">
        <f>IF(COUNTIF('Quipt Prod Data'!L:L,Data[[#This Row],[unqid]])=0,"",COUNTIF('Quipt Prod Data'!L:L,Data[[#This Row],[unqid]]))</f>
        <v/>
      </c>
    </row>
    <row r="127" spans="1:6" x14ac:dyDescent="0.3">
      <c r="A127" t="s">
        <v>407</v>
      </c>
      <c r="B127" t="s">
        <v>26</v>
      </c>
      <c r="C127" t="s">
        <v>27</v>
      </c>
      <c r="D127" s="1" t="str">
        <f>_xlfn.IFNA(_xlfn.XLOOKUP(Data[[#This Row],[unqid]],'Quipt Prod Data'!L:L,'Quipt Prod Data'!B:B),"")</f>
        <v/>
      </c>
      <c r="E127" s="1" t="str">
        <f>_xlfn.IFNA(_xlfn.XMATCH(Data[[#This Row],[unqid]],'Quipt Prod Data'!L:L,0),"")</f>
        <v/>
      </c>
      <c r="F127" s="1" t="str">
        <f>IF(COUNTIF('Quipt Prod Data'!L:L,Data[[#This Row],[unqid]])=0,"",COUNTIF('Quipt Prod Data'!L:L,Data[[#This Row],[unqid]]))</f>
        <v/>
      </c>
    </row>
    <row r="128" spans="1:6" x14ac:dyDescent="0.3">
      <c r="A128" t="s">
        <v>408</v>
      </c>
      <c r="B128" t="s">
        <v>26</v>
      </c>
      <c r="C128" t="s">
        <v>27</v>
      </c>
      <c r="D128" s="1" t="str">
        <f>_xlfn.IFNA(_xlfn.XLOOKUP(Data[[#This Row],[unqid]],'Quipt Prod Data'!L:L,'Quipt Prod Data'!B:B),"")</f>
        <v/>
      </c>
      <c r="E128" s="1" t="str">
        <f>_xlfn.IFNA(_xlfn.XMATCH(Data[[#This Row],[unqid]],'Quipt Prod Data'!L:L,0),"")</f>
        <v/>
      </c>
      <c r="F128" s="1" t="str">
        <f>IF(COUNTIF('Quipt Prod Data'!L:L,Data[[#This Row],[unqid]])=0,"",COUNTIF('Quipt Prod Data'!L:L,Data[[#This Row],[unqid]]))</f>
        <v/>
      </c>
    </row>
    <row r="129" spans="1:6" x14ac:dyDescent="0.3">
      <c r="A129" t="s">
        <v>409</v>
      </c>
      <c r="B129" t="s">
        <v>26</v>
      </c>
      <c r="C129" t="s">
        <v>27</v>
      </c>
      <c r="D129" s="1" t="str">
        <f>_xlfn.IFNA(_xlfn.XLOOKUP(Data[[#This Row],[unqid]],'Quipt Prod Data'!L:L,'Quipt Prod Data'!B:B),"")</f>
        <v/>
      </c>
      <c r="E129" s="1" t="str">
        <f>_xlfn.IFNA(_xlfn.XMATCH(Data[[#This Row],[unqid]],'Quipt Prod Data'!L:L,0),"")</f>
        <v/>
      </c>
      <c r="F129" s="1" t="str">
        <f>IF(COUNTIF('Quipt Prod Data'!L:L,Data[[#This Row],[unqid]])=0,"",COUNTIF('Quipt Prod Data'!L:L,Data[[#This Row],[unqid]]))</f>
        <v/>
      </c>
    </row>
    <row r="130" spans="1:6" x14ac:dyDescent="0.3">
      <c r="A130" t="s">
        <v>410</v>
      </c>
      <c r="B130" t="s">
        <v>26</v>
      </c>
      <c r="C130" t="s">
        <v>27</v>
      </c>
      <c r="D130" s="1" t="str">
        <f>_xlfn.IFNA(_xlfn.XLOOKUP(Data[[#This Row],[unqid]],'Quipt Prod Data'!L:L,'Quipt Prod Data'!B:B),"")</f>
        <v/>
      </c>
      <c r="E130" s="1" t="str">
        <f>_xlfn.IFNA(_xlfn.XMATCH(Data[[#This Row],[unqid]],'Quipt Prod Data'!L:L,0),"")</f>
        <v/>
      </c>
      <c r="F130" s="1" t="str">
        <f>IF(COUNTIF('Quipt Prod Data'!L:L,Data[[#This Row],[unqid]])=0,"",COUNTIF('Quipt Prod Data'!L:L,Data[[#This Row],[unqid]]))</f>
        <v/>
      </c>
    </row>
    <row r="131" spans="1:6" x14ac:dyDescent="0.3">
      <c r="A131" t="s">
        <v>411</v>
      </c>
      <c r="B131" t="s">
        <v>26</v>
      </c>
      <c r="C131" t="s">
        <v>27</v>
      </c>
      <c r="D131" s="1" t="str">
        <f>_xlfn.IFNA(_xlfn.XLOOKUP(Data[[#This Row],[unqid]],'Quipt Prod Data'!L:L,'Quipt Prod Data'!B:B),"")</f>
        <v/>
      </c>
      <c r="E131" s="1" t="str">
        <f>_xlfn.IFNA(_xlfn.XMATCH(Data[[#This Row],[unqid]],'Quipt Prod Data'!L:L,0),"")</f>
        <v/>
      </c>
      <c r="F131" s="1" t="str">
        <f>IF(COUNTIF('Quipt Prod Data'!L:L,Data[[#This Row],[unqid]])=0,"",COUNTIF('Quipt Prod Data'!L:L,Data[[#This Row],[unqid]]))</f>
        <v/>
      </c>
    </row>
    <row r="132" spans="1:6" x14ac:dyDescent="0.3">
      <c r="A132" t="s">
        <v>412</v>
      </c>
      <c r="B132" t="s">
        <v>35</v>
      </c>
      <c r="C132" t="s">
        <v>27</v>
      </c>
      <c r="D132" s="1" t="str">
        <f>_xlfn.IFNA(_xlfn.XLOOKUP(Data[[#This Row],[unqid]],'Quipt Prod Data'!L:L,'Quipt Prod Data'!B:B),"")</f>
        <v/>
      </c>
      <c r="E132" s="1" t="str">
        <f>_xlfn.IFNA(_xlfn.XMATCH(Data[[#This Row],[unqid]],'Quipt Prod Data'!L:L,0),"")</f>
        <v/>
      </c>
      <c r="F132" s="1" t="str">
        <f>IF(COUNTIF('Quipt Prod Data'!L:L,Data[[#This Row],[unqid]])=0,"",COUNTIF('Quipt Prod Data'!L:L,Data[[#This Row],[unqid]]))</f>
        <v/>
      </c>
    </row>
    <row r="133" spans="1:6" x14ac:dyDescent="0.3">
      <c r="A133" t="s">
        <v>413</v>
      </c>
      <c r="B133" t="s">
        <v>26</v>
      </c>
      <c r="C133" t="s">
        <v>27</v>
      </c>
      <c r="D133" s="1" t="str">
        <f>_xlfn.IFNA(_xlfn.XLOOKUP(Data[[#This Row],[unqid]],'Quipt Prod Data'!L:L,'Quipt Prod Data'!B:B),"")</f>
        <v/>
      </c>
      <c r="E133" s="1" t="str">
        <f>_xlfn.IFNA(_xlfn.XMATCH(Data[[#This Row],[unqid]],'Quipt Prod Data'!L:L,0),"")</f>
        <v/>
      </c>
      <c r="F133" s="1" t="str">
        <f>IF(COUNTIF('Quipt Prod Data'!L:L,Data[[#This Row],[unqid]])=0,"",COUNTIF('Quipt Prod Data'!L:L,Data[[#This Row],[unqid]]))</f>
        <v/>
      </c>
    </row>
    <row r="134" spans="1:6" x14ac:dyDescent="0.3">
      <c r="A134" t="s">
        <v>414</v>
      </c>
      <c r="B134" t="s">
        <v>26</v>
      </c>
      <c r="C134" t="s">
        <v>27</v>
      </c>
      <c r="D134" s="1" t="str">
        <f>_xlfn.IFNA(_xlfn.XLOOKUP(Data[[#This Row],[unqid]],'Quipt Prod Data'!L:L,'Quipt Prod Data'!B:B),"")</f>
        <v/>
      </c>
      <c r="E134" s="1" t="str">
        <f>_xlfn.IFNA(_xlfn.XMATCH(Data[[#This Row],[unqid]],'Quipt Prod Data'!L:L,0),"")</f>
        <v/>
      </c>
      <c r="F134" s="1" t="str">
        <f>IF(COUNTIF('Quipt Prod Data'!L:L,Data[[#This Row],[unqid]])=0,"",COUNTIF('Quipt Prod Data'!L:L,Data[[#This Row],[unqid]]))</f>
        <v/>
      </c>
    </row>
    <row r="135" spans="1:6" x14ac:dyDescent="0.3">
      <c r="A135" t="s">
        <v>415</v>
      </c>
      <c r="B135" t="s">
        <v>34</v>
      </c>
      <c r="C135" t="s">
        <v>27</v>
      </c>
      <c r="D135" s="1" t="str">
        <f>_xlfn.IFNA(_xlfn.XLOOKUP(Data[[#This Row],[unqid]],'Quipt Prod Data'!L:L,'Quipt Prod Data'!B:B),"")</f>
        <v/>
      </c>
      <c r="E135" s="1" t="str">
        <f>_xlfn.IFNA(_xlfn.XMATCH(Data[[#This Row],[unqid]],'Quipt Prod Data'!L:L,0),"")</f>
        <v/>
      </c>
      <c r="F135" s="1" t="str">
        <f>IF(COUNTIF('Quipt Prod Data'!L:L,Data[[#This Row],[unqid]])=0,"",COUNTIF('Quipt Prod Data'!L:L,Data[[#This Row],[unqid]]))</f>
        <v/>
      </c>
    </row>
    <row r="136" spans="1:6" x14ac:dyDescent="0.3">
      <c r="A136" t="s">
        <v>416</v>
      </c>
      <c r="B136" t="s">
        <v>26</v>
      </c>
      <c r="C136" t="s">
        <v>27</v>
      </c>
      <c r="D136" s="1" t="str">
        <f>_xlfn.IFNA(_xlfn.XLOOKUP(Data[[#This Row],[unqid]],'Quipt Prod Data'!L:L,'Quipt Prod Data'!B:B),"")</f>
        <v/>
      </c>
      <c r="E136" s="1" t="str">
        <f>_xlfn.IFNA(_xlfn.XMATCH(Data[[#This Row],[unqid]],'Quipt Prod Data'!L:L,0),"")</f>
        <v/>
      </c>
      <c r="F136" s="1" t="str">
        <f>IF(COUNTIF('Quipt Prod Data'!L:L,Data[[#This Row],[unqid]])=0,"",COUNTIF('Quipt Prod Data'!L:L,Data[[#This Row],[unqid]]))</f>
        <v/>
      </c>
    </row>
    <row r="137" spans="1:6" x14ac:dyDescent="0.3">
      <c r="A137" t="s">
        <v>417</v>
      </c>
      <c r="B137" t="s">
        <v>34</v>
      </c>
      <c r="C137" t="s">
        <v>27</v>
      </c>
      <c r="D137" s="1" t="str">
        <f>_xlfn.IFNA(_xlfn.XLOOKUP(Data[[#This Row],[unqid]],'Quipt Prod Data'!L:L,'Quipt Prod Data'!B:B),"")</f>
        <v/>
      </c>
      <c r="E137" s="1" t="str">
        <f>_xlfn.IFNA(_xlfn.XMATCH(Data[[#This Row],[unqid]],'Quipt Prod Data'!L:L,0),"")</f>
        <v/>
      </c>
      <c r="F137" s="1" t="str">
        <f>IF(COUNTIF('Quipt Prod Data'!L:L,Data[[#This Row],[unqid]])=0,"",COUNTIF('Quipt Prod Data'!L:L,Data[[#This Row],[unqid]]))</f>
        <v/>
      </c>
    </row>
    <row r="138" spans="1:6" x14ac:dyDescent="0.3">
      <c r="A138" t="s">
        <v>418</v>
      </c>
      <c r="B138" t="s">
        <v>37</v>
      </c>
      <c r="C138" t="s">
        <v>27</v>
      </c>
      <c r="D138" s="1" t="str">
        <f>_xlfn.IFNA(_xlfn.XLOOKUP(Data[[#This Row],[unqid]],'Quipt Prod Data'!L:L,'Quipt Prod Data'!B:B),"")</f>
        <v/>
      </c>
      <c r="E138" s="1" t="str">
        <f>_xlfn.IFNA(_xlfn.XMATCH(Data[[#This Row],[unqid]],'Quipt Prod Data'!L:L,0),"")</f>
        <v/>
      </c>
      <c r="F138" s="1" t="str">
        <f>IF(COUNTIF('Quipt Prod Data'!L:L,Data[[#This Row],[unqid]])=0,"",COUNTIF('Quipt Prod Data'!L:L,Data[[#This Row],[unqid]]))</f>
        <v/>
      </c>
    </row>
    <row r="139" spans="1:6" x14ac:dyDescent="0.3">
      <c r="A139" t="s">
        <v>419</v>
      </c>
      <c r="B139" t="s">
        <v>32</v>
      </c>
      <c r="C139" t="s">
        <v>27</v>
      </c>
      <c r="D139" s="1" t="str">
        <f>_xlfn.IFNA(_xlfn.XLOOKUP(Data[[#This Row],[unqid]],'Quipt Prod Data'!L:L,'Quipt Prod Data'!B:B),"")</f>
        <v/>
      </c>
      <c r="E139" s="1" t="str">
        <f>_xlfn.IFNA(_xlfn.XMATCH(Data[[#This Row],[unqid]],'Quipt Prod Data'!L:L,0),"")</f>
        <v/>
      </c>
      <c r="F139" s="1" t="str">
        <f>IF(COUNTIF('Quipt Prod Data'!L:L,Data[[#This Row],[unqid]])=0,"",COUNTIF('Quipt Prod Data'!L:L,Data[[#This Row],[unqid]]))</f>
        <v/>
      </c>
    </row>
    <row r="140" spans="1:6" x14ac:dyDescent="0.3">
      <c r="A140" t="s">
        <v>420</v>
      </c>
      <c r="B140" t="s">
        <v>26</v>
      </c>
      <c r="C140" t="s">
        <v>27</v>
      </c>
      <c r="D140" s="1" t="str">
        <f>_xlfn.IFNA(_xlfn.XLOOKUP(Data[[#This Row],[unqid]],'Quipt Prod Data'!L:L,'Quipt Prod Data'!B:B),"")</f>
        <v/>
      </c>
      <c r="E140" s="1" t="str">
        <f>_xlfn.IFNA(_xlfn.XMATCH(Data[[#This Row],[unqid]],'Quipt Prod Data'!L:L,0),"")</f>
        <v/>
      </c>
      <c r="F140" s="1" t="str">
        <f>IF(COUNTIF('Quipt Prod Data'!L:L,Data[[#This Row],[unqid]])=0,"",COUNTIF('Quipt Prod Data'!L:L,Data[[#This Row],[unqid]]))</f>
        <v/>
      </c>
    </row>
    <row r="141" spans="1:6" x14ac:dyDescent="0.3">
      <c r="A141" t="s">
        <v>421</v>
      </c>
      <c r="B141" t="s">
        <v>32</v>
      </c>
      <c r="C141" t="s">
        <v>27</v>
      </c>
      <c r="D141" s="1" t="str">
        <f>_xlfn.IFNA(_xlfn.XLOOKUP(Data[[#This Row],[unqid]],'Quipt Prod Data'!L:L,'Quipt Prod Data'!B:B),"")</f>
        <v/>
      </c>
      <c r="E141" s="1" t="str">
        <f>_xlfn.IFNA(_xlfn.XMATCH(Data[[#This Row],[unqid]],'Quipt Prod Data'!L:L,0),"")</f>
        <v/>
      </c>
      <c r="F141" s="1" t="str">
        <f>IF(COUNTIF('Quipt Prod Data'!L:L,Data[[#This Row],[unqid]])=0,"",COUNTIF('Quipt Prod Data'!L:L,Data[[#This Row],[unqid]]))</f>
        <v/>
      </c>
    </row>
    <row r="142" spans="1:6" x14ac:dyDescent="0.3">
      <c r="A142" t="s">
        <v>422</v>
      </c>
      <c r="B142" t="s">
        <v>26</v>
      </c>
      <c r="C142" t="s">
        <v>27</v>
      </c>
      <c r="D142" s="1" t="str">
        <f>_xlfn.IFNA(_xlfn.XLOOKUP(Data[[#This Row],[unqid]],'Quipt Prod Data'!L:L,'Quipt Prod Data'!B:B),"")</f>
        <v/>
      </c>
      <c r="E142" s="1" t="str">
        <f>_xlfn.IFNA(_xlfn.XMATCH(Data[[#This Row],[unqid]],'Quipt Prod Data'!L:L,0),"")</f>
        <v/>
      </c>
      <c r="F142" s="1" t="str">
        <f>IF(COUNTIF('Quipt Prod Data'!L:L,Data[[#This Row],[unqid]])=0,"",COUNTIF('Quipt Prod Data'!L:L,Data[[#This Row],[unqid]]))</f>
        <v/>
      </c>
    </row>
    <row r="143" spans="1:6" x14ac:dyDescent="0.3">
      <c r="A143" t="s">
        <v>423</v>
      </c>
      <c r="B143" t="s">
        <v>26</v>
      </c>
      <c r="C143" t="s">
        <v>27</v>
      </c>
      <c r="D143" s="1" t="str">
        <f>_xlfn.IFNA(_xlfn.XLOOKUP(Data[[#This Row],[unqid]],'Quipt Prod Data'!L:L,'Quipt Prod Data'!B:B),"")</f>
        <v/>
      </c>
      <c r="E143" s="1" t="str">
        <f>_xlfn.IFNA(_xlfn.XMATCH(Data[[#This Row],[unqid]],'Quipt Prod Data'!L:L,0),"")</f>
        <v/>
      </c>
      <c r="F143" s="1" t="str">
        <f>IF(COUNTIF('Quipt Prod Data'!L:L,Data[[#This Row],[unqid]])=0,"",COUNTIF('Quipt Prod Data'!L:L,Data[[#This Row],[unqid]]))</f>
        <v/>
      </c>
    </row>
    <row r="144" spans="1:6" x14ac:dyDescent="0.3">
      <c r="A144" t="s">
        <v>424</v>
      </c>
      <c r="B144" t="s">
        <v>26</v>
      </c>
      <c r="C144" t="s">
        <v>27</v>
      </c>
      <c r="D144" s="1" t="str">
        <f>_xlfn.IFNA(_xlfn.XLOOKUP(Data[[#This Row],[unqid]],'Quipt Prod Data'!L:L,'Quipt Prod Data'!B:B),"")</f>
        <v/>
      </c>
      <c r="E144" s="1" t="str">
        <f>_xlfn.IFNA(_xlfn.XMATCH(Data[[#This Row],[unqid]],'Quipt Prod Data'!L:L,0),"")</f>
        <v/>
      </c>
      <c r="F144" s="1" t="str">
        <f>IF(COUNTIF('Quipt Prod Data'!L:L,Data[[#This Row],[unqid]])=0,"",COUNTIF('Quipt Prod Data'!L:L,Data[[#This Row],[unqid]]))</f>
        <v/>
      </c>
    </row>
    <row r="145" spans="1:6" x14ac:dyDescent="0.3">
      <c r="A145" t="s">
        <v>282</v>
      </c>
      <c r="B145" t="s">
        <v>34</v>
      </c>
      <c r="C145" t="s">
        <v>27</v>
      </c>
      <c r="D145" s="1" t="str">
        <f>_xlfn.IFNA(_xlfn.XLOOKUP(Data[[#This Row],[unqid]],'Quipt Prod Data'!L:L,'Quipt Prod Data'!B:B),"")</f>
        <v>Portal Quipt-PTCall</v>
      </c>
      <c r="E145" s="1">
        <f>_xlfn.IFNA(_xlfn.XMATCH(Data[[#This Row],[unqid]],'Quipt Prod Data'!L:L,0),"")</f>
        <v>112</v>
      </c>
      <c r="F145" s="1">
        <f>IF(COUNTIF('Quipt Prod Data'!L:L,Data[[#This Row],[unqid]])=0,"",COUNTIF('Quipt Prod Data'!L:L,Data[[#This Row],[unqid]]))</f>
        <v>1</v>
      </c>
    </row>
    <row r="146" spans="1:6" x14ac:dyDescent="0.3">
      <c r="A146" t="s">
        <v>425</v>
      </c>
      <c r="B146" t="s">
        <v>30</v>
      </c>
      <c r="C146" t="s">
        <v>27</v>
      </c>
      <c r="D146" s="1" t="str">
        <f>_xlfn.IFNA(_xlfn.XLOOKUP(Data[[#This Row],[unqid]],'Quipt Prod Data'!L:L,'Quipt Prod Data'!B:B),"")</f>
        <v/>
      </c>
      <c r="E146" s="1" t="str">
        <f>_xlfn.IFNA(_xlfn.XMATCH(Data[[#This Row],[unqid]],'Quipt Prod Data'!L:L,0),"")</f>
        <v/>
      </c>
      <c r="F146" s="1" t="str">
        <f>IF(COUNTIF('Quipt Prod Data'!L:L,Data[[#This Row],[unqid]])=0,"",COUNTIF('Quipt Prod Data'!L:L,Data[[#This Row],[unqid]]))</f>
        <v/>
      </c>
    </row>
    <row r="147" spans="1:6" x14ac:dyDescent="0.3">
      <c r="A147" t="s">
        <v>426</v>
      </c>
      <c r="B147" t="s">
        <v>26</v>
      </c>
      <c r="C147" t="s">
        <v>27</v>
      </c>
      <c r="D147" s="1" t="str">
        <f>_xlfn.IFNA(_xlfn.XLOOKUP(Data[[#This Row],[unqid]],'Quipt Prod Data'!L:L,'Quipt Prod Data'!B:B),"")</f>
        <v/>
      </c>
      <c r="E147" s="1" t="str">
        <f>_xlfn.IFNA(_xlfn.XMATCH(Data[[#This Row],[unqid]],'Quipt Prod Data'!L:L,0),"")</f>
        <v/>
      </c>
      <c r="F147" s="1" t="str">
        <f>IF(COUNTIF('Quipt Prod Data'!L:L,Data[[#This Row],[unqid]])=0,"",COUNTIF('Quipt Prod Data'!L:L,Data[[#This Row],[unqid]]))</f>
        <v/>
      </c>
    </row>
    <row r="148" spans="1:6" x14ac:dyDescent="0.3">
      <c r="A148" t="s">
        <v>427</v>
      </c>
      <c r="B148" t="s">
        <v>38</v>
      </c>
      <c r="C148" t="s">
        <v>27</v>
      </c>
      <c r="D148" s="1" t="str">
        <f>_xlfn.IFNA(_xlfn.XLOOKUP(Data[[#This Row],[unqid]],'Quipt Prod Data'!L:L,'Quipt Prod Data'!B:B),"")</f>
        <v/>
      </c>
      <c r="E148" s="1" t="str">
        <f>_xlfn.IFNA(_xlfn.XMATCH(Data[[#This Row],[unqid]],'Quipt Prod Data'!L:L,0),"")</f>
        <v/>
      </c>
      <c r="F148" s="1" t="str">
        <f>IF(COUNTIF('Quipt Prod Data'!L:L,Data[[#This Row],[unqid]])=0,"",COUNTIF('Quipt Prod Data'!L:L,Data[[#This Row],[unqid]]))</f>
        <v/>
      </c>
    </row>
    <row r="149" spans="1:6" x14ac:dyDescent="0.3">
      <c r="A149" t="s">
        <v>428</v>
      </c>
      <c r="B149" t="s">
        <v>26</v>
      </c>
      <c r="C149" t="s">
        <v>27</v>
      </c>
      <c r="D149" s="1" t="str">
        <f>_xlfn.IFNA(_xlfn.XLOOKUP(Data[[#This Row],[unqid]],'Quipt Prod Data'!L:L,'Quipt Prod Data'!B:B),"")</f>
        <v/>
      </c>
      <c r="E149" s="1" t="str">
        <f>_xlfn.IFNA(_xlfn.XMATCH(Data[[#This Row],[unqid]],'Quipt Prod Data'!L:L,0),"")</f>
        <v/>
      </c>
      <c r="F149" s="1" t="str">
        <f>IF(COUNTIF('Quipt Prod Data'!L:L,Data[[#This Row],[unqid]])=0,"",COUNTIF('Quipt Prod Data'!L:L,Data[[#This Row],[unqid]]))</f>
        <v/>
      </c>
    </row>
    <row r="150" spans="1:6" x14ac:dyDescent="0.3">
      <c r="A150" t="s">
        <v>429</v>
      </c>
      <c r="B150" t="s">
        <v>26</v>
      </c>
      <c r="C150" t="s">
        <v>27</v>
      </c>
      <c r="D150" s="1" t="str">
        <f>_xlfn.IFNA(_xlfn.XLOOKUP(Data[[#This Row],[unqid]],'Quipt Prod Data'!L:L,'Quipt Prod Data'!B:B),"")</f>
        <v/>
      </c>
      <c r="E150" s="1" t="str">
        <f>_xlfn.IFNA(_xlfn.XMATCH(Data[[#This Row],[unqid]],'Quipt Prod Data'!L:L,0),"")</f>
        <v/>
      </c>
      <c r="F150" s="1" t="str">
        <f>IF(COUNTIF('Quipt Prod Data'!L:L,Data[[#This Row],[unqid]])=0,"",COUNTIF('Quipt Prod Data'!L:L,Data[[#This Row],[unqid]]))</f>
        <v/>
      </c>
    </row>
    <row r="151" spans="1:6" x14ac:dyDescent="0.3">
      <c r="A151" t="s">
        <v>430</v>
      </c>
      <c r="B151" t="s">
        <v>26</v>
      </c>
      <c r="C151" t="s">
        <v>27</v>
      </c>
      <c r="D151" s="1" t="str">
        <f>_xlfn.IFNA(_xlfn.XLOOKUP(Data[[#This Row],[unqid]],'Quipt Prod Data'!L:L,'Quipt Prod Data'!B:B),"")</f>
        <v/>
      </c>
      <c r="E151" s="1" t="str">
        <f>_xlfn.IFNA(_xlfn.XMATCH(Data[[#This Row],[unqid]],'Quipt Prod Data'!L:L,0),"")</f>
        <v/>
      </c>
      <c r="F151" s="1" t="str">
        <f>IF(COUNTIF('Quipt Prod Data'!L:L,Data[[#This Row],[unqid]])=0,"",COUNTIF('Quipt Prod Data'!L:L,Data[[#This Row],[unqid]]))</f>
        <v/>
      </c>
    </row>
    <row r="152" spans="1:6" x14ac:dyDescent="0.3">
      <c r="A152" t="s">
        <v>431</v>
      </c>
      <c r="B152" t="s">
        <v>26</v>
      </c>
      <c r="C152" t="s">
        <v>27</v>
      </c>
      <c r="D152" s="1" t="str">
        <f>_xlfn.IFNA(_xlfn.XLOOKUP(Data[[#This Row],[unqid]],'Quipt Prod Data'!L:L,'Quipt Prod Data'!B:B),"")</f>
        <v/>
      </c>
      <c r="E152" s="1" t="str">
        <f>_xlfn.IFNA(_xlfn.XMATCH(Data[[#This Row],[unqid]],'Quipt Prod Data'!L:L,0),"")</f>
        <v/>
      </c>
      <c r="F152" s="1" t="str">
        <f>IF(COUNTIF('Quipt Prod Data'!L:L,Data[[#This Row],[unqid]])=0,"",COUNTIF('Quipt Prod Data'!L:L,Data[[#This Row],[unqid]]))</f>
        <v/>
      </c>
    </row>
    <row r="153" spans="1:6" x14ac:dyDescent="0.3">
      <c r="A153" t="s">
        <v>432</v>
      </c>
      <c r="B153" t="s">
        <v>28</v>
      </c>
      <c r="C153" t="s">
        <v>27</v>
      </c>
      <c r="D153" s="1" t="str">
        <f>_xlfn.IFNA(_xlfn.XLOOKUP(Data[[#This Row],[unqid]],'Quipt Prod Data'!L:L,'Quipt Prod Data'!B:B),"")</f>
        <v/>
      </c>
      <c r="E153" s="1" t="str">
        <f>_xlfn.IFNA(_xlfn.XMATCH(Data[[#This Row],[unqid]],'Quipt Prod Data'!L:L,0),"")</f>
        <v/>
      </c>
      <c r="F153" s="1" t="str">
        <f>IF(COUNTIF('Quipt Prod Data'!L:L,Data[[#This Row],[unqid]])=0,"",COUNTIF('Quipt Prod Data'!L:L,Data[[#This Row],[unqid]]))</f>
        <v/>
      </c>
    </row>
    <row r="154" spans="1:6" x14ac:dyDescent="0.3">
      <c r="A154" t="s">
        <v>433</v>
      </c>
      <c r="B154" t="s">
        <v>26</v>
      </c>
      <c r="C154" t="s">
        <v>27</v>
      </c>
      <c r="D154" s="1" t="str">
        <f>_xlfn.IFNA(_xlfn.XLOOKUP(Data[[#This Row],[unqid]],'Quipt Prod Data'!L:L,'Quipt Prod Data'!B:B),"")</f>
        <v/>
      </c>
      <c r="E154" s="1" t="str">
        <f>_xlfn.IFNA(_xlfn.XMATCH(Data[[#This Row],[unqid]],'Quipt Prod Data'!L:L,0),"")</f>
        <v/>
      </c>
      <c r="F154" s="1" t="str">
        <f>IF(COUNTIF('Quipt Prod Data'!L:L,Data[[#This Row],[unqid]])=0,"",COUNTIF('Quipt Prod Data'!L:L,Data[[#This Row],[unqid]]))</f>
        <v/>
      </c>
    </row>
    <row r="155" spans="1:6" x14ac:dyDescent="0.3">
      <c r="A155" t="s">
        <v>434</v>
      </c>
      <c r="B155" t="s">
        <v>26</v>
      </c>
      <c r="C155" t="s">
        <v>27</v>
      </c>
      <c r="D155" s="1" t="str">
        <f>_xlfn.IFNA(_xlfn.XLOOKUP(Data[[#This Row],[unqid]],'Quipt Prod Data'!L:L,'Quipt Prod Data'!B:B),"")</f>
        <v/>
      </c>
      <c r="E155" s="1" t="str">
        <f>_xlfn.IFNA(_xlfn.XMATCH(Data[[#This Row],[unqid]],'Quipt Prod Data'!L:L,0),"")</f>
        <v/>
      </c>
      <c r="F155" s="1" t="str">
        <f>IF(COUNTIF('Quipt Prod Data'!L:L,Data[[#This Row],[unqid]])=0,"",COUNTIF('Quipt Prod Data'!L:L,Data[[#This Row],[unqid]]))</f>
        <v/>
      </c>
    </row>
    <row r="156" spans="1:6" x14ac:dyDescent="0.3">
      <c r="A156" t="s">
        <v>435</v>
      </c>
      <c r="B156" t="s">
        <v>26</v>
      </c>
      <c r="C156" t="s">
        <v>27</v>
      </c>
      <c r="D156" s="1" t="str">
        <f>_xlfn.IFNA(_xlfn.XLOOKUP(Data[[#This Row],[unqid]],'Quipt Prod Data'!L:L,'Quipt Prod Data'!B:B),"")</f>
        <v/>
      </c>
      <c r="E156" s="1" t="str">
        <f>_xlfn.IFNA(_xlfn.XMATCH(Data[[#This Row],[unqid]],'Quipt Prod Data'!L:L,0),"")</f>
        <v/>
      </c>
      <c r="F156" s="1" t="str">
        <f>IF(COUNTIF('Quipt Prod Data'!L:L,Data[[#This Row],[unqid]])=0,"",COUNTIF('Quipt Prod Data'!L:L,Data[[#This Row],[unqid]]))</f>
        <v/>
      </c>
    </row>
    <row r="157" spans="1:6" x14ac:dyDescent="0.3">
      <c r="A157" t="s">
        <v>436</v>
      </c>
      <c r="B157" t="s">
        <v>32</v>
      </c>
      <c r="C157" t="s">
        <v>27</v>
      </c>
      <c r="D157" s="1" t="str">
        <f>_xlfn.IFNA(_xlfn.XLOOKUP(Data[[#This Row],[unqid]],'Quipt Prod Data'!L:L,'Quipt Prod Data'!B:B),"")</f>
        <v/>
      </c>
      <c r="E157" s="1" t="str">
        <f>_xlfn.IFNA(_xlfn.XMATCH(Data[[#This Row],[unqid]],'Quipt Prod Data'!L:L,0),"")</f>
        <v/>
      </c>
      <c r="F157" s="1" t="str">
        <f>IF(COUNTIF('Quipt Prod Data'!L:L,Data[[#This Row],[unqid]])=0,"",COUNTIF('Quipt Prod Data'!L:L,Data[[#This Row],[unqid]]))</f>
        <v/>
      </c>
    </row>
    <row r="158" spans="1:6" x14ac:dyDescent="0.3">
      <c r="A158" t="s">
        <v>437</v>
      </c>
      <c r="B158" t="s">
        <v>26</v>
      </c>
      <c r="C158" t="s">
        <v>27</v>
      </c>
      <c r="D158" s="1" t="str">
        <f>_xlfn.IFNA(_xlfn.XLOOKUP(Data[[#This Row],[unqid]],'Quipt Prod Data'!L:L,'Quipt Prod Data'!B:B),"")</f>
        <v/>
      </c>
      <c r="E158" s="1" t="str">
        <f>_xlfn.IFNA(_xlfn.XMATCH(Data[[#This Row],[unqid]],'Quipt Prod Data'!L:L,0),"")</f>
        <v/>
      </c>
      <c r="F158" s="1" t="str">
        <f>IF(COUNTIF('Quipt Prod Data'!L:L,Data[[#This Row],[unqid]])=0,"",COUNTIF('Quipt Prod Data'!L:L,Data[[#This Row],[unqid]]))</f>
        <v/>
      </c>
    </row>
    <row r="159" spans="1:6" x14ac:dyDescent="0.3">
      <c r="A159" t="s">
        <v>438</v>
      </c>
      <c r="B159" t="s">
        <v>26</v>
      </c>
      <c r="C159" t="s">
        <v>27</v>
      </c>
      <c r="D159" s="1" t="str">
        <f>_xlfn.IFNA(_xlfn.XLOOKUP(Data[[#This Row],[unqid]],'Quipt Prod Data'!L:L,'Quipt Prod Data'!B:B),"")</f>
        <v/>
      </c>
      <c r="E159" s="1" t="str">
        <f>_xlfn.IFNA(_xlfn.XMATCH(Data[[#This Row],[unqid]],'Quipt Prod Data'!L:L,0),"")</f>
        <v/>
      </c>
      <c r="F159" s="1" t="str">
        <f>IF(COUNTIF('Quipt Prod Data'!L:L,Data[[#This Row],[unqid]])=0,"",COUNTIF('Quipt Prod Data'!L:L,Data[[#This Row],[unqid]]))</f>
        <v/>
      </c>
    </row>
    <row r="160" spans="1:6" x14ac:dyDescent="0.3">
      <c r="A160" t="s">
        <v>439</v>
      </c>
      <c r="B160" t="s">
        <v>26</v>
      </c>
      <c r="C160" t="s">
        <v>27</v>
      </c>
      <c r="D160" s="1" t="str">
        <f>_xlfn.IFNA(_xlfn.XLOOKUP(Data[[#This Row],[unqid]],'Quipt Prod Data'!L:L,'Quipt Prod Data'!B:B),"")</f>
        <v/>
      </c>
      <c r="E160" s="1" t="str">
        <f>_xlfn.IFNA(_xlfn.XMATCH(Data[[#This Row],[unqid]],'Quipt Prod Data'!L:L,0),"")</f>
        <v/>
      </c>
      <c r="F160" s="1" t="str">
        <f>IF(COUNTIF('Quipt Prod Data'!L:L,Data[[#This Row],[unqid]])=0,"",COUNTIF('Quipt Prod Data'!L:L,Data[[#This Row],[unqid]]))</f>
        <v/>
      </c>
    </row>
    <row r="161" spans="1:6" x14ac:dyDescent="0.3">
      <c r="A161" t="s">
        <v>440</v>
      </c>
      <c r="B161" t="s">
        <v>26</v>
      </c>
      <c r="C161" t="s">
        <v>27</v>
      </c>
      <c r="D161" s="1" t="str">
        <f>_xlfn.IFNA(_xlfn.XLOOKUP(Data[[#This Row],[unqid]],'Quipt Prod Data'!L:L,'Quipt Prod Data'!B:B),"")</f>
        <v/>
      </c>
      <c r="E161" s="1" t="str">
        <f>_xlfn.IFNA(_xlfn.XMATCH(Data[[#This Row],[unqid]],'Quipt Prod Data'!L:L,0),"")</f>
        <v/>
      </c>
      <c r="F161" s="1" t="str">
        <f>IF(COUNTIF('Quipt Prod Data'!L:L,Data[[#This Row],[unqid]])=0,"",COUNTIF('Quipt Prod Data'!L:L,Data[[#This Row],[unqid]]))</f>
        <v/>
      </c>
    </row>
    <row r="162" spans="1:6" x14ac:dyDescent="0.3">
      <c r="A162" t="s">
        <v>441</v>
      </c>
      <c r="B162" t="s">
        <v>28</v>
      </c>
      <c r="C162" t="s">
        <v>27</v>
      </c>
      <c r="D162" s="1" t="str">
        <f>_xlfn.IFNA(_xlfn.XLOOKUP(Data[[#This Row],[unqid]],'Quipt Prod Data'!L:L,'Quipt Prod Data'!B:B),"")</f>
        <v/>
      </c>
      <c r="E162" s="1" t="str">
        <f>_xlfn.IFNA(_xlfn.XMATCH(Data[[#This Row],[unqid]],'Quipt Prod Data'!L:L,0),"")</f>
        <v/>
      </c>
      <c r="F162" s="1" t="str">
        <f>IF(COUNTIF('Quipt Prod Data'!L:L,Data[[#This Row],[unqid]])=0,"",COUNTIF('Quipt Prod Data'!L:L,Data[[#This Row],[unqid]]))</f>
        <v/>
      </c>
    </row>
    <row r="163" spans="1:6" x14ac:dyDescent="0.3">
      <c r="A163" t="s">
        <v>442</v>
      </c>
      <c r="B163" t="s">
        <v>26</v>
      </c>
      <c r="C163" t="s">
        <v>27</v>
      </c>
      <c r="D163" s="1" t="str">
        <f>_xlfn.IFNA(_xlfn.XLOOKUP(Data[[#This Row],[unqid]],'Quipt Prod Data'!L:L,'Quipt Prod Data'!B:B),"")</f>
        <v/>
      </c>
      <c r="E163" s="1" t="str">
        <f>_xlfn.IFNA(_xlfn.XMATCH(Data[[#This Row],[unqid]],'Quipt Prod Data'!L:L,0),"")</f>
        <v/>
      </c>
      <c r="F163" s="1" t="str">
        <f>IF(COUNTIF('Quipt Prod Data'!L:L,Data[[#This Row],[unqid]])=0,"",COUNTIF('Quipt Prod Data'!L:L,Data[[#This Row],[unqid]]))</f>
        <v/>
      </c>
    </row>
    <row r="164" spans="1:6" x14ac:dyDescent="0.3">
      <c r="A164" t="s">
        <v>443</v>
      </c>
      <c r="B164" t="s">
        <v>30</v>
      </c>
      <c r="C164" t="s">
        <v>27</v>
      </c>
      <c r="D164" s="1" t="str">
        <f>_xlfn.IFNA(_xlfn.XLOOKUP(Data[[#This Row],[unqid]],'Quipt Prod Data'!L:L,'Quipt Prod Data'!B:B),"")</f>
        <v/>
      </c>
      <c r="E164" s="1" t="str">
        <f>_xlfn.IFNA(_xlfn.XMATCH(Data[[#This Row],[unqid]],'Quipt Prod Data'!L:L,0),"")</f>
        <v/>
      </c>
      <c r="F164" s="1" t="str">
        <f>IF(COUNTIF('Quipt Prod Data'!L:L,Data[[#This Row],[unqid]])=0,"",COUNTIF('Quipt Prod Data'!L:L,Data[[#This Row],[unqid]]))</f>
        <v/>
      </c>
    </row>
    <row r="165" spans="1:6" x14ac:dyDescent="0.3">
      <c r="A165" t="s">
        <v>444</v>
      </c>
      <c r="B165" t="s">
        <v>26</v>
      </c>
      <c r="C165" t="s">
        <v>27</v>
      </c>
      <c r="D165" s="1" t="str">
        <f>_xlfn.IFNA(_xlfn.XLOOKUP(Data[[#This Row],[unqid]],'Quipt Prod Data'!L:L,'Quipt Prod Data'!B:B),"")</f>
        <v/>
      </c>
      <c r="E165" s="1" t="str">
        <f>_xlfn.IFNA(_xlfn.XMATCH(Data[[#This Row],[unqid]],'Quipt Prod Data'!L:L,0),"")</f>
        <v/>
      </c>
      <c r="F165" s="1" t="str">
        <f>IF(COUNTIF('Quipt Prod Data'!L:L,Data[[#This Row],[unqid]])=0,"",COUNTIF('Quipt Prod Data'!L:L,Data[[#This Row],[unqid]]))</f>
        <v/>
      </c>
    </row>
    <row r="166" spans="1:6" x14ac:dyDescent="0.3">
      <c r="A166" t="s">
        <v>445</v>
      </c>
      <c r="B166" t="s">
        <v>26</v>
      </c>
      <c r="C166" t="s">
        <v>27</v>
      </c>
      <c r="D166" s="1" t="str">
        <f>_xlfn.IFNA(_xlfn.XLOOKUP(Data[[#This Row],[unqid]],'Quipt Prod Data'!L:L,'Quipt Prod Data'!B:B),"")</f>
        <v/>
      </c>
      <c r="E166" s="1" t="str">
        <f>_xlfn.IFNA(_xlfn.XMATCH(Data[[#This Row],[unqid]],'Quipt Prod Data'!L:L,0),"")</f>
        <v/>
      </c>
      <c r="F166" s="1" t="str">
        <f>IF(COUNTIF('Quipt Prod Data'!L:L,Data[[#This Row],[unqid]])=0,"",COUNTIF('Quipt Prod Data'!L:L,Data[[#This Row],[unqid]]))</f>
        <v/>
      </c>
    </row>
    <row r="167" spans="1:6" x14ac:dyDescent="0.3">
      <c r="A167" t="s">
        <v>446</v>
      </c>
      <c r="B167" t="s">
        <v>26</v>
      </c>
      <c r="C167" t="s">
        <v>27</v>
      </c>
      <c r="D167" s="1" t="str">
        <f>_xlfn.IFNA(_xlfn.XLOOKUP(Data[[#This Row],[unqid]],'Quipt Prod Data'!L:L,'Quipt Prod Data'!B:B),"")</f>
        <v/>
      </c>
      <c r="E167" s="1" t="str">
        <f>_xlfn.IFNA(_xlfn.XMATCH(Data[[#This Row],[unqid]],'Quipt Prod Data'!L:L,0),"")</f>
        <v/>
      </c>
      <c r="F167" s="1" t="str">
        <f>IF(COUNTIF('Quipt Prod Data'!L:L,Data[[#This Row],[unqid]])=0,"",COUNTIF('Quipt Prod Data'!L:L,Data[[#This Row],[unqid]]))</f>
        <v/>
      </c>
    </row>
    <row r="168" spans="1:6" x14ac:dyDescent="0.3">
      <c r="A168" t="s">
        <v>447</v>
      </c>
      <c r="B168" t="s">
        <v>26</v>
      </c>
      <c r="C168" t="s">
        <v>27</v>
      </c>
      <c r="D168" s="1" t="str">
        <f>_xlfn.IFNA(_xlfn.XLOOKUP(Data[[#This Row],[unqid]],'Quipt Prod Data'!L:L,'Quipt Prod Data'!B:B),"")</f>
        <v/>
      </c>
      <c r="E168" s="1" t="str">
        <f>_xlfn.IFNA(_xlfn.XMATCH(Data[[#This Row],[unqid]],'Quipt Prod Data'!L:L,0),"")</f>
        <v/>
      </c>
      <c r="F168" s="1" t="str">
        <f>IF(COUNTIF('Quipt Prod Data'!L:L,Data[[#This Row],[unqid]])=0,"",COUNTIF('Quipt Prod Data'!L:L,Data[[#This Row],[unqid]]))</f>
        <v/>
      </c>
    </row>
    <row r="169" spans="1:6" x14ac:dyDescent="0.3">
      <c r="A169" t="s">
        <v>448</v>
      </c>
      <c r="B169" t="s">
        <v>26</v>
      </c>
      <c r="C169" t="s">
        <v>27</v>
      </c>
      <c r="D169" s="1" t="str">
        <f>_xlfn.IFNA(_xlfn.XLOOKUP(Data[[#This Row],[unqid]],'Quipt Prod Data'!L:L,'Quipt Prod Data'!B:B),"")</f>
        <v/>
      </c>
      <c r="E169" s="1" t="str">
        <f>_xlfn.IFNA(_xlfn.XMATCH(Data[[#This Row],[unqid]],'Quipt Prod Data'!L:L,0),"")</f>
        <v/>
      </c>
      <c r="F169" s="1" t="str">
        <f>IF(COUNTIF('Quipt Prod Data'!L:L,Data[[#This Row],[unqid]])=0,"",COUNTIF('Quipt Prod Data'!L:L,Data[[#This Row],[unqid]]))</f>
        <v/>
      </c>
    </row>
    <row r="170" spans="1:6" x14ac:dyDescent="0.3">
      <c r="A170" t="s">
        <v>449</v>
      </c>
      <c r="B170" t="s">
        <v>26</v>
      </c>
      <c r="C170" t="s">
        <v>27</v>
      </c>
      <c r="D170" s="1" t="str">
        <f>_xlfn.IFNA(_xlfn.XLOOKUP(Data[[#This Row],[unqid]],'Quipt Prod Data'!L:L,'Quipt Prod Data'!B:B),"")</f>
        <v/>
      </c>
      <c r="E170" s="1" t="str">
        <f>_xlfn.IFNA(_xlfn.XMATCH(Data[[#This Row],[unqid]],'Quipt Prod Data'!L:L,0),"")</f>
        <v/>
      </c>
      <c r="F170" s="1" t="str">
        <f>IF(COUNTIF('Quipt Prod Data'!L:L,Data[[#This Row],[unqid]])=0,"",COUNTIF('Quipt Prod Data'!L:L,Data[[#This Row],[unqid]]))</f>
        <v/>
      </c>
    </row>
    <row r="171" spans="1:6" x14ac:dyDescent="0.3">
      <c r="A171" t="s">
        <v>450</v>
      </c>
      <c r="B171" t="s">
        <v>32</v>
      </c>
      <c r="C171" t="s">
        <v>27</v>
      </c>
      <c r="D171" s="1" t="str">
        <f>_xlfn.IFNA(_xlfn.XLOOKUP(Data[[#This Row],[unqid]],'Quipt Prod Data'!L:L,'Quipt Prod Data'!B:B),"")</f>
        <v/>
      </c>
      <c r="E171" s="1" t="str">
        <f>_xlfn.IFNA(_xlfn.XMATCH(Data[[#This Row],[unqid]],'Quipt Prod Data'!L:L,0),"")</f>
        <v/>
      </c>
      <c r="F171" s="1" t="str">
        <f>IF(COUNTIF('Quipt Prod Data'!L:L,Data[[#This Row],[unqid]])=0,"",COUNTIF('Quipt Prod Data'!L:L,Data[[#This Row],[unqid]]))</f>
        <v/>
      </c>
    </row>
    <row r="172" spans="1:6" x14ac:dyDescent="0.3">
      <c r="A172" t="s">
        <v>451</v>
      </c>
      <c r="B172" t="s">
        <v>26</v>
      </c>
      <c r="C172" t="s">
        <v>27</v>
      </c>
      <c r="D172" s="1" t="str">
        <f>_xlfn.IFNA(_xlfn.XLOOKUP(Data[[#This Row],[unqid]],'Quipt Prod Data'!L:L,'Quipt Prod Data'!B:B),"")</f>
        <v/>
      </c>
      <c r="E172" s="1" t="str">
        <f>_xlfn.IFNA(_xlfn.XMATCH(Data[[#This Row],[unqid]],'Quipt Prod Data'!L:L,0),"")</f>
        <v/>
      </c>
      <c r="F172" s="1" t="str">
        <f>IF(COUNTIF('Quipt Prod Data'!L:L,Data[[#This Row],[unqid]])=0,"",COUNTIF('Quipt Prod Data'!L:L,Data[[#This Row],[unqid]]))</f>
        <v/>
      </c>
    </row>
    <row r="173" spans="1:6" x14ac:dyDescent="0.3">
      <c r="A173" t="s">
        <v>452</v>
      </c>
      <c r="B173" t="s">
        <v>26</v>
      </c>
      <c r="C173" t="s">
        <v>27</v>
      </c>
      <c r="D173" s="1" t="str">
        <f>_xlfn.IFNA(_xlfn.XLOOKUP(Data[[#This Row],[unqid]],'Quipt Prod Data'!L:L,'Quipt Prod Data'!B:B),"")</f>
        <v/>
      </c>
      <c r="E173" s="1" t="str">
        <f>_xlfn.IFNA(_xlfn.XMATCH(Data[[#This Row],[unqid]],'Quipt Prod Data'!L:L,0),"")</f>
        <v/>
      </c>
      <c r="F173" s="1" t="str">
        <f>IF(COUNTIF('Quipt Prod Data'!L:L,Data[[#This Row],[unqid]])=0,"",COUNTIF('Quipt Prod Data'!L:L,Data[[#This Row],[unqid]]))</f>
        <v/>
      </c>
    </row>
    <row r="174" spans="1:6" x14ac:dyDescent="0.3">
      <c r="A174" t="s">
        <v>453</v>
      </c>
      <c r="B174" t="s">
        <v>30</v>
      </c>
      <c r="C174" t="s">
        <v>27</v>
      </c>
      <c r="D174" s="1" t="str">
        <f>_xlfn.IFNA(_xlfn.XLOOKUP(Data[[#This Row],[unqid]],'Quipt Prod Data'!L:L,'Quipt Prod Data'!B:B),"")</f>
        <v/>
      </c>
      <c r="E174" s="1" t="str">
        <f>_xlfn.IFNA(_xlfn.XMATCH(Data[[#This Row],[unqid]],'Quipt Prod Data'!L:L,0),"")</f>
        <v/>
      </c>
      <c r="F174" s="1" t="str">
        <f>IF(COUNTIF('Quipt Prod Data'!L:L,Data[[#This Row],[unqid]])=0,"",COUNTIF('Quipt Prod Data'!L:L,Data[[#This Row],[unqid]]))</f>
        <v/>
      </c>
    </row>
    <row r="175" spans="1:6" x14ac:dyDescent="0.3">
      <c r="A175" t="s">
        <v>454</v>
      </c>
      <c r="B175" t="s">
        <v>26</v>
      </c>
      <c r="C175" t="s">
        <v>27</v>
      </c>
      <c r="D175" s="1" t="str">
        <f>_xlfn.IFNA(_xlfn.XLOOKUP(Data[[#This Row],[unqid]],'Quipt Prod Data'!L:L,'Quipt Prod Data'!B:B),"")</f>
        <v/>
      </c>
      <c r="E175" s="1" t="str">
        <f>_xlfn.IFNA(_xlfn.XMATCH(Data[[#This Row],[unqid]],'Quipt Prod Data'!L:L,0),"")</f>
        <v/>
      </c>
      <c r="F175" s="1" t="str">
        <f>IF(COUNTIF('Quipt Prod Data'!L:L,Data[[#This Row],[unqid]])=0,"",COUNTIF('Quipt Prod Data'!L:L,Data[[#This Row],[unqid]]))</f>
        <v/>
      </c>
    </row>
    <row r="176" spans="1:6" x14ac:dyDescent="0.3">
      <c r="A176" t="s">
        <v>455</v>
      </c>
      <c r="B176" t="s">
        <v>26</v>
      </c>
      <c r="C176" t="s">
        <v>27</v>
      </c>
      <c r="D176" s="1" t="str">
        <f>_xlfn.IFNA(_xlfn.XLOOKUP(Data[[#This Row],[unqid]],'Quipt Prod Data'!L:L,'Quipt Prod Data'!B:B),"")</f>
        <v/>
      </c>
      <c r="E176" s="1" t="str">
        <f>_xlfn.IFNA(_xlfn.XMATCH(Data[[#This Row],[unqid]],'Quipt Prod Data'!L:L,0),"")</f>
        <v/>
      </c>
      <c r="F176" s="1" t="str">
        <f>IF(COUNTIF('Quipt Prod Data'!L:L,Data[[#This Row],[unqid]])=0,"",COUNTIF('Quipt Prod Data'!L:L,Data[[#This Row],[unqid]]))</f>
        <v/>
      </c>
    </row>
    <row r="177" spans="1:6" x14ac:dyDescent="0.3">
      <c r="A177" t="s">
        <v>456</v>
      </c>
      <c r="B177" t="s">
        <v>26</v>
      </c>
      <c r="C177" t="s">
        <v>27</v>
      </c>
      <c r="D177" s="1" t="str">
        <f>_xlfn.IFNA(_xlfn.XLOOKUP(Data[[#This Row],[unqid]],'Quipt Prod Data'!L:L,'Quipt Prod Data'!B:B),"")</f>
        <v/>
      </c>
      <c r="E177" s="1" t="str">
        <f>_xlfn.IFNA(_xlfn.XMATCH(Data[[#This Row],[unqid]],'Quipt Prod Data'!L:L,0),"")</f>
        <v/>
      </c>
      <c r="F177" s="1" t="str">
        <f>IF(COUNTIF('Quipt Prod Data'!L:L,Data[[#This Row],[unqid]])=0,"",COUNTIF('Quipt Prod Data'!L:L,Data[[#This Row],[unqid]]))</f>
        <v/>
      </c>
    </row>
    <row r="178" spans="1:6" x14ac:dyDescent="0.3">
      <c r="A178" t="s">
        <v>457</v>
      </c>
      <c r="B178" t="s">
        <v>28</v>
      </c>
      <c r="C178" t="s">
        <v>27</v>
      </c>
      <c r="D178" s="1" t="str">
        <f>_xlfn.IFNA(_xlfn.XLOOKUP(Data[[#This Row],[unqid]],'Quipt Prod Data'!L:L,'Quipt Prod Data'!B:B),"")</f>
        <v/>
      </c>
      <c r="E178" s="1" t="str">
        <f>_xlfn.IFNA(_xlfn.XMATCH(Data[[#This Row],[unqid]],'Quipt Prod Data'!L:L,0),"")</f>
        <v/>
      </c>
      <c r="F178" s="1" t="str">
        <f>IF(COUNTIF('Quipt Prod Data'!L:L,Data[[#This Row],[unqid]])=0,"",COUNTIF('Quipt Prod Data'!L:L,Data[[#This Row],[unqid]]))</f>
        <v/>
      </c>
    </row>
    <row r="179" spans="1:6" x14ac:dyDescent="0.3">
      <c r="A179" t="s">
        <v>458</v>
      </c>
      <c r="B179" t="s">
        <v>26</v>
      </c>
      <c r="C179" t="s">
        <v>27</v>
      </c>
      <c r="D179" s="1" t="str">
        <f>_xlfn.IFNA(_xlfn.XLOOKUP(Data[[#This Row],[unqid]],'Quipt Prod Data'!L:L,'Quipt Prod Data'!B:B),"")</f>
        <v/>
      </c>
      <c r="E179" s="1" t="str">
        <f>_xlfn.IFNA(_xlfn.XMATCH(Data[[#This Row],[unqid]],'Quipt Prod Data'!L:L,0),"")</f>
        <v/>
      </c>
      <c r="F179" s="1" t="str">
        <f>IF(COUNTIF('Quipt Prod Data'!L:L,Data[[#This Row],[unqid]])=0,"",COUNTIF('Quipt Prod Data'!L:L,Data[[#This Row],[unqid]]))</f>
        <v/>
      </c>
    </row>
    <row r="180" spans="1:6" x14ac:dyDescent="0.3">
      <c r="A180" t="s">
        <v>459</v>
      </c>
      <c r="B180" t="s">
        <v>26</v>
      </c>
      <c r="C180" t="s">
        <v>27</v>
      </c>
      <c r="D180" s="1" t="str">
        <f>_xlfn.IFNA(_xlfn.XLOOKUP(Data[[#This Row],[unqid]],'Quipt Prod Data'!L:L,'Quipt Prod Data'!B:B),"")</f>
        <v/>
      </c>
      <c r="E180" s="1" t="str">
        <f>_xlfn.IFNA(_xlfn.XMATCH(Data[[#This Row],[unqid]],'Quipt Prod Data'!L:L,0),"")</f>
        <v/>
      </c>
      <c r="F180" s="1" t="str">
        <f>IF(COUNTIF('Quipt Prod Data'!L:L,Data[[#This Row],[unqid]])=0,"",COUNTIF('Quipt Prod Data'!L:L,Data[[#This Row],[unqid]]))</f>
        <v/>
      </c>
    </row>
    <row r="181" spans="1:6" x14ac:dyDescent="0.3">
      <c r="A181" t="s">
        <v>274</v>
      </c>
      <c r="B181" t="s">
        <v>26</v>
      </c>
      <c r="C181" t="s">
        <v>27</v>
      </c>
      <c r="D181" s="1" t="str">
        <f>_xlfn.IFNA(_xlfn.XLOOKUP(Data[[#This Row],[unqid]],'Quipt Prod Data'!L:L,'Quipt Prod Data'!B:B),"")</f>
        <v>Portal Quipt-PTCall</v>
      </c>
      <c r="E181" s="1">
        <f>_xlfn.IFNA(_xlfn.XMATCH(Data[[#This Row],[unqid]],'Quipt Prod Data'!L:L,0),"")</f>
        <v>104</v>
      </c>
      <c r="F181" s="1">
        <f>IF(COUNTIF('Quipt Prod Data'!L:L,Data[[#This Row],[unqid]])=0,"",COUNTIF('Quipt Prod Data'!L:L,Data[[#This Row],[unqid]]))</f>
        <v>1</v>
      </c>
    </row>
    <row r="182" spans="1:6" x14ac:dyDescent="0.3">
      <c r="A182" t="s">
        <v>215</v>
      </c>
      <c r="B182" t="s">
        <v>26</v>
      </c>
      <c r="C182" t="s">
        <v>27</v>
      </c>
      <c r="D182" s="1" t="str">
        <f>_xlfn.IFNA(_xlfn.XLOOKUP(Data[[#This Row],[unqid]],'Quipt Prod Data'!L:L,'Quipt Prod Data'!B:B),"")</f>
        <v>Portal Quipt All Calls</v>
      </c>
      <c r="E182" s="1">
        <f>_xlfn.IFNA(_xlfn.XMATCH(Data[[#This Row],[unqid]],'Quipt Prod Data'!L:L,0),"")</f>
        <v>2</v>
      </c>
      <c r="F182" s="1">
        <f>IF(COUNTIF('Quipt Prod Data'!L:L,Data[[#This Row],[unqid]])=0,"",COUNTIF('Quipt Prod Data'!L:L,Data[[#This Row],[unqid]]))</f>
        <v>1</v>
      </c>
    </row>
    <row r="183" spans="1:6" x14ac:dyDescent="0.3">
      <c r="A183" t="s">
        <v>460</v>
      </c>
      <c r="B183" t="s">
        <v>28</v>
      </c>
      <c r="C183" t="s">
        <v>27</v>
      </c>
      <c r="D183" s="1" t="str">
        <f>_xlfn.IFNA(_xlfn.XLOOKUP(Data[[#This Row],[unqid]],'Quipt Prod Data'!L:L,'Quipt Prod Data'!B:B),"")</f>
        <v/>
      </c>
      <c r="E183" s="1" t="str">
        <f>_xlfn.IFNA(_xlfn.XMATCH(Data[[#This Row],[unqid]],'Quipt Prod Data'!L:L,0),"")</f>
        <v/>
      </c>
      <c r="F183" s="1" t="str">
        <f>IF(COUNTIF('Quipt Prod Data'!L:L,Data[[#This Row],[unqid]])=0,"",COUNTIF('Quipt Prod Data'!L:L,Data[[#This Row],[unqid]]))</f>
        <v/>
      </c>
    </row>
    <row r="184" spans="1:6" x14ac:dyDescent="0.3">
      <c r="A184" t="s">
        <v>461</v>
      </c>
      <c r="B184" t="s">
        <v>31</v>
      </c>
      <c r="C184" t="s">
        <v>27</v>
      </c>
      <c r="D184" s="1" t="str">
        <f>_xlfn.IFNA(_xlfn.XLOOKUP(Data[[#This Row],[unqid]],'Quipt Prod Data'!L:L,'Quipt Prod Data'!B:B),"")</f>
        <v/>
      </c>
      <c r="E184" s="1" t="str">
        <f>_xlfn.IFNA(_xlfn.XMATCH(Data[[#This Row],[unqid]],'Quipt Prod Data'!L:L,0),"")</f>
        <v/>
      </c>
      <c r="F184" s="1" t="str">
        <f>IF(COUNTIF('Quipt Prod Data'!L:L,Data[[#This Row],[unqid]])=0,"",COUNTIF('Quipt Prod Data'!L:L,Data[[#This Row],[unqid]]))</f>
        <v/>
      </c>
    </row>
    <row r="185" spans="1:6" x14ac:dyDescent="0.3">
      <c r="A185" t="s">
        <v>462</v>
      </c>
      <c r="B185" t="s">
        <v>26</v>
      </c>
      <c r="C185" t="s">
        <v>27</v>
      </c>
      <c r="D185" s="1" t="str">
        <f>_xlfn.IFNA(_xlfn.XLOOKUP(Data[[#This Row],[unqid]],'Quipt Prod Data'!L:L,'Quipt Prod Data'!B:B),"")</f>
        <v/>
      </c>
      <c r="E185" s="1" t="str">
        <f>_xlfn.IFNA(_xlfn.XMATCH(Data[[#This Row],[unqid]],'Quipt Prod Data'!L:L,0),"")</f>
        <v/>
      </c>
      <c r="F185" s="1" t="str">
        <f>IF(COUNTIF('Quipt Prod Data'!L:L,Data[[#This Row],[unqid]])=0,"",COUNTIF('Quipt Prod Data'!L:L,Data[[#This Row],[unqid]]))</f>
        <v/>
      </c>
    </row>
    <row r="186" spans="1:6" x14ac:dyDescent="0.3">
      <c r="A186" t="s">
        <v>463</v>
      </c>
      <c r="B186" t="s">
        <v>26</v>
      </c>
      <c r="C186" t="s">
        <v>27</v>
      </c>
      <c r="D186" s="1" t="str">
        <f>_xlfn.IFNA(_xlfn.XLOOKUP(Data[[#This Row],[unqid]],'Quipt Prod Data'!L:L,'Quipt Prod Data'!B:B),"")</f>
        <v/>
      </c>
      <c r="E186" s="1" t="str">
        <f>_xlfn.IFNA(_xlfn.XMATCH(Data[[#This Row],[unqid]],'Quipt Prod Data'!L:L,0),"")</f>
        <v/>
      </c>
      <c r="F186" s="1" t="str">
        <f>IF(COUNTIF('Quipt Prod Data'!L:L,Data[[#This Row],[unqid]])=0,"",COUNTIF('Quipt Prod Data'!L:L,Data[[#This Row],[unqid]]))</f>
        <v/>
      </c>
    </row>
    <row r="187" spans="1:6" x14ac:dyDescent="0.3">
      <c r="A187" t="s">
        <v>464</v>
      </c>
      <c r="B187" t="s">
        <v>30</v>
      </c>
      <c r="C187" t="s">
        <v>27</v>
      </c>
      <c r="D187" s="1" t="str">
        <f>_xlfn.IFNA(_xlfn.XLOOKUP(Data[[#This Row],[unqid]],'Quipt Prod Data'!L:L,'Quipt Prod Data'!B:B),"")</f>
        <v/>
      </c>
      <c r="E187" s="1" t="str">
        <f>_xlfn.IFNA(_xlfn.XMATCH(Data[[#This Row],[unqid]],'Quipt Prod Data'!L:L,0),"")</f>
        <v/>
      </c>
      <c r="F187" s="1" t="str">
        <f>IF(COUNTIF('Quipt Prod Data'!L:L,Data[[#This Row],[unqid]])=0,"",COUNTIF('Quipt Prod Data'!L:L,Data[[#This Row],[unqid]]))</f>
        <v/>
      </c>
    </row>
    <row r="188" spans="1:6" x14ac:dyDescent="0.3">
      <c r="A188" t="s">
        <v>465</v>
      </c>
      <c r="B188" t="s">
        <v>26</v>
      </c>
      <c r="C188" t="s">
        <v>27</v>
      </c>
      <c r="D188" s="1" t="str">
        <f>_xlfn.IFNA(_xlfn.XLOOKUP(Data[[#This Row],[unqid]],'Quipt Prod Data'!L:L,'Quipt Prod Data'!B:B),"")</f>
        <v/>
      </c>
      <c r="E188" s="1" t="str">
        <f>_xlfn.IFNA(_xlfn.XMATCH(Data[[#This Row],[unqid]],'Quipt Prod Data'!L:L,0),"")</f>
        <v/>
      </c>
      <c r="F188" s="1" t="str">
        <f>IF(COUNTIF('Quipt Prod Data'!L:L,Data[[#This Row],[unqid]])=0,"",COUNTIF('Quipt Prod Data'!L:L,Data[[#This Row],[unqid]]))</f>
        <v/>
      </c>
    </row>
    <row r="189" spans="1:6" x14ac:dyDescent="0.3">
      <c r="A189" t="s">
        <v>466</v>
      </c>
      <c r="B189" t="s">
        <v>39</v>
      </c>
      <c r="C189" t="s">
        <v>27</v>
      </c>
      <c r="D189" s="1" t="str">
        <f>_xlfn.IFNA(_xlfn.XLOOKUP(Data[[#This Row],[unqid]],'Quipt Prod Data'!L:L,'Quipt Prod Data'!B:B),"")</f>
        <v/>
      </c>
      <c r="E189" s="1" t="str">
        <f>_xlfn.IFNA(_xlfn.XMATCH(Data[[#This Row],[unqid]],'Quipt Prod Data'!L:L,0),"")</f>
        <v/>
      </c>
      <c r="F189" s="1" t="str">
        <f>IF(COUNTIF('Quipt Prod Data'!L:L,Data[[#This Row],[unqid]])=0,"",COUNTIF('Quipt Prod Data'!L:L,Data[[#This Row],[unqid]]))</f>
        <v/>
      </c>
    </row>
    <row r="190" spans="1:6" x14ac:dyDescent="0.3">
      <c r="A190" t="s">
        <v>467</v>
      </c>
      <c r="B190" t="s">
        <v>29</v>
      </c>
      <c r="C190" t="s">
        <v>27</v>
      </c>
      <c r="D190" s="1" t="str">
        <f>_xlfn.IFNA(_xlfn.XLOOKUP(Data[[#This Row],[unqid]],'Quipt Prod Data'!L:L,'Quipt Prod Data'!B:B),"")</f>
        <v/>
      </c>
      <c r="E190" s="1" t="str">
        <f>_xlfn.IFNA(_xlfn.XMATCH(Data[[#This Row],[unqid]],'Quipt Prod Data'!L:L,0),"")</f>
        <v/>
      </c>
      <c r="F190" s="1" t="str">
        <f>IF(COUNTIF('Quipt Prod Data'!L:L,Data[[#This Row],[unqid]])=0,"",COUNTIF('Quipt Prod Data'!L:L,Data[[#This Row],[unqid]]))</f>
        <v/>
      </c>
    </row>
    <row r="191" spans="1:6" x14ac:dyDescent="0.3">
      <c r="A191" t="s">
        <v>468</v>
      </c>
      <c r="B191" t="s">
        <v>29</v>
      </c>
      <c r="C191" t="s">
        <v>27</v>
      </c>
      <c r="D191" s="1" t="str">
        <f>_xlfn.IFNA(_xlfn.XLOOKUP(Data[[#This Row],[unqid]],'Quipt Prod Data'!L:L,'Quipt Prod Data'!B:B),"")</f>
        <v/>
      </c>
      <c r="E191" s="1" t="str">
        <f>_xlfn.IFNA(_xlfn.XMATCH(Data[[#This Row],[unqid]],'Quipt Prod Data'!L:L,0),"")</f>
        <v/>
      </c>
      <c r="F191" s="1" t="str">
        <f>IF(COUNTIF('Quipt Prod Data'!L:L,Data[[#This Row],[unqid]])=0,"",COUNTIF('Quipt Prod Data'!L:L,Data[[#This Row],[unqid]]))</f>
        <v/>
      </c>
    </row>
    <row r="192" spans="1:6" x14ac:dyDescent="0.3">
      <c r="A192" t="s">
        <v>469</v>
      </c>
      <c r="B192" t="s">
        <v>26</v>
      </c>
      <c r="C192" t="s">
        <v>27</v>
      </c>
      <c r="D192" s="1" t="str">
        <f>_xlfn.IFNA(_xlfn.XLOOKUP(Data[[#This Row],[unqid]],'Quipt Prod Data'!L:L,'Quipt Prod Data'!B:B),"")</f>
        <v/>
      </c>
      <c r="E192" s="1" t="str">
        <f>_xlfn.IFNA(_xlfn.XMATCH(Data[[#This Row],[unqid]],'Quipt Prod Data'!L:L,0),"")</f>
        <v/>
      </c>
      <c r="F192" s="1" t="str">
        <f>IF(COUNTIF('Quipt Prod Data'!L:L,Data[[#This Row],[unqid]])=0,"",COUNTIF('Quipt Prod Data'!L:L,Data[[#This Row],[unqid]]))</f>
        <v/>
      </c>
    </row>
    <row r="193" spans="1:6" x14ac:dyDescent="0.3">
      <c r="A193" t="s">
        <v>470</v>
      </c>
      <c r="B193" t="s">
        <v>26</v>
      </c>
      <c r="C193" t="s">
        <v>27</v>
      </c>
      <c r="D193" s="1" t="str">
        <f>_xlfn.IFNA(_xlfn.XLOOKUP(Data[[#This Row],[unqid]],'Quipt Prod Data'!L:L,'Quipt Prod Data'!B:B),"")</f>
        <v/>
      </c>
      <c r="E193" s="1" t="str">
        <f>_xlfn.IFNA(_xlfn.XMATCH(Data[[#This Row],[unqid]],'Quipt Prod Data'!L:L,0),"")</f>
        <v/>
      </c>
      <c r="F193" s="1" t="str">
        <f>IF(COUNTIF('Quipt Prod Data'!L:L,Data[[#This Row],[unqid]])=0,"",COUNTIF('Quipt Prod Data'!L:L,Data[[#This Row],[unqid]]))</f>
        <v/>
      </c>
    </row>
    <row r="194" spans="1:6" x14ac:dyDescent="0.3">
      <c r="A194" t="s">
        <v>471</v>
      </c>
      <c r="B194" t="s">
        <v>26</v>
      </c>
      <c r="C194" t="s">
        <v>27</v>
      </c>
      <c r="D194" s="1" t="str">
        <f>_xlfn.IFNA(_xlfn.XLOOKUP(Data[[#This Row],[unqid]],'Quipt Prod Data'!L:L,'Quipt Prod Data'!B:B),"")</f>
        <v/>
      </c>
      <c r="E194" s="1" t="str">
        <f>_xlfn.IFNA(_xlfn.XMATCH(Data[[#This Row],[unqid]],'Quipt Prod Data'!L:L,0),"")</f>
        <v/>
      </c>
      <c r="F194" s="1" t="str">
        <f>IF(COUNTIF('Quipt Prod Data'!L:L,Data[[#This Row],[unqid]])=0,"",COUNTIF('Quipt Prod Data'!L:L,Data[[#This Row],[unqid]]))</f>
        <v/>
      </c>
    </row>
    <row r="195" spans="1:6" x14ac:dyDescent="0.3">
      <c r="A195" t="s">
        <v>472</v>
      </c>
      <c r="B195" t="s">
        <v>26</v>
      </c>
      <c r="C195" t="s">
        <v>27</v>
      </c>
      <c r="D195" s="1" t="str">
        <f>_xlfn.IFNA(_xlfn.XLOOKUP(Data[[#This Row],[unqid]],'Quipt Prod Data'!L:L,'Quipt Prod Data'!B:B),"")</f>
        <v/>
      </c>
      <c r="E195" s="1" t="str">
        <f>_xlfn.IFNA(_xlfn.XMATCH(Data[[#This Row],[unqid]],'Quipt Prod Data'!L:L,0),"")</f>
        <v/>
      </c>
      <c r="F195" s="1" t="str">
        <f>IF(COUNTIF('Quipt Prod Data'!L:L,Data[[#This Row],[unqid]])=0,"",COUNTIF('Quipt Prod Data'!L:L,Data[[#This Row],[unqid]]))</f>
        <v/>
      </c>
    </row>
    <row r="196" spans="1:6" x14ac:dyDescent="0.3">
      <c r="A196" t="s">
        <v>473</v>
      </c>
      <c r="B196" t="s">
        <v>26</v>
      </c>
      <c r="C196" t="s">
        <v>27</v>
      </c>
      <c r="D196" s="1" t="str">
        <f>_xlfn.IFNA(_xlfn.XLOOKUP(Data[[#This Row],[unqid]],'Quipt Prod Data'!L:L,'Quipt Prod Data'!B:B),"")</f>
        <v/>
      </c>
      <c r="E196" s="1" t="str">
        <f>_xlfn.IFNA(_xlfn.XMATCH(Data[[#This Row],[unqid]],'Quipt Prod Data'!L:L,0),"")</f>
        <v/>
      </c>
      <c r="F196" s="1" t="str">
        <f>IF(COUNTIF('Quipt Prod Data'!L:L,Data[[#This Row],[unqid]])=0,"",COUNTIF('Quipt Prod Data'!L:L,Data[[#This Row],[unqid]]))</f>
        <v/>
      </c>
    </row>
    <row r="197" spans="1:6" x14ac:dyDescent="0.3">
      <c r="A197" t="s">
        <v>474</v>
      </c>
      <c r="B197" t="s">
        <v>26</v>
      </c>
      <c r="C197" t="s">
        <v>27</v>
      </c>
      <c r="D197" s="1" t="str">
        <f>_xlfn.IFNA(_xlfn.XLOOKUP(Data[[#This Row],[unqid]],'Quipt Prod Data'!L:L,'Quipt Prod Data'!B:B),"")</f>
        <v/>
      </c>
      <c r="E197" s="1" t="str">
        <f>_xlfn.IFNA(_xlfn.XMATCH(Data[[#This Row],[unqid]],'Quipt Prod Data'!L:L,0),"")</f>
        <v/>
      </c>
      <c r="F197" s="1" t="str">
        <f>IF(COUNTIF('Quipt Prod Data'!L:L,Data[[#This Row],[unqid]])=0,"",COUNTIF('Quipt Prod Data'!L:L,Data[[#This Row],[unqid]]))</f>
        <v/>
      </c>
    </row>
    <row r="198" spans="1:6" x14ac:dyDescent="0.3">
      <c r="A198" t="s">
        <v>475</v>
      </c>
      <c r="B198" t="s">
        <v>26</v>
      </c>
      <c r="C198" t="s">
        <v>27</v>
      </c>
      <c r="D198" s="1" t="str">
        <f>_xlfn.IFNA(_xlfn.XLOOKUP(Data[[#This Row],[unqid]],'Quipt Prod Data'!L:L,'Quipt Prod Data'!B:B),"")</f>
        <v/>
      </c>
      <c r="E198" s="1" t="str">
        <f>_xlfn.IFNA(_xlfn.XMATCH(Data[[#This Row],[unqid]],'Quipt Prod Data'!L:L,0),"")</f>
        <v/>
      </c>
      <c r="F198" s="1" t="str">
        <f>IF(COUNTIF('Quipt Prod Data'!L:L,Data[[#This Row],[unqid]])=0,"",COUNTIF('Quipt Prod Data'!L:L,Data[[#This Row],[unqid]]))</f>
        <v/>
      </c>
    </row>
    <row r="199" spans="1:6" x14ac:dyDescent="0.3">
      <c r="A199" t="s">
        <v>476</v>
      </c>
      <c r="B199" t="s">
        <v>26</v>
      </c>
      <c r="C199" t="s">
        <v>27</v>
      </c>
      <c r="D199" s="1" t="str">
        <f>_xlfn.IFNA(_xlfn.XLOOKUP(Data[[#This Row],[unqid]],'Quipt Prod Data'!L:L,'Quipt Prod Data'!B:B),"")</f>
        <v/>
      </c>
      <c r="E199" s="1" t="str">
        <f>_xlfn.IFNA(_xlfn.XMATCH(Data[[#This Row],[unqid]],'Quipt Prod Data'!L:L,0),"")</f>
        <v/>
      </c>
      <c r="F199" s="1" t="str">
        <f>IF(COUNTIF('Quipt Prod Data'!L:L,Data[[#This Row],[unqid]])=0,"",COUNTIF('Quipt Prod Data'!L:L,Data[[#This Row],[unqid]]))</f>
        <v/>
      </c>
    </row>
    <row r="200" spans="1:6" x14ac:dyDescent="0.3">
      <c r="A200" t="s">
        <v>477</v>
      </c>
      <c r="B200" t="s">
        <v>26</v>
      </c>
      <c r="C200" t="s">
        <v>27</v>
      </c>
      <c r="D200" s="1" t="str">
        <f>_xlfn.IFNA(_xlfn.XLOOKUP(Data[[#This Row],[unqid]],'Quipt Prod Data'!L:L,'Quipt Prod Data'!B:B),"")</f>
        <v/>
      </c>
      <c r="E200" s="1" t="str">
        <f>_xlfn.IFNA(_xlfn.XMATCH(Data[[#This Row],[unqid]],'Quipt Prod Data'!L:L,0),"")</f>
        <v/>
      </c>
      <c r="F200" s="1" t="str">
        <f>IF(COUNTIF('Quipt Prod Data'!L:L,Data[[#This Row],[unqid]])=0,"",COUNTIF('Quipt Prod Data'!L:L,Data[[#This Row],[unqid]]))</f>
        <v/>
      </c>
    </row>
    <row r="201" spans="1:6" x14ac:dyDescent="0.3">
      <c r="A201" t="s">
        <v>478</v>
      </c>
      <c r="B201" t="s">
        <v>26</v>
      </c>
      <c r="C201" t="s">
        <v>27</v>
      </c>
      <c r="D201" s="1" t="str">
        <f>_xlfn.IFNA(_xlfn.XLOOKUP(Data[[#This Row],[unqid]],'Quipt Prod Data'!L:L,'Quipt Prod Data'!B:B),"")</f>
        <v/>
      </c>
      <c r="E201" s="1" t="str">
        <f>_xlfn.IFNA(_xlfn.XMATCH(Data[[#This Row],[unqid]],'Quipt Prod Data'!L:L,0),"")</f>
        <v/>
      </c>
      <c r="F201" s="1" t="str">
        <f>IF(COUNTIF('Quipt Prod Data'!L:L,Data[[#This Row],[unqid]])=0,"",COUNTIF('Quipt Prod Data'!L:L,Data[[#This Row],[unqid]]))</f>
        <v/>
      </c>
    </row>
    <row r="202" spans="1:6" x14ac:dyDescent="0.3">
      <c r="A202" t="s">
        <v>479</v>
      </c>
      <c r="B202" t="s">
        <v>26</v>
      </c>
      <c r="C202" t="s">
        <v>27</v>
      </c>
      <c r="D202" s="1" t="str">
        <f>_xlfn.IFNA(_xlfn.XLOOKUP(Data[[#This Row],[unqid]],'Quipt Prod Data'!L:L,'Quipt Prod Data'!B:B),"")</f>
        <v/>
      </c>
      <c r="E202" s="1" t="str">
        <f>_xlfn.IFNA(_xlfn.XMATCH(Data[[#This Row],[unqid]],'Quipt Prod Data'!L:L,0),"")</f>
        <v/>
      </c>
      <c r="F202" s="1" t="str">
        <f>IF(COUNTIF('Quipt Prod Data'!L:L,Data[[#This Row],[unqid]])=0,"",COUNTIF('Quipt Prod Data'!L:L,Data[[#This Row],[unqid]]))</f>
        <v/>
      </c>
    </row>
    <row r="203" spans="1:6" x14ac:dyDescent="0.3">
      <c r="A203" t="s">
        <v>480</v>
      </c>
      <c r="B203" t="s">
        <v>26</v>
      </c>
      <c r="C203" t="s">
        <v>27</v>
      </c>
      <c r="D203" s="1" t="str">
        <f>_xlfn.IFNA(_xlfn.XLOOKUP(Data[[#This Row],[unqid]],'Quipt Prod Data'!L:L,'Quipt Prod Data'!B:B),"")</f>
        <v/>
      </c>
      <c r="E203" s="1" t="str">
        <f>_xlfn.IFNA(_xlfn.XMATCH(Data[[#This Row],[unqid]],'Quipt Prod Data'!L:L,0),"")</f>
        <v/>
      </c>
      <c r="F203" s="1" t="str">
        <f>IF(COUNTIF('Quipt Prod Data'!L:L,Data[[#This Row],[unqid]])=0,"",COUNTIF('Quipt Prod Data'!L:L,Data[[#This Row],[unqid]]))</f>
        <v/>
      </c>
    </row>
    <row r="204" spans="1:6" x14ac:dyDescent="0.3">
      <c r="A204" t="s">
        <v>481</v>
      </c>
      <c r="B204" t="s">
        <v>26</v>
      </c>
      <c r="C204" t="s">
        <v>27</v>
      </c>
      <c r="D204" s="1" t="str">
        <f>_xlfn.IFNA(_xlfn.XLOOKUP(Data[[#This Row],[unqid]],'Quipt Prod Data'!L:L,'Quipt Prod Data'!B:B),"")</f>
        <v/>
      </c>
      <c r="E204" s="1" t="str">
        <f>_xlfn.IFNA(_xlfn.XMATCH(Data[[#This Row],[unqid]],'Quipt Prod Data'!L:L,0),"")</f>
        <v/>
      </c>
      <c r="F204" s="1" t="str">
        <f>IF(COUNTIF('Quipt Prod Data'!L:L,Data[[#This Row],[unqid]])=0,"",COUNTIF('Quipt Prod Data'!L:L,Data[[#This Row],[unqid]]))</f>
        <v/>
      </c>
    </row>
    <row r="205" spans="1:6" x14ac:dyDescent="0.3">
      <c r="A205" t="s">
        <v>482</v>
      </c>
      <c r="B205" t="s">
        <v>26</v>
      </c>
      <c r="C205" t="s">
        <v>27</v>
      </c>
      <c r="D205" s="1" t="str">
        <f>_xlfn.IFNA(_xlfn.XLOOKUP(Data[[#This Row],[unqid]],'Quipt Prod Data'!L:L,'Quipt Prod Data'!B:B),"")</f>
        <v/>
      </c>
      <c r="E205" s="1" t="str">
        <f>_xlfn.IFNA(_xlfn.XMATCH(Data[[#This Row],[unqid]],'Quipt Prod Data'!L:L,0),"")</f>
        <v/>
      </c>
      <c r="F205" s="1" t="str">
        <f>IF(COUNTIF('Quipt Prod Data'!L:L,Data[[#This Row],[unqid]])=0,"",COUNTIF('Quipt Prod Data'!L:L,Data[[#This Row],[unqid]]))</f>
        <v/>
      </c>
    </row>
    <row r="206" spans="1:6" x14ac:dyDescent="0.3">
      <c r="A206" t="s">
        <v>483</v>
      </c>
      <c r="B206" t="s">
        <v>26</v>
      </c>
      <c r="C206" t="s">
        <v>27</v>
      </c>
      <c r="D206" s="1" t="str">
        <f>_xlfn.IFNA(_xlfn.XLOOKUP(Data[[#This Row],[unqid]],'Quipt Prod Data'!L:L,'Quipt Prod Data'!B:B),"")</f>
        <v/>
      </c>
      <c r="E206" s="1" t="str">
        <f>_xlfn.IFNA(_xlfn.XMATCH(Data[[#This Row],[unqid]],'Quipt Prod Data'!L:L,0),"")</f>
        <v/>
      </c>
      <c r="F206" s="1" t="str">
        <f>IF(COUNTIF('Quipt Prod Data'!L:L,Data[[#This Row],[unqid]])=0,"",COUNTIF('Quipt Prod Data'!L:L,Data[[#This Row],[unqid]]))</f>
        <v/>
      </c>
    </row>
    <row r="207" spans="1:6" x14ac:dyDescent="0.3">
      <c r="A207" t="s">
        <v>484</v>
      </c>
      <c r="B207" t="s">
        <v>26</v>
      </c>
      <c r="C207" t="s">
        <v>27</v>
      </c>
      <c r="D207" s="1" t="str">
        <f>_xlfn.IFNA(_xlfn.XLOOKUP(Data[[#This Row],[unqid]],'Quipt Prod Data'!L:L,'Quipt Prod Data'!B:B),"")</f>
        <v/>
      </c>
      <c r="E207" s="1" t="str">
        <f>_xlfn.IFNA(_xlfn.XMATCH(Data[[#This Row],[unqid]],'Quipt Prod Data'!L:L,0),"")</f>
        <v/>
      </c>
      <c r="F207" s="1" t="str">
        <f>IF(COUNTIF('Quipt Prod Data'!L:L,Data[[#This Row],[unqid]])=0,"",COUNTIF('Quipt Prod Data'!L:L,Data[[#This Row],[unqid]]))</f>
        <v/>
      </c>
    </row>
    <row r="208" spans="1:6" x14ac:dyDescent="0.3">
      <c r="A208" t="s">
        <v>485</v>
      </c>
      <c r="B208" t="s">
        <v>26</v>
      </c>
      <c r="C208" t="s">
        <v>27</v>
      </c>
      <c r="D208" s="1" t="str">
        <f>_xlfn.IFNA(_xlfn.XLOOKUP(Data[[#This Row],[unqid]],'Quipt Prod Data'!L:L,'Quipt Prod Data'!B:B),"")</f>
        <v/>
      </c>
      <c r="E208" s="1" t="str">
        <f>_xlfn.IFNA(_xlfn.XMATCH(Data[[#This Row],[unqid]],'Quipt Prod Data'!L:L,0),"")</f>
        <v/>
      </c>
      <c r="F208" s="1" t="str">
        <f>IF(COUNTIF('Quipt Prod Data'!L:L,Data[[#This Row],[unqid]])=0,"",COUNTIF('Quipt Prod Data'!L:L,Data[[#This Row],[unqid]]))</f>
        <v/>
      </c>
    </row>
    <row r="209" spans="1:6" x14ac:dyDescent="0.3">
      <c r="A209" t="s">
        <v>486</v>
      </c>
      <c r="B209" t="s">
        <v>26</v>
      </c>
      <c r="C209" t="s">
        <v>27</v>
      </c>
      <c r="D209" s="1" t="str">
        <f>_xlfn.IFNA(_xlfn.XLOOKUP(Data[[#This Row],[unqid]],'Quipt Prod Data'!L:L,'Quipt Prod Data'!B:B),"")</f>
        <v/>
      </c>
      <c r="E209" s="1" t="str">
        <f>_xlfn.IFNA(_xlfn.XMATCH(Data[[#This Row],[unqid]],'Quipt Prod Data'!L:L,0),"")</f>
        <v/>
      </c>
      <c r="F209" s="1" t="str">
        <f>IF(COUNTIF('Quipt Prod Data'!L:L,Data[[#This Row],[unqid]])=0,"",COUNTIF('Quipt Prod Data'!L:L,Data[[#This Row],[unqid]]))</f>
        <v/>
      </c>
    </row>
    <row r="210" spans="1:6" x14ac:dyDescent="0.3">
      <c r="A210" t="s">
        <v>487</v>
      </c>
      <c r="B210" t="s">
        <v>26</v>
      </c>
      <c r="C210" t="s">
        <v>27</v>
      </c>
      <c r="D210" s="1" t="str">
        <f>_xlfn.IFNA(_xlfn.XLOOKUP(Data[[#This Row],[unqid]],'Quipt Prod Data'!L:L,'Quipt Prod Data'!B:B),"")</f>
        <v/>
      </c>
      <c r="E210" s="1" t="str">
        <f>_xlfn.IFNA(_xlfn.XMATCH(Data[[#This Row],[unqid]],'Quipt Prod Data'!L:L,0),"")</f>
        <v/>
      </c>
      <c r="F210" s="1" t="str">
        <f>IF(COUNTIF('Quipt Prod Data'!L:L,Data[[#This Row],[unqid]])=0,"",COUNTIF('Quipt Prod Data'!L:L,Data[[#This Row],[unqid]]))</f>
        <v/>
      </c>
    </row>
    <row r="211" spans="1:6" x14ac:dyDescent="0.3">
      <c r="A211" t="s">
        <v>488</v>
      </c>
      <c r="B211" t="s">
        <v>26</v>
      </c>
      <c r="C211" t="s">
        <v>27</v>
      </c>
      <c r="D211" s="1" t="str">
        <f>_xlfn.IFNA(_xlfn.XLOOKUP(Data[[#This Row],[unqid]],'Quipt Prod Data'!L:L,'Quipt Prod Data'!B:B),"")</f>
        <v/>
      </c>
      <c r="E211" s="1" t="str">
        <f>_xlfn.IFNA(_xlfn.XMATCH(Data[[#This Row],[unqid]],'Quipt Prod Data'!L:L,0),"")</f>
        <v/>
      </c>
      <c r="F211" s="1" t="str">
        <f>IF(COUNTIF('Quipt Prod Data'!L:L,Data[[#This Row],[unqid]])=0,"",COUNTIF('Quipt Prod Data'!L:L,Data[[#This Row],[unqid]]))</f>
        <v/>
      </c>
    </row>
    <row r="212" spans="1:6" x14ac:dyDescent="0.3">
      <c r="A212" t="s">
        <v>489</v>
      </c>
      <c r="B212" t="s">
        <v>26</v>
      </c>
      <c r="C212" t="s">
        <v>27</v>
      </c>
      <c r="D212" s="1" t="str">
        <f>_xlfn.IFNA(_xlfn.XLOOKUP(Data[[#This Row],[unqid]],'Quipt Prod Data'!L:L,'Quipt Prod Data'!B:B),"")</f>
        <v/>
      </c>
      <c r="E212" s="1" t="str">
        <f>_xlfn.IFNA(_xlfn.XMATCH(Data[[#This Row],[unqid]],'Quipt Prod Data'!L:L,0),"")</f>
        <v/>
      </c>
      <c r="F212" s="1" t="str">
        <f>IF(COUNTIF('Quipt Prod Data'!L:L,Data[[#This Row],[unqid]])=0,"",COUNTIF('Quipt Prod Data'!L:L,Data[[#This Row],[unqid]]))</f>
        <v/>
      </c>
    </row>
    <row r="213" spans="1:6" x14ac:dyDescent="0.3">
      <c r="A213" t="s">
        <v>490</v>
      </c>
      <c r="B213" t="s">
        <v>26</v>
      </c>
      <c r="C213" t="s">
        <v>27</v>
      </c>
      <c r="D213" s="1" t="str">
        <f>_xlfn.IFNA(_xlfn.XLOOKUP(Data[[#This Row],[unqid]],'Quipt Prod Data'!L:L,'Quipt Prod Data'!B:B),"")</f>
        <v/>
      </c>
      <c r="E213" s="1" t="str">
        <f>_xlfn.IFNA(_xlfn.XMATCH(Data[[#This Row],[unqid]],'Quipt Prod Data'!L:L,0),"")</f>
        <v/>
      </c>
      <c r="F213" s="1" t="str">
        <f>IF(COUNTIF('Quipt Prod Data'!L:L,Data[[#This Row],[unqid]])=0,"",COUNTIF('Quipt Prod Data'!L:L,Data[[#This Row],[unqid]]))</f>
        <v/>
      </c>
    </row>
    <row r="214" spans="1:6" x14ac:dyDescent="0.3">
      <c r="A214" t="s">
        <v>491</v>
      </c>
      <c r="B214" t="s">
        <v>26</v>
      </c>
      <c r="C214" t="s">
        <v>27</v>
      </c>
      <c r="D214" s="1" t="str">
        <f>_xlfn.IFNA(_xlfn.XLOOKUP(Data[[#This Row],[unqid]],'Quipt Prod Data'!L:L,'Quipt Prod Data'!B:B),"")</f>
        <v/>
      </c>
      <c r="E214" s="1" t="str">
        <f>_xlfn.IFNA(_xlfn.XMATCH(Data[[#This Row],[unqid]],'Quipt Prod Data'!L:L,0),"")</f>
        <v/>
      </c>
      <c r="F214" s="1" t="str">
        <f>IF(COUNTIF('Quipt Prod Data'!L:L,Data[[#This Row],[unqid]])=0,"",COUNTIF('Quipt Prod Data'!L:L,Data[[#This Row],[unqid]]))</f>
        <v/>
      </c>
    </row>
    <row r="215" spans="1:6" x14ac:dyDescent="0.3">
      <c r="A215" t="s">
        <v>492</v>
      </c>
      <c r="B215" t="s">
        <v>26</v>
      </c>
      <c r="C215" t="s">
        <v>27</v>
      </c>
      <c r="D215" s="1" t="str">
        <f>_xlfn.IFNA(_xlfn.XLOOKUP(Data[[#This Row],[unqid]],'Quipt Prod Data'!L:L,'Quipt Prod Data'!B:B),"")</f>
        <v/>
      </c>
      <c r="E215" s="1" t="str">
        <f>_xlfn.IFNA(_xlfn.XMATCH(Data[[#This Row],[unqid]],'Quipt Prod Data'!L:L,0),"")</f>
        <v/>
      </c>
      <c r="F215" s="1" t="str">
        <f>IF(COUNTIF('Quipt Prod Data'!L:L,Data[[#This Row],[unqid]])=0,"",COUNTIF('Quipt Prod Data'!L:L,Data[[#This Row],[unqid]]))</f>
        <v/>
      </c>
    </row>
    <row r="216" spans="1:6" x14ac:dyDescent="0.3">
      <c r="A216" t="s">
        <v>493</v>
      </c>
      <c r="B216" t="s">
        <v>29</v>
      </c>
      <c r="C216" t="s">
        <v>27</v>
      </c>
      <c r="D216" s="1" t="str">
        <f>_xlfn.IFNA(_xlfn.XLOOKUP(Data[[#This Row],[unqid]],'Quipt Prod Data'!L:L,'Quipt Prod Data'!B:B),"")</f>
        <v/>
      </c>
      <c r="E216" s="1" t="str">
        <f>_xlfn.IFNA(_xlfn.XMATCH(Data[[#This Row],[unqid]],'Quipt Prod Data'!L:L,0),"")</f>
        <v/>
      </c>
      <c r="F216" s="1" t="str">
        <f>IF(COUNTIF('Quipt Prod Data'!L:L,Data[[#This Row],[unqid]])=0,"",COUNTIF('Quipt Prod Data'!L:L,Data[[#This Row],[unqid]]))</f>
        <v/>
      </c>
    </row>
    <row r="217" spans="1:6" x14ac:dyDescent="0.3">
      <c r="A217" t="s">
        <v>494</v>
      </c>
      <c r="B217" t="s">
        <v>26</v>
      </c>
      <c r="C217" t="s">
        <v>27</v>
      </c>
      <c r="D217" s="1" t="str">
        <f>_xlfn.IFNA(_xlfn.XLOOKUP(Data[[#This Row],[unqid]],'Quipt Prod Data'!L:L,'Quipt Prod Data'!B:B),"")</f>
        <v/>
      </c>
      <c r="E217" s="1" t="str">
        <f>_xlfn.IFNA(_xlfn.XMATCH(Data[[#This Row],[unqid]],'Quipt Prod Data'!L:L,0),"")</f>
        <v/>
      </c>
      <c r="F217" s="1" t="str">
        <f>IF(COUNTIF('Quipt Prod Data'!L:L,Data[[#This Row],[unqid]])=0,"",COUNTIF('Quipt Prod Data'!L:L,Data[[#This Row],[unqid]]))</f>
        <v/>
      </c>
    </row>
    <row r="218" spans="1:6" x14ac:dyDescent="0.3">
      <c r="A218" t="s">
        <v>495</v>
      </c>
      <c r="B218" t="s">
        <v>26</v>
      </c>
      <c r="C218" t="s">
        <v>27</v>
      </c>
      <c r="D218" s="1" t="str">
        <f>_xlfn.IFNA(_xlfn.XLOOKUP(Data[[#This Row],[unqid]],'Quipt Prod Data'!L:L,'Quipt Prod Data'!B:B),"")</f>
        <v/>
      </c>
      <c r="E218" s="1" t="str">
        <f>_xlfn.IFNA(_xlfn.XMATCH(Data[[#This Row],[unqid]],'Quipt Prod Data'!L:L,0),"")</f>
        <v/>
      </c>
      <c r="F218" s="1" t="str">
        <f>IF(COUNTIF('Quipt Prod Data'!L:L,Data[[#This Row],[unqid]])=0,"",COUNTIF('Quipt Prod Data'!L:L,Data[[#This Row],[unqid]]))</f>
        <v/>
      </c>
    </row>
    <row r="219" spans="1:6" x14ac:dyDescent="0.3">
      <c r="A219" t="s">
        <v>496</v>
      </c>
      <c r="B219" t="s">
        <v>26</v>
      </c>
      <c r="C219" t="s">
        <v>27</v>
      </c>
      <c r="D219" s="1" t="str">
        <f>_xlfn.IFNA(_xlfn.XLOOKUP(Data[[#This Row],[unqid]],'Quipt Prod Data'!L:L,'Quipt Prod Data'!B:B),"")</f>
        <v/>
      </c>
      <c r="E219" s="1" t="str">
        <f>_xlfn.IFNA(_xlfn.XMATCH(Data[[#This Row],[unqid]],'Quipt Prod Data'!L:L,0),"")</f>
        <v/>
      </c>
      <c r="F219" s="1" t="str">
        <f>IF(COUNTIF('Quipt Prod Data'!L:L,Data[[#This Row],[unqid]])=0,"",COUNTIF('Quipt Prod Data'!L:L,Data[[#This Row],[unqid]]))</f>
        <v/>
      </c>
    </row>
    <row r="220" spans="1:6" x14ac:dyDescent="0.3">
      <c r="A220" t="s">
        <v>497</v>
      </c>
      <c r="B220" t="s">
        <v>26</v>
      </c>
      <c r="C220" t="s">
        <v>27</v>
      </c>
      <c r="D220" s="1" t="str">
        <f>_xlfn.IFNA(_xlfn.XLOOKUP(Data[[#This Row],[unqid]],'Quipt Prod Data'!L:L,'Quipt Prod Data'!B:B),"")</f>
        <v/>
      </c>
      <c r="E220" s="1" t="str">
        <f>_xlfn.IFNA(_xlfn.XMATCH(Data[[#This Row],[unqid]],'Quipt Prod Data'!L:L,0),"")</f>
        <v/>
      </c>
      <c r="F220" s="1" t="str">
        <f>IF(COUNTIF('Quipt Prod Data'!L:L,Data[[#This Row],[unqid]])=0,"",COUNTIF('Quipt Prod Data'!L:L,Data[[#This Row],[unqid]]))</f>
        <v/>
      </c>
    </row>
    <row r="221" spans="1:6" x14ac:dyDescent="0.3">
      <c r="A221" t="s">
        <v>498</v>
      </c>
      <c r="B221" t="s">
        <v>26</v>
      </c>
      <c r="C221" t="s">
        <v>27</v>
      </c>
      <c r="D221" s="1" t="str">
        <f>_xlfn.IFNA(_xlfn.XLOOKUP(Data[[#This Row],[unqid]],'Quipt Prod Data'!L:L,'Quipt Prod Data'!B:B),"")</f>
        <v/>
      </c>
      <c r="E221" s="1" t="str">
        <f>_xlfn.IFNA(_xlfn.XMATCH(Data[[#This Row],[unqid]],'Quipt Prod Data'!L:L,0),"")</f>
        <v/>
      </c>
      <c r="F221" s="1" t="str">
        <f>IF(COUNTIF('Quipt Prod Data'!L:L,Data[[#This Row],[unqid]])=0,"",COUNTIF('Quipt Prod Data'!L:L,Data[[#This Row],[unqid]]))</f>
        <v/>
      </c>
    </row>
    <row r="222" spans="1:6" x14ac:dyDescent="0.3">
      <c r="A222" t="s">
        <v>499</v>
      </c>
      <c r="B222" t="s">
        <v>26</v>
      </c>
      <c r="C222" t="s">
        <v>27</v>
      </c>
      <c r="D222" s="1" t="str">
        <f>_xlfn.IFNA(_xlfn.XLOOKUP(Data[[#This Row],[unqid]],'Quipt Prod Data'!L:L,'Quipt Prod Data'!B:B),"")</f>
        <v/>
      </c>
      <c r="E222" s="1" t="str">
        <f>_xlfn.IFNA(_xlfn.XMATCH(Data[[#This Row],[unqid]],'Quipt Prod Data'!L:L,0),"")</f>
        <v/>
      </c>
      <c r="F222" s="1" t="str">
        <f>IF(COUNTIF('Quipt Prod Data'!L:L,Data[[#This Row],[unqid]])=0,"",COUNTIF('Quipt Prod Data'!L:L,Data[[#This Row],[unqid]]))</f>
        <v/>
      </c>
    </row>
    <row r="223" spans="1:6" x14ac:dyDescent="0.3">
      <c r="A223" t="s">
        <v>500</v>
      </c>
      <c r="B223" t="s">
        <v>26</v>
      </c>
      <c r="C223" t="s">
        <v>27</v>
      </c>
      <c r="D223" s="1" t="str">
        <f>_xlfn.IFNA(_xlfn.XLOOKUP(Data[[#This Row],[unqid]],'Quipt Prod Data'!L:L,'Quipt Prod Data'!B:B),"")</f>
        <v/>
      </c>
      <c r="E223" s="1" t="str">
        <f>_xlfn.IFNA(_xlfn.XMATCH(Data[[#This Row],[unqid]],'Quipt Prod Data'!L:L,0),"")</f>
        <v/>
      </c>
      <c r="F223" s="1" t="str">
        <f>IF(COUNTIF('Quipt Prod Data'!L:L,Data[[#This Row],[unqid]])=0,"",COUNTIF('Quipt Prod Data'!L:L,Data[[#This Row],[unqid]]))</f>
        <v/>
      </c>
    </row>
    <row r="224" spans="1:6" x14ac:dyDescent="0.3">
      <c r="A224" t="s">
        <v>501</v>
      </c>
      <c r="B224" t="s">
        <v>26</v>
      </c>
      <c r="C224" t="s">
        <v>27</v>
      </c>
      <c r="D224" s="1" t="str">
        <f>_xlfn.IFNA(_xlfn.XLOOKUP(Data[[#This Row],[unqid]],'Quipt Prod Data'!L:L,'Quipt Prod Data'!B:B),"")</f>
        <v/>
      </c>
      <c r="E224" s="1" t="str">
        <f>_xlfn.IFNA(_xlfn.XMATCH(Data[[#This Row],[unqid]],'Quipt Prod Data'!L:L,0),"")</f>
        <v/>
      </c>
      <c r="F224" s="1" t="str">
        <f>IF(COUNTIF('Quipt Prod Data'!L:L,Data[[#This Row],[unqid]])=0,"",COUNTIF('Quipt Prod Data'!L:L,Data[[#This Row],[unqid]]))</f>
        <v/>
      </c>
    </row>
    <row r="225" spans="1:6" x14ac:dyDescent="0.3">
      <c r="A225" t="s">
        <v>502</v>
      </c>
      <c r="B225" t="s">
        <v>26</v>
      </c>
      <c r="C225" t="s">
        <v>27</v>
      </c>
      <c r="D225" s="1" t="str">
        <f>_xlfn.IFNA(_xlfn.XLOOKUP(Data[[#This Row],[unqid]],'Quipt Prod Data'!L:L,'Quipt Prod Data'!B:B),"")</f>
        <v/>
      </c>
      <c r="E225" s="1" t="str">
        <f>_xlfn.IFNA(_xlfn.XMATCH(Data[[#This Row],[unqid]],'Quipt Prod Data'!L:L,0),"")</f>
        <v/>
      </c>
      <c r="F225" s="1" t="str">
        <f>IF(COUNTIF('Quipt Prod Data'!L:L,Data[[#This Row],[unqid]])=0,"",COUNTIF('Quipt Prod Data'!L:L,Data[[#This Row],[unqid]]))</f>
        <v/>
      </c>
    </row>
    <row r="226" spans="1:6" x14ac:dyDescent="0.3">
      <c r="A226" t="s">
        <v>503</v>
      </c>
      <c r="B226" t="s">
        <v>26</v>
      </c>
      <c r="C226" t="s">
        <v>27</v>
      </c>
      <c r="D226" s="1" t="str">
        <f>_xlfn.IFNA(_xlfn.XLOOKUP(Data[[#This Row],[unqid]],'Quipt Prod Data'!L:L,'Quipt Prod Data'!B:B),"")</f>
        <v/>
      </c>
      <c r="E226" s="1" t="str">
        <f>_xlfn.IFNA(_xlfn.XMATCH(Data[[#This Row],[unqid]],'Quipt Prod Data'!L:L,0),"")</f>
        <v/>
      </c>
      <c r="F226" s="1" t="str">
        <f>IF(COUNTIF('Quipt Prod Data'!L:L,Data[[#This Row],[unqid]])=0,"",COUNTIF('Quipt Prod Data'!L:L,Data[[#This Row],[unqid]]))</f>
        <v/>
      </c>
    </row>
    <row r="227" spans="1:6" x14ac:dyDescent="0.3">
      <c r="A227" t="s">
        <v>504</v>
      </c>
      <c r="B227" t="s">
        <v>28</v>
      </c>
      <c r="C227" t="s">
        <v>27</v>
      </c>
      <c r="D227" s="1" t="str">
        <f>_xlfn.IFNA(_xlfn.XLOOKUP(Data[[#This Row],[unqid]],'Quipt Prod Data'!L:L,'Quipt Prod Data'!B:B),"")</f>
        <v/>
      </c>
      <c r="E227" s="1" t="str">
        <f>_xlfn.IFNA(_xlfn.XMATCH(Data[[#This Row],[unqid]],'Quipt Prod Data'!L:L,0),"")</f>
        <v/>
      </c>
      <c r="F227" s="1" t="str">
        <f>IF(COUNTIF('Quipt Prod Data'!L:L,Data[[#This Row],[unqid]])=0,"",COUNTIF('Quipt Prod Data'!L:L,Data[[#This Row],[unqid]]))</f>
        <v/>
      </c>
    </row>
    <row r="228" spans="1:6" x14ac:dyDescent="0.3">
      <c r="A228" t="s">
        <v>505</v>
      </c>
      <c r="B228" t="s">
        <v>26</v>
      </c>
      <c r="C228" t="s">
        <v>27</v>
      </c>
      <c r="D228" s="1" t="str">
        <f>_xlfn.IFNA(_xlfn.XLOOKUP(Data[[#This Row],[unqid]],'Quipt Prod Data'!L:L,'Quipt Prod Data'!B:B),"")</f>
        <v/>
      </c>
      <c r="E228" s="1" t="str">
        <f>_xlfn.IFNA(_xlfn.XMATCH(Data[[#This Row],[unqid]],'Quipt Prod Data'!L:L,0),"")</f>
        <v/>
      </c>
      <c r="F228" s="1" t="str">
        <f>IF(COUNTIF('Quipt Prod Data'!L:L,Data[[#This Row],[unqid]])=0,"",COUNTIF('Quipt Prod Data'!L:L,Data[[#This Row],[unqid]]))</f>
        <v/>
      </c>
    </row>
    <row r="229" spans="1:6" x14ac:dyDescent="0.3">
      <c r="A229" t="s">
        <v>506</v>
      </c>
      <c r="B229" t="s">
        <v>32</v>
      </c>
      <c r="C229" t="s">
        <v>27</v>
      </c>
      <c r="D229" s="1" t="str">
        <f>_xlfn.IFNA(_xlfn.XLOOKUP(Data[[#This Row],[unqid]],'Quipt Prod Data'!L:L,'Quipt Prod Data'!B:B),"")</f>
        <v/>
      </c>
      <c r="E229" s="1" t="str">
        <f>_xlfn.IFNA(_xlfn.XMATCH(Data[[#This Row],[unqid]],'Quipt Prod Data'!L:L,0),"")</f>
        <v/>
      </c>
      <c r="F229" s="1" t="str">
        <f>IF(COUNTIF('Quipt Prod Data'!L:L,Data[[#This Row],[unqid]])=0,"",COUNTIF('Quipt Prod Data'!L:L,Data[[#This Row],[unqid]]))</f>
        <v/>
      </c>
    </row>
    <row r="230" spans="1:6" x14ac:dyDescent="0.3">
      <c r="A230" t="s">
        <v>507</v>
      </c>
      <c r="B230" t="s">
        <v>26</v>
      </c>
      <c r="C230" t="s">
        <v>27</v>
      </c>
      <c r="D230" s="1" t="str">
        <f>_xlfn.IFNA(_xlfn.XLOOKUP(Data[[#This Row],[unqid]],'Quipt Prod Data'!L:L,'Quipt Prod Data'!B:B),"")</f>
        <v/>
      </c>
      <c r="E230" s="1" t="str">
        <f>_xlfn.IFNA(_xlfn.XMATCH(Data[[#This Row],[unqid]],'Quipt Prod Data'!L:L,0),"")</f>
        <v/>
      </c>
      <c r="F230" s="1" t="str">
        <f>IF(COUNTIF('Quipt Prod Data'!L:L,Data[[#This Row],[unqid]])=0,"",COUNTIF('Quipt Prod Data'!L:L,Data[[#This Row],[unqid]]))</f>
        <v/>
      </c>
    </row>
    <row r="231" spans="1:6" x14ac:dyDescent="0.3">
      <c r="A231" t="s">
        <v>508</v>
      </c>
      <c r="B231" t="s">
        <v>26</v>
      </c>
      <c r="C231" t="s">
        <v>27</v>
      </c>
      <c r="D231" s="1" t="str">
        <f>_xlfn.IFNA(_xlfn.XLOOKUP(Data[[#This Row],[unqid]],'Quipt Prod Data'!L:L,'Quipt Prod Data'!B:B),"")</f>
        <v/>
      </c>
      <c r="E231" s="1" t="str">
        <f>_xlfn.IFNA(_xlfn.XMATCH(Data[[#This Row],[unqid]],'Quipt Prod Data'!L:L,0),"")</f>
        <v/>
      </c>
      <c r="F231" s="1" t="str">
        <f>IF(COUNTIF('Quipt Prod Data'!L:L,Data[[#This Row],[unqid]])=0,"",COUNTIF('Quipt Prod Data'!L:L,Data[[#This Row],[unqid]]))</f>
        <v/>
      </c>
    </row>
    <row r="232" spans="1:6" x14ac:dyDescent="0.3">
      <c r="A232" t="s">
        <v>509</v>
      </c>
      <c r="B232" t="s">
        <v>26</v>
      </c>
      <c r="C232" t="s">
        <v>27</v>
      </c>
      <c r="D232" s="1" t="str">
        <f>_xlfn.IFNA(_xlfn.XLOOKUP(Data[[#This Row],[unqid]],'Quipt Prod Data'!L:L,'Quipt Prod Data'!B:B),"")</f>
        <v/>
      </c>
      <c r="E232" s="1" t="str">
        <f>_xlfn.IFNA(_xlfn.XMATCH(Data[[#This Row],[unqid]],'Quipt Prod Data'!L:L,0),"")</f>
        <v/>
      </c>
      <c r="F232" s="1" t="str">
        <f>IF(COUNTIF('Quipt Prod Data'!L:L,Data[[#This Row],[unqid]])=0,"",COUNTIF('Quipt Prod Data'!L:L,Data[[#This Row],[unqid]]))</f>
        <v/>
      </c>
    </row>
    <row r="233" spans="1:6" x14ac:dyDescent="0.3">
      <c r="A233" t="s">
        <v>510</v>
      </c>
      <c r="B233" t="s">
        <v>32</v>
      </c>
      <c r="C233" t="s">
        <v>27</v>
      </c>
      <c r="D233" s="1" t="str">
        <f>_xlfn.IFNA(_xlfn.XLOOKUP(Data[[#This Row],[unqid]],'Quipt Prod Data'!L:L,'Quipt Prod Data'!B:B),"")</f>
        <v/>
      </c>
      <c r="E233" s="1" t="str">
        <f>_xlfn.IFNA(_xlfn.XMATCH(Data[[#This Row],[unqid]],'Quipt Prod Data'!L:L,0),"")</f>
        <v/>
      </c>
      <c r="F233" s="1" t="str">
        <f>IF(COUNTIF('Quipt Prod Data'!L:L,Data[[#This Row],[unqid]])=0,"",COUNTIF('Quipt Prod Data'!L:L,Data[[#This Row],[unqid]]))</f>
        <v/>
      </c>
    </row>
    <row r="234" spans="1:6" x14ac:dyDescent="0.3">
      <c r="A234" t="s">
        <v>511</v>
      </c>
      <c r="B234" t="s">
        <v>26</v>
      </c>
      <c r="C234" t="s">
        <v>27</v>
      </c>
      <c r="D234" s="1" t="str">
        <f>_xlfn.IFNA(_xlfn.XLOOKUP(Data[[#This Row],[unqid]],'Quipt Prod Data'!L:L,'Quipt Prod Data'!B:B),"")</f>
        <v/>
      </c>
      <c r="E234" s="1" t="str">
        <f>_xlfn.IFNA(_xlfn.XMATCH(Data[[#This Row],[unqid]],'Quipt Prod Data'!L:L,0),"")</f>
        <v/>
      </c>
      <c r="F234" s="1" t="str">
        <f>IF(COUNTIF('Quipt Prod Data'!L:L,Data[[#This Row],[unqid]])=0,"",COUNTIF('Quipt Prod Data'!L:L,Data[[#This Row],[unqid]]))</f>
        <v/>
      </c>
    </row>
    <row r="235" spans="1:6" x14ac:dyDescent="0.3">
      <c r="A235" t="s">
        <v>512</v>
      </c>
      <c r="B235" t="s">
        <v>26</v>
      </c>
      <c r="C235" t="s">
        <v>27</v>
      </c>
      <c r="D235" s="1" t="str">
        <f>_xlfn.IFNA(_xlfn.XLOOKUP(Data[[#This Row],[unqid]],'Quipt Prod Data'!L:L,'Quipt Prod Data'!B:B),"")</f>
        <v/>
      </c>
      <c r="E235" s="1" t="str">
        <f>_xlfn.IFNA(_xlfn.XMATCH(Data[[#This Row],[unqid]],'Quipt Prod Data'!L:L,0),"")</f>
        <v/>
      </c>
      <c r="F235" s="1" t="str">
        <f>IF(COUNTIF('Quipt Prod Data'!L:L,Data[[#This Row],[unqid]])=0,"",COUNTIF('Quipt Prod Data'!L:L,Data[[#This Row],[unqid]]))</f>
        <v/>
      </c>
    </row>
    <row r="236" spans="1:6" x14ac:dyDescent="0.3">
      <c r="A236" t="s">
        <v>513</v>
      </c>
      <c r="B236" t="s">
        <v>32</v>
      </c>
      <c r="C236" t="s">
        <v>27</v>
      </c>
      <c r="D236" s="1" t="str">
        <f>_xlfn.IFNA(_xlfn.XLOOKUP(Data[[#This Row],[unqid]],'Quipt Prod Data'!L:L,'Quipt Prod Data'!B:B),"")</f>
        <v/>
      </c>
      <c r="E236" s="1" t="str">
        <f>_xlfn.IFNA(_xlfn.XMATCH(Data[[#This Row],[unqid]],'Quipt Prod Data'!L:L,0),"")</f>
        <v/>
      </c>
      <c r="F236" s="1" t="str">
        <f>IF(COUNTIF('Quipt Prod Data'!L:L,Data[[#This Row],[unqid]])=0,"",COUNTIF('Quipt Prod Data'!L:L,Data[[#This Row],[unqid]]))</f>
        <v/>
      </c>
    </row>
    <row r="237" spans="1:6" x14ac:dyDescent="0.3">
      <c r="A237" t="s">
        <v>514</v>
      </c>
      <c r="B237" t="s">
        <v>38</v>
      </c>
      <c r="C237" t="s">
        <v>27</v>
      </c>
      <c r="D237" s="1" t="str">
        <f>_xlfn.IFNA(_xlfn.XLOOKUP(Data[[#This Row],[unqid]],'Quipt Prod Data'!L:L,'Quipt Prod Data'!B:B),"")</f>
        <v/>
      </c>
      <c r="E237" s="1" t="str">
        <f>_xlfn.IFNA(_xlfn.XMATCH(Data[[#This Row],[unqid]],'Quipt Prod Data'!L:L,0),"")</f>
        <v/>
      </c>
      <c r="F237" s="1" t="str">
        <f>IF(COUNTIF('Quipt Prod Data'!L:L,Data[[#This Row],[unqid]])=0,"",COUNTIF('Quipt Prod Data'!L:L,Data[[#This Row],[unqid]]))</f>
        <v/>
      </c>
    </row>
    <row r="238" spans="1:6" x14ac:dyDescent="0.3">
      <c r="A238" t="s">
        <v>515</v>
      </c>
      <c r="B238" t="s">
        <v>26</v>
      </c>
      <c r="C238" t="s">
        <v>27</v>
      </c>
      <c r="D238" s="1" t="str">
        <f>_xlfn.IFNA(_xlfn.XLOOKUP(Data[[#This Row],[unqid]],'Quipt Prod Data'!L:L,'Quipt Prod Data'!B:B),"")</f>
        <v/>
      </c>
      <c r="E238" s="1" t="str">
        <f>_xlfn.IFNA(_xlfn.XMATCH(Data[[#This Row],[unqid]],'Quipt Prod Data'!L:L,0),"")</f>
        <v/>
      </c>
      <c r="F238" s="1" t="str">
        <f>IF(COUNTIF('Quipt Prod Data'!L:L,Data[[#This Row],[unqid]])=0,"",COUNTIF('Quipt Prod Data'!L:L,Data[[#This Row],[unqid]]))</f>
        <v/>
      </c>
    </row>
    <row r="239" spans="1:6" x14ac:dyDescent="0.3">
      <c r="A239" t="s">
        <v>516</v>
      </c>
      <c r="B239" t="s">
        <v>26</v>
      </c>
      <c r="C239" t="s">
        <v>27</v>
      </c>
      <c r="D239" s="1" t="str">
        <f>_xlfn.IFNA(_xlfn.XLOOKUP(Data[[#This Row],[unqid]],'Quipt Prod Data'!L:L,'Quipt Prod Data'!B:B),"")</f>
        <v/>
      </c>
      <c r="E239" s="1" t="str">
        <f>_xlfn.IFNA(_xlfn.XMATCH(Data[[#This Row],[unqid]],'Quipt Prod Data'!L:L,0),"")</f>
        <v/>
      </c>
      <c r="F239" s="1" t="str">
        <f>IF(COUNTIF('Quipt Prod Data'!L:L,Data[[#This Row],[unqid]])=0,"",COUNTIF('Quipt Prod Data'!L:L,Data[[#This Row],[unqid]]))</f>
        <v/>
      </c>
    </row>
    <row r="240" spans="1:6" x14ac:dyDescent="0.3">
      <c r="A240" t="s">
        <v>517</v>
      </c>
      <c r="B240" t="s">
        <v>26</v>
      </c>
      <c r="C240" t="s">
        <v>27</v>
      </c>
      <c r="D240" s="1" t="str">
        <f>_xlfn.IFNA(_xlfn.XLOOKUP(Data[[#This Row],[unqid]],'Quipt Prod Data'!L:L,'Quipt Prod Data'!B:B),"")</f>
        <v/>
      </c>
      <c r="E240" s="1" t="str">
        <f>_xlfn.IFNA(_xlfn.XMATCH(Data[[#This Row],[unqid]],'Quipt Prod Data'!L:L,0),"")</f>
        <v/>
      </c>
      <c r="F240" s="1" t="str">
        <f>IF(COUNTIF('Quipt Prod Data'!L:L,Data[[#This Row],[unqid]])=0,"",COUNTIF('Quipt Prod Data'!L:L,Data[[#This Row],[unqid]]))</f>
        <v/>
      </c>
    </row>
    <row r="241" spans="1:6" x14ac:dyDescent="0.3">
      <c r="A241" t="s">
        <v>518</v>
      </c>
      <c r="B241" t="s">
        <v>26</v>
      </c>
      <c r="C241" t="s">
        <v>27</v>
      </c>
      <c r="D241" s="1" t="str">
        <f>_xlfn.IFNA(_xlfn.XLOOKUP(Data[[#This Row],[unqid]],'Quipt Prod Data'!L:L,'Quipt Prod Data'!B:B),"")</f>
        <v/>
      </c>
      <c r="E241" s="1" t="str">
        <f>_xlfn.IFNA(_xlfn.XMATCH(Data[[#This Row],[unqid]],'Quipt Prod Data'!L:L,0),"")</f>
        <v/>
      </c>
      <c r="F241" s="1" t="str">
        <f>IF(COUNTIF('Quipt Prod Data'!L:L,Data[[#This Row],[unqid]])=0,"",COUNTIF('Quipt Prod Data'!L:L,Data[[#This Row],[unqid]]))</f>
        <v/>
      </c>
    </row>
    <row r="242" spans="1:6" x14ac:dyDescent="0.3">
      <c r="A242" t="s">
        <v>519</v>
      </c>
      <c r="B242" t="s">
        <v>26</v>
      </c>
      <c r="C242" t="s">
        <v>27</v>
      </c>
      <c r="D242" s="1" t="str">
        <f>_xlfn.IFNA(_xlfn.XLOOKUP(Data[[#This Row],[unqid]],'Quipt Prod Data'!L:L,'Quipt Prod Data'!B:B),"")</f>
        <v/>
      </c>
      <c r="E242" s="1" t="str">
        <f>_xlfn.IFNA(_xlfn.XMATCH(Data[[#This Row],[unqid]],'Quipt Prod Data'!L:L,0),"")</f>
        <v/>
      </c>
      <c r="F242" s="1" t="str">
        <f>IF(COUNTIF('Quipt Prod Data'!L:L,Data[[#This Row],[unqid]])=0,"",COUNTIF('Quipt Prod Data'!L:L,Data[[#This Row],[unqid]]))</f>
        <v/>
      </c>
    </row>
    <row r="243" spans="1:6" x14ac:dyDescent="0.3">
      <c r="A243" t="s">
        <v>520</v>
      </c>
      <c r="B243" t="s">
        <v>32</v>
      </c>
      <c r="C243" t="s">
        <v>27</v>
      </c>
      <c r="D243" s="1" t="str">
        <f>_xlfn.IFNA(_xlfn.XLOOKUP(Data[[#This Row],[unqid]],'Quipt Prod Data'!L:L,'Quipt Prod Data'!B:B),"")</f>
        <v/>
      </c>
      <c r="E243" s="1" t="str">
        <f>_xlfn.IFNA(_xlfn.XMATCH(Data[[#This Row],[unqid]],'Quipt Prod Data'!L:L,0),"")</f>
        <v/>
      </c>
      <c r="F243" s="1" t="str">
        <f>IF(COUNTIF('Quipt Prod Data'!L:L,Data[[#This Row],[unqid]])=0,"",COUNTIF('Quipt Prod Data'!L:L,Data[[#This Row],[unqid]]))</f>
        <v/>
      </c>
    </row>
    <row r="244" spans="1:6" x14ac:dyDescent="0.3">
      <c r="A244" t="s">
        <v>521</v>
      </c>
      <c r="B244" t="s">
        <v>26</v>
      </c>
      <c r="C244" t="s">
        <v>27</v>
      </c>
      <c r="D244" s="1" t="str">
        <f>_xlfn.IFNA(_xlfn.XLOOKUP(Data[[#This Row],[unqid]],'Quipt Prod Data'!L:L,'Quipt Prod Data'!B:B),"")</f>
        <v/>
      </c>
      <c r="E244" s="1" t="str">
        <f>_xlfn.IFNA(_xlfn.XMATCH(Data[[#This Row],[unqid]],'Quipt Prod Data'!L:L,0),"")</f>
        <v/>
      </c>
      <c r="F244" s="1" t="str">
        <f>IF(COUNTIF('Quipt Prod Data'!L:L,Data[[#This Row],[unqid]])=0,"",COUNTIF('Quipt Prod Data'!L:L,Data[[#This Row],[unqid]]))</f>
        <v/>
      </c>
    </row>
    <row r="245" spans="1:6" x14ac:dyDescent="0.3">
      <c r="A245" t="s">
        <v>270</v>
      </c>
      <c r="B245" t="s">
        <v>26</v>
      </c>
      <c r="C245" t="s">
        <v>27</v>
      </c>
      <c r="D245" s="1" t="str">
        <f>_xlfn.IFNA(_xlfn.XLOOKUP(Data[[#This Row],[unqid]],'Quipt Prod Data'!L:L,'Quipt Prod Data'!B:B),"")</f>
        <v>Portal Quipt-Edocument</v>
      </c>
      <c r="E245" s="1">
        <f>_xlfn.IFNA(_xlfn.XMATCH(Data[[#This Row],[unqid]],'Quipt Prod Data'!L:L,0),"")</f>
        <v>71</v>
      </c>
      <c r="F245" s="1">
        <f>IF(COUNTIF('Quipt Prod Data'!L:L,Data[[#This Row],[unqid]])=0,"",COUNTIF('Quipt Prod Data'!L:L,Data[[#This Row],[unqid]]))</f>
        <v>1</v>
      </c>
    </row>
    <row r="246" spans="1:6" x14ac:dyDescent="0.3">
      <c r="A246" t="s">
        <v>522</v>
      </c>
      <c r="B246" t="s">
        <v>26</v>
      </c>
      <c r="C246" t="s">
        <v>27</v>
      </c>
      <c r="D246" s="1" t="str">
        <f>_xlfn.IFNA(_xlfn.XLOOKUP(Data[[#This Row],[unqid]],'Quipt Prod Data'!L:L,'Quipt Prod Data'!B:B),"")</f>
        <v/>
      </c>
      <c r="E246" s="1" t="str">
        <f>_xlfn.IFNA(_xlfn.XMATCH(Data[[#This Row],[unqid]],'Quipt Prod Data'!L:L,0),"")</f>
        <v/>
      </c>
      <c r="F246" s="1" t="str">
        <f>IF(COUNTIF('Quipt Prod Data'!L:L,Data[[#This Row],[unqid]])=0,"",COUNTIF('Quipt Prod Data'!L:L,Data[[#This Row],[unqid]]))</f>
        <v/>
      </c>
    </row>
    <row r="247" spans="1:6" x14ac:dyDescent="0.3">
      <c r="A247" t="s">
        <v>219</v>
      </c>
      <c r="B247" t="s">
        <v>32</v>
      </c>
      <c r="C247" t="s">
        <v>27</v>
      </c>
      <c r="D247" s="1" t="str">
        <f>_xlfn.IFNA(_xlfn.XLOOKUP(Data[[#This Row],[unqid]],'Quipt Prod Data'!L:L,'Quipt Prod Data'!B:B),"")</f>
        <v>Portal Quipt-Edocument</v>
      </c>
      <c r="E247" s="1">
        <f>_xlfn.IFNA(_xlfn.XMATCH(Data[[#This Row],[unqid]],'Quipt Prod Data'!L:L,0),"")</f>
        <v>7</v>
      </c>
      <c r="F247" s="1">
        <f>IF(COUNTIF('Quipt Prod Data'!L:L,Data[[#This Row],[unqid]])=0,"",COUNTIF('Quipt Prod Data'!L:L,Data[[#This Row],[unqid]]))</f>
        <v>1</v>
      </c>
    </row>
    <row r="248" spans="1:6" x14ac:dyDescent="0.3">
      <c r="A248" t="s">
        <v>523</v>
      </c>
      <c r="B248" t="s">
        <v>28</v>
      </c>
      <c r="C248" t="s">
        <v>27</v>
      </c>
      <c r="D248" s="1" t="str">
        <f>_xlfn.IFNA(_xlfn.XLOOKUP(Data[[#This Row],[unqid]],'Quipt Prod Data'!L:L,'Quipt Prod Data'!B:B),"")</f>
        <v/>
      </c>
      <c r="E248" s="1" t="str">
        <f>_xlfn.IFNA(_xlfn.XMATCH(Data[[#This Row],[unqid]],'Quipt Prod Data'!L:L,0),"")</f>
        <v/>
      </c>
      <c r="F248" s="1" t="str">
        <f>IF(COUNTIF('Quipt Prod Data'!L:L,Data[[#This Row],[unqid]])=0,"",COUNTIF('Quipt Prod Data'!L:L,Data[[#This Row],[unqid]]))</f>
        <v/>
      </c>
    </row>
    <row r="249" spans="1:6" x14ac:dyDescent="0.3">
      <c r="A249" t="s">
        <v>524</v>
      </c>
      <c r="B249" t="s">
        <v>26</v>
      </c>
      <c r="C249" t="s">
        <v>27</v>
      </c>
      <c r="D249" s="1" t="str">
        <f>_xlfn.IFNA(_xlfn.XLOOKUP(Data[[#This Row],[unqid]],'Quipt Prod Data'!L:L,'Quipt Prod Data'!B:B),"")</f>
        <v/>
      </c>
      <c r="E249" s="1" t="str">
        <f>_xlfn.IFNA(_xlfn.XMATCH(Data[[#This Row],[unqid]],'Quipt Prod Data'!L:L,0),"")</f>
        <v/>
      </c>
      <c r="F249" s="1" t="str">
        <f>IF(COUNTIF('Quipt Prod Data'!L:L,Data[[#This Row],[unqid]])=0,"",COUNTIF('Quipt Prod Data'!L:L,Data[[#This Row],[unqid]]))</f>
        <v/>
      </c>
    </row>
    <row r="250" spans="1:6" x14ac:dyDescent="0.3">
      <c r="A250" t="s">
        <v>525</v>
      </c>
      <c r="B250" t="s">
        <v>32</v>
      </c>
      <c r="C250" t="s">
        <v>27</v>
      </c>
      <c r="D250" s="1" t="str">
        <f>_xlfn.IFNA(_xlfn.XLOOKUP(Data[[#This Row],[unqid]],'Quipt Prod Data'!L:L,'Quipt Prod Data'!B:B),"")</f>
        <v/>
      </c>
      <c r="E250" s="1" t="str">
        <f>_xlfn.IFNA(_xlfn.XMATCH(Data[[#This Row],[unqid]],'Quipt Prod Data'!L:L,0),"")</f>
        <v/>
      </c>
      <c r="F250" s="1" t="str">
        <f>IF(COUNTIF('Quipt Prod Data'!L:L,Data[[#This Row],[unqid]])=0,"",COUNTIF('Quipt Prod Data'!L:L,Data[[#This Row],[unqid]]))</f>
        <v/>
      </c>
    </row>
    <row r="251" spans="1:6" x14ac:dyDescent="0.3">
      <c r="A251" t="s">
        <v>526</v>
      </c>
      <c r="B251" t="s">
        <v>26</v>
      </c>
      <c r="C251" t="s">
        <v>27</v>
      </c>
      <c r="D251" s="1" t="str">
        <f>_xlfn.IFNA(_xlfn.XLOOKUP(Data[[#This Row],[unqid]],'Quipt Prod Data'!L:L,'Quipt Prod Data'!B:B),"")</f>
        <v/>
      </c>
      <c r="E251" s="1" t="str">
        <f>_xlfn.IFNA(_xlfn.XMATCH(Data[[#This Row],[unqid]],'Quipt Prod Data'!L:L,0),"")</f>
        <v/>
      </c>
      <c r="F251" s="1" t="str">
        <f>IF(COUNTIF('Quipt Prod Data'!L:L,Data[[#This Row],[unqid]])=0,"",COUNTIF('Quipt Prod Data'!L:L,Data[[#This Row],[unqid]]))</f>
        <v/>
      </c>
    </row>
    <row r="252" spans="1:6" x14ac:dyDescent="0.3">
      <c r="A252" t="s">
        <v>527</v>
      </c>
      <c r="B252" t="s">
        <v>26</v>
      </c>
      <c r="C252" t="s">
        <v>27</v>
      </c>
      <c r="D252" s="1" t="str">
        <f>_xlfn.IFNA(_xlfn.XLOOKUP(Data[[#This Row],[unqid]],'Quipt Prod Data'!L:L,'Quipt Prod Data'!B:B),"")</f>
        <v/>
      </c>
      <c r="E252" s="1" t="str">
        <f>_xlfn.IFNA(_xlfn.XMATCH(Data[[#This Row],[unqid]],'Quipt Prod Data'!L:L,0),"")</f>
        <v/>
      </c>
      <c r="F252" s="1" t="str">
        <f>IF(COUNTIF('Quipt Prod Data'!L:L,Data[[#This Row],[unqid]])=0,"",COUNTIF('Quipt Prod Data'!L:L,Data[[#This Row],[unqid]]))</f>
        <v/>
      </c>
    </row>
    <row r="253" spans="1:6" x14ac:dyDescent="0.3">
      <c r="A253" t="s">
        <v>528</v>
      </c>
      <c r="B253" t="s">
        <v>32</v>
      </c>
      <c r="C253" t="s">
        <v>27</v>
      </c>
      <c r="D253" s="1" t="str">
        <f>_xlfn.IFNA(_xlfn.XLOOKUP(Data[[#This Row],[unqid]],'Quipt Prod Data'!L:L,'Quipt Prod Data'!B:B),"")</f>
        <v/>
      </c>
      <c r="E253" s="1" t="str">
        <f>_xlfn.IFNA(_xlfn.XMATCH(Data[[#This Row],[unqid]],'Quipt Prod Data'!L:L,0),"")</f>
        <v/>
      </c>
      <c r="F253" s="1" t="str">
        <f>IF(COUNTIF('Quipt Prod Data'!L:L,Data[[#This Row],[unqid]])=0,"",COUNTIF('Quipt Prod Data'!L:L,Data[[#This Row],[unqid]]))</f>
        <v/>
      </c>
    </row>
    <row r="254" spans="1:6" x14ac:dyDescent="0.3">
      <c r="A254" t="s">
        <v>277</v>
      </c>
      <c r="B254" t="s">
        <v>26</v>
      </c>
      <c r="C254" t="s">
        <v>27</v>
      </c>
      <c r="D254" s="1" t="str">
        <f>_xlfn.IFNA(_xlfn.XLOOKUP(Data[[#This Row],[unqid]],'Quipt Prod Data'!L:L,'Quipt Prod Data'!B:B),"")</f>
        <v>Portal Quipt-PTCall</v>
      </c>
      <c r="E254" s="1">
        <f>_xlfn.IFNA(_xlfn.XMATCH(Data[[#This Row],[unqid]],'Quipt Prod Data'!L:L,0),"")</f>
        <v>107</v>
      </c>
      <c r="F254" s="1">
        <f>IF(COUNTIF('Quipt Prod Data'!L:L,Data[[#This Row],[unqid]])=0,"",COUNTIF('Quipt Prod Data'!L:L,Data[[#This Row],[unqid]]))</f>
        <v>1</v>
      </c>
    </row>
    <row r="255" spans="1:6" x14ac:dyDescent="0.3">
      <c r="A255" t="s">
        <v>529</v>
      </c>
      <c r="B255" t="s">
        <v>26</v>
      </c>
      <c r="C255" t="s">
        <v>27</v>
      </c>
      <c r="D255" s="1" t="str">
        <f>_xlfn.IFNA(_xlfn.XLOOKUP(Data[[#This Row],[unqid]],'Quipt Prod Data'!L:L,'Quipt Prod Data'!B:B),"")</f>
        <v/>
      </c>
      <c r="E255" s="1" t="str">
        <f>_xlfn.IFNA(_xlfn.XMATCH(Data[[#This Row],[unqid]],'Quipt Prod Data'!L:L,0),"")</f>
        <v/>
      </c>
      <c r="F255" s="1" t="str">
        <f>IF(COUNTIF('Quipt Prod Data'!L:L,Data[[#This Row],[unqid]])=0,"",COUNTIF('Quipt Prod Data'!L:L,Data[[#This Row],[unqid]]))</f>
        <v/>
      </c>
    </row>
    <row r="256" spans="1:6" x14ac:dyDescent="0.3">
      <c r="A256" t="s">
        <v>530</v>
      </c>
      <c r="B256" t="s">
        <v>32</v>
      </c>
      <c r="C256" t="s">
        <v>27</v>
      </c>
      <c r="D256" s="1" t="str">
        <f>_xlfn.IFNA(_xlfn.XLOOKUP(Data[[#This Row],[unqid]],'Quipt Prod Data'!L:L,'Quipt Prod Data'!B:B),"")</f>
        <v/>
      </c>
      <c r="E256" s="1" t="str">
        <f>_xlfn.IFNA(_xlfn.XMATCH(Data[[#This Row],[unqid]],'Quipt Prod Data'!L:L,0),"")</f>
        <v/>
      </c>
      <c r="F256" s="1" t="str">
        <f>IF(COUNTIF('Quipt Prod Data'!L:L,Data[[#This Row],[unqid]])=0,"",COUNTIF('Quipt Prod Data'!L:L,Data[[#This Row],[unqid]]))</f>
        <v/>
      </c>
    </row>
    <row r="257" spans="1:6" x14ac:dyDescent="0.3">
      <c r="A257" t="s">
        <v>531</v>
      </c>
      <c r="B257" t="s">
        <v>31</v>
      </c>
      <c r="C257" t="s">
        <v>27</v>
      </c>
      <c r="D257" s="1" t="str">
        <f>_xlfn.IFNA(_xlfn.XLOOKUP(Data[[#This Row],[unqid]],'Quipt Prod Data'!L:L,'Quipt Prod Data'!B:B),"")</f>
        <v/>
      </c>
      <c r="E257" s="1" t="str">
        <f>_xlfn.IFNA(_xlfn.XMATCH(Data[[#This Row],[unqid]],'Quipt Prod Data'!L:L,0),"")</f>
        <v/>
      </c>
      <c r="F257" s="1" t="str">
        <f>IF(COUNTIF('Quipt Prod Data'!L:L,Data[[#This Row],[unqid]])=0,"",COUNTIF('Quipt Prod Data'!L:L,Data[[#This Row],[unqid]]))</f>
        <v/>
      </c>
    </row>
    <row r="258" spans="1:6" x14ac:dyDescent="0.3">
      <c r="A258" t="s">
        <v>532</v>
      </c>
      <c r="B258" t="s">
        <v>32</v>
      </c>
      <c r="C258" t="s">
        <v>27</v>
      </c>
      <c r="D258" s="1" t="str">
        <f>_xlfn.IFNA(_xlfn.XLOOKUP(Data[[#This Row],[unqid]],'Quipt Prod Data'!L:L,'Quipt Prod Data'!B:B),"")</f>
        <v/>
      </c>
      <c r="E258" s="1" t="str">
        <f>_xlfn.IFNA(_xlfn.XMATCH(Data[[#This Row],[unqid]],'Quipt Prod Data'!L:L,0),"")</f>
        <v/>
      </c>
      <c r="F258" s="1" t="str">
        <f>IF(COUNTIF('Quipt Prod Data'!L:L,Data[[#This Row],[unqid]])=0,"",COUNTIF('Quipt Prod Data'!L:L,Data[[#This Row],[unqid]]))</f>
        <v/>
      </c>
    </row>
    <row r="259" spans="1:6" x14ac:dyDescent="0.3">
      <c r="A259" t="s">
        <v>533</v>
      </c>
      <c r="B259" t="s">
        <v>26</v>
      </c>
      <c r="C259" t="s">
        <v>27</v>
      </c>
      <c r="D259" s="1" t="str">
        <f>_xlfn.IFNA(_xlfn.XLOOKUP(Data[[#This Row],[unqid]],'Quipt Prod Data'!L:L,'Quipt Prod Data'!B:B),"")</f>
        <v/>
      </c>
      <c r="E259" s="1" t="str">
        <f>_xlfn.IFNA(_xlfn.XMATCH(Data[[#This Row],[unqid]],'Quipt Prod Data'!L:L,0),"")</f>
        <v/>
      </c>
      <c r="F259" s="1" t="str">
        <f>IF(COUNTIF('Quipt Prod Data'!L:L,Data[[#This Row],[unqid]])=0,"",COUNTIF('Quipt Prod Data'!L:L,Data[[#This Row],[unqid]]))</f>
        <v/>
      </c>
    </row>
    <row r="260" spans="1:6" x14ac:dyDescent="0.3">
      <c r="A260" t="s">
        <v>534</v>
      </c>
      <c r="B260" t="s">
        <v>26</v>
      </c>
      <c r="C260" t="s">
        <v>27</v>
      </c>
      <c r="D260" s="1" t="str">
        <f>_xlfn.IFNA(_xlfn.XLOOKUP(Data[[#This Row],[unqid]],'Quipt Prod Data'!L:L,'Quipt Prod Data'!B:B),"")</f>
        <v/>
      </c>
      <c r="E260" s="1" t="str">
        <f>_xlfn.IFNA(_xlfn.XMATCH(Data[[#This Row],[unqid]],'Quipt Prod Data'!L:L,0),"")</f>
        <v/>
      </c>
      <c r="F260" s="1" t="str">
        <f>IF(COUNTIF('Quipt Prod Data'!L:L,Data[[#This Row],[unqid]])=0,"",COUNTIF('Quipt Prod Data'!L:L,Data[[#This Row],[unqid]]))</f>
        <v/>
      </c>
    </row>
    <row r="261" spans="1:6" x14ac:dyDescent="0.3">
      <c r="A261" t="s">
        <v>535</v>
      </c>
      <c r="B261" t="s">
        <v>26</v>
      </c>
      <c r="C261" t="s">
        <v>27</v>
      </c>
      <c r="D261" s="1" t="str">
        <f>_xlfn.IFNA(_xlfn.XLOOKUP(Data[[#This Row],[unqid]],'Quipt Prod Data'!L:L,'Quipt Prod Data'!B:B),"")</f>
        <v/>
      </c>
      <c r="E261" s="1" t="str">
        <f>_xlfn.IFNA(_xlfn.XMATCH(Data[[#This Row],[unqid]],'Quipt Prod Data'!L:L,0),"")</f>
        <v/>
      </c>
      <c r="F261" s="1" t="str">
        <f>IF(COUNTIF('Quipt Prod Data'!L:L,Data[[#This Row],[unqid]])=0,"",COUNTIF('Quipt Prod Data'!L:L,Data[[#This Row],[unqid]]))</f>
        <v/>
      </c>
    </row>
    <row r="262" spans="1:6" x14ac:dyDescent="0.3">
      <c r="A262" t="s">
        <v>536</v>
      </c>
      <c r="B262" t="s">
        <v>26</v>
      </c>
      <c r="C262" t="s">
        <v>27</v>
      </c>
      <c r="D262" s="1" t="str">
        <f>_xlfn.IFNA(_xlfn.XLOOKUP(Data[[#This Row],[unqid]],'Quipt Prod Data'!L:L,'Quipt Prod Data'!B:B),"")</f>
        <v/>
      </c>
      <c r="E262" s="1" t="str">
        <f>_xlfn.IFNA(_xlfn.XMATCH(Data[[#This Row],[unqid]],'Quipt Prod Data'!L:L,0),"")</f>
        <v/>
      </c>
      <c r="F262" s="1" t="str">
        <f>IF(COUNTIF('Quipt Prod Data'!L:L,Data[[#This Row],[unqid]])=0,"",COUNTIF('Quipt Prod Data'!L:L,Data[[#This Row],[unqid]]))</f>
        <v/>
      </c>
    </row>
    <row r="263" spans="1:6" x14ac:dyDescent="0.3">
      <c r="A263" t="s">
        <v>537</v>
      </c>
      <c r="B263" t="s">
        <v>29</v>
      </c>
      <c r="C263" t="s">
        <v>27</v>
      </c>
      <c r="D263" s="1" t="str">
        <f>_xlfn.IFNA(_xlfn.XLOOKUP(Data[[#This Row],[unqid]],'Quipt Prod Data'!L:L,'Quipt Prod Data'!B:B),"")</f>
        <v/>
      </c>
      <c r="E263" s="1" t="str">
        <f>_xlfn.IFNA(_xlfn.XMATCH(Data[[#This Row],[unqid]],'Quipt Prod Data'!L:L,0),"")</f>
        <v/>
      </c>
      <c r="F263" s="1" t="str">
        <f>IF(COUNTIF('Quipt Prod Data'!L:L,Data[[#This Row],[unqid]])=0,"",COUNTIF('Quipt Prod Data'!L:L,Data[[#This Row],[unqid]]))</f>
        <v/>
      </c>
    </row>
    <row r="264" spans="1:6" x14ac:dyDescent="0.3">
      <c r="A264" t="s">
        <v>538</v>
      </c>
      <c r="B264" t="s">
        <v>26</v>
      </c>
      <c r="C264" t="s">
        <v>27</v>
      </c>
      <c r="D264" s="1" t="str">
        <f>_xlfn.IFNA(_xlfn.XLOOKUP(Data[[#This Row],[unqid]],'Quipt Prod Data'!L:L,'Quipt Prod Data'!B:B),"")</f>
        <v/>
      </c>
      <c r="E264" s="1" t="str">
        <f>_xlfn.IFNA(_xlfn.XMATCH(Data[[#This Row],[unqid]],'Quipt Prod Data'!L:L,0),"")</f>
        <v/>
      </c>
      <c r="F264" s="1" t="str">
        <f>IF(COUNTIF('Quipt Prod Data'!L:L,Data[[#This Row],[unqid]])=0,"",COUNTIF('Quipt Prod Data'!L:L,Data[[#This Row],[unqid]]))</f>
        <v/>
      </c>
    </row>
    <row r="265" spans="1:6" x14ac:dyDescent="0.3">
      <c r="A265" t="s">
        <v>539</v>
      </c>
      <c r="B265" t="s">
        <v>26</v>
      </c>
      <c r="C265" t="s">
        <v>27</v>
      </c>
      <c r="D265" s="1" t="str">
        <f>_xlfn.IFNA(_xlfn.XLOOKUP(Data[[#This Row],[unqid]],'Quipt Prod Data'!L:L,'Quipt Prod Data'!B:B),"")</f>
        <v/>
      </c>
      <c r="E265" s="1" t="str">
        <f>_xlfn.IFNA(_xlfn.XMATCH(Data[[#This Row],[unqid]],'Quipt Prod Data'!L:L,0),"")</f>
        <v/>
      </c>
      <c r="F265" s="1" t="str">
        <f>IF(COUNTIF('Quipt Prod Data'!L:L,Data[[#This Row],[unqid]])=0,"",COUNTIF('Quipt Prod Data'!L:L,Data[[#This Row],[unqid]]))</f>
        <v/>
      </c>
    </row>
    <row r="266" spans="1:6" x14ac:dyDescent="0.3">
      <c r="A266" t="s">
        <v>540</v>
      </c>
      <c r="B266" t="s">
        <v>26</v>
      </c>
      <c r="C266" t="s">
        <v>27</v>
      </c>
      <c r="D266" s="1" t="str">
        <f>_xlfn.IFNA(_xlfn.XLOOKUP(Data[[#This Row],[unqid]],'Quipt Prod Data'!L:L,'Quipt Prod Data'!B:B),"")</f>
        <v/>
      </c>
      <c r="E266" s="1" t="str">
        <f>_xlfn.IFNA(_xlfn.XMATCH(Data[[#This Row],[unqid]],'Quipt Prod Data'!L:L,0),"")</f>
        <v/>
      </c>
      <c r="F266" s="1" t="str">
        <f>IF(COUNTIF('Quipt Prod Data'!L:L,Data[[#This Row],[unqid]])=0,"",COUNTIF('Quipt Prod Data'!L:L,Data[[#This Row],[unqid]]))</f>
        <v/>
      </c>
    </row>
    <row r="267" spans="1:6" x14ac:dyDescent="0.3">
      <c r="A267" t="s">
        <v>541</v>
      </c>
      <c r="B267" t="s">
        <v>26</v>
      </c>
      <c r="C267" t="s">
        <v>27</v>
      </c>
      <c r="D267" s="1" t="str">
        <f>_xlfn.IFNA(_xlfn.XLOOKUP(Data[[#This Row],[unqid]],'Quipt Prod Data'!L:L,'Quipt Prod Data'!B:B),"")</f>
        <v/>
      </c>
      <c r="E267" s="1" t="str">
        <f>_xlfn.IFNA(_xlfn.XMATCH(Data[[#This Row],[unqid]],'Quipt Prod Data'!L:L,0),"")</f>
        <v/>
      </c>
      <c r="F267" s="1" t="str">
        <f>IF(COUNTIF('Quipt Prod Data'!L:L,Data[[#This Row],[unqid]])=0,"",COUNTIF('Quipt Prod Data'!L:L,Data[[#This Row],[unqid]]))</f>
        <v/>
      </c>
    </row>
    <row r="268" spans="1:6" x14ac:dyDescent="0.3">
      <c r="A268" t="s">
        <v>542</v>
      </c>
      <c r="B268" t="s">
        <v>26</v>
      </c>
      <c r="C268" t="s">
        <v>27</v>
      </c>
      <c r="D268" s="1" t="str">
        <f>_xlfn.IFNA(_xlfn.XLOOKUP(Data[[#This Row],[unqid]],'Quipt Prod Data'!L:L,'Quipt Prod Data'!B:B),"")</f>
        <v/>
      </c>
      <c r="E268" s="1" t="str">
        <f>_xlfn.IFNA(_xlfn.XMATCH(Data[[#This Row],[unqid]],'Quipt Prod Data'!L:L,0),"")</f>
        <v/>
      </c>
      <c r="F268" s="1" t="str">
        <f>IF(COUNTIF('Quipt Prod Data'!L:L,Data[[#This Row],[unqid]])=0,"",COUNTIF('Quipt Prod Data'!L:L,Data[[#This Row],[unqid]]))</f>
        <v/>
      </c>
    </row>
    <row r="269" spans="1:6" x14ac:dyDescent="0.3">
      <c r="A269" t="s">
        <v>543</v>
      </c>
      <c r="B269" t="s">
        <v>26</v>
      </c>
      <c r="C269" t="s">
        <v>27</v>
      </c>
      <c r="D269" s="1" t="str">
        <f>_xlfn.IFNA(_xlfn.XLOOKUP(Data[[#This Row],[unqid]],'Quipt Prod Data'!L:L,'Quipt Prod Data'!B:B),"")</f>
        <v/>
      </c>
      <c r="E269" s="1" t="str">
        <f>_xlfn.IFNA(_xlfn.XMATCH(Data[[#This Row],[unqid]],'Quipt Prod Data'!L:L,0),"")</f>
        <v/>
      </c>
      <c r="F269" s="1" t="str">
        <f>IF(COUNTIF('Quipt Prod Data'!L:L,Data[[#This Row],[unqid]])=0,"",COUNTIF('Quipt Prod Data'!L:L,Data[[#This Row],[unqid]]))</f>
        <v/>
      </c>
    </row>
    <row r="270" spans="1:6" x14ac:dyDescent="0.3">
      <c r="A270" t="s">
        <v>544</v>
      </c>
      <c r="B270" t="s">
        <v>26</v>
      </c>
      <c r="C270" t="s">
        <v>27</v>
      </c>
      <c r="D270" s="1" t="str">
        <f>_xlfn.IFNA(_xlfn.XLOOKUP(Data[[#This Row],[unqid]],'Quipt Prod Data'!L:L,'Quipt Prod Data'!B:B),"")</f>
        <v/>
      </c>
      <c r="E270" s="1" t="str">
        <f>_xlfn.IFNA(_xlfn.XMATCH(Data[[#This Row],[unqid]],'Quipt Prod Data'!L:L,0),"")</f>
        <v/>
      </c>
      <c r="F270" s="1" t="str">
        <f>IF(COUNTIF('Quipt Prod Data'!L:L,Data[[#This Row],[unqid]])=0,"",COUNTIF('Quipt Prod Data'!L:L,Data[[#This Row],[unqid]]))</f>
        <v/>
      </c>
    </row>
    <row r="271" spans="1:6" x14ac:dyDescent="0.3">
      <c r="A271" t="s">
        <v>545</v>
      </c>
      <c r="B271" t="s">
        <v>26</v>
      </c>
      <c r="C271" t="s">
        <v>27</v>
      </c>
      <c r="D271" s="1" t="str">
        <f>_xlfn.IFNA(_xlfn.XLOOKUP(Data[[#This Row],[unqid]],'Quipt Prod Data'!L:L,'Quipt Prod Data'!B:B),"")</f>
        <v/>
      </c>
      <c r="E271" s="1" t="str">
        <f>_xlfn.IFNA(_xlfn.XMATCH(Data[[#This Row],[unqid]],'Quipt Prod Data'!L:L,0),"")</f>
        <v/>
      </c>
      <c r="F271" s="1" t="str">
        <f>IF(COUNTIF('Quipt Prod Data'!L:L,Data[[#This Row],[unqid]])=0,"",COUNTIF('Quipt Prod Data'!L:L,Data[[#This Row],[unqid]]))</f>
        <v/>
      </c>
    </row>
    <row r="272" spans="1:6" x14ac:dyDescent="0.3">
      <c r="A272" t="s">
        <v>546</v>
      </c>
      <c r="B272" t="s">
        <v>32</v>
      </c>
      <c r="C272" t="s">
        <v>27</v>
      </c>
      <c r="D272" s="1" t="str">
        <f>_xlfn.IFNA(_xlfn.XLOOKUP(Data[[#This Row],[unqid]],'Quipt Prod Data'!L:L,'Quipt Prod Data'!B:B),"")</f>
        <v/>
      </c>
      <c r="E272" s="1" t="str">
        <f>_xlfn.IFNA(_xlfn.XMATCH(Data[[#This Row],[unqid]],'Quipt Prod Data'!L:L,0),"")</f>
        <v/>
      </c>
      <c r="F272" s="1" t="str">
        <f>IF(COUNTIF('Quipt Prod Data'!L:L,Data[[#This Row],[unqid]])=0,"",COUNTIF('Quipt Prod Data'!L:L,Data[[#This Row],[unqid]]))</f>
        <v/>
      </c>
    </row>
    <row r="273" spans="1:6" x14ac:dyDescent="0.3">
      <c r="A273" t="s">
        <v>276</v>
      </c>
      <c r="B273" t="s">
        <v>34</v>
      </c>
      <c r="C273" t="s">
        <v>27</v>
      </c>
      <c r="D273" s="1" t="str">
        <f>_xlfn.IFNA(_xlfn.XLOOKUP(Data[[#This Row],[unqid]],'Quipt Prod Data'!L:L,'Quipt Prod Data'!B:B),"")</f>
        <v>Portal Quipt-PTCall</v>
      </c>
      <c r="E273" s="1">
        <f>_xlfn.IFNA(_xlfn.XMATCH(Data[[#This Row],[unqid]],'Quipt Prod Data'!L:L,0),"")</f>
        <v>106</v>
      </c>
      <c r="F273" s="1">
        <f>IF(COUNTIF('Quipt Prod Data'!L:L,Data[[#This Row],[unqid]])=0,"",COUNTIF('Quipt Prod Data'!L:L,Data[[#This Row],[unqid]]))</f>
        <v>1</v>
      </c>
    </row>
    <row r="274" spans="1:6" x14ac:dyDescent="0.3">
      <c r="A274" t="s">
        <v>547</v>
      </c>
      <c r="B274" t="s">
        <v>26</v>
      </c>
      <c r="C274" t="s">
        <v>27</v>
      </c>
      <c r="D274" s="1" t="str">
        <f>_xlfn.IFNA(_xlfn.XLOOKUP(Data[[#This Row],[unqid]],'Quipt Prod Data'!L:L,'Quipt Prod Data'!B:B),"")</f>
        <v/>
      </c>
      <c r="E274" s="1" t="str">
        <f>_xlfn.IFNA(_xlfn.XMATCH(Data[[#This Row],[unqid]],'Quipt Prod Data'!L:L,0),"")</f>
        <v/>
      </c>
      <c r="F274" s="1" t="str">
        <f>IF(COUNTIF('Quipt Prod Data'!L:L,Data[[#This Row],[unqid]])=0,"",COUNTIF('Quipt Prod Data'!L:L,Data[[#This Row],[unqid]]))</f>
        <v/>
      </c>
    </row>
    <row r="275" spans="1:6" x14ac:dyDescent="0.3">
      <c r="A275" t="s">
        <v>548</v>
      </c>
      <c r="B275" t="s">
        <v>32</v>
      </c>
      <c r="C275" t="s">
        <v>27</v>
      </c>
      <c r="D275" s="1" t="str">
        <f>_xlfn.IFNA(_xlfn.XLOOKUP(Data[[#This Row],[unqid]],'Quipt Prod Data'!L:L,'Quipt Prod Data'!B:B),"")</f>
        <v/>
      </c>
      <c r="E275" s="1" t="str">
        <f>_xlfn.IFNA(_xlfn.XMATCH(Data[[#This Row],[unqid]],'Quipt Prod Data'!L:L,0),"")</f>
        <v/>
      </c>
      <c r="F275" s="1" t="str">
        <f>IF(COUNTIF('Quipt Prod Data'!L:L,Data[[#This Row],[unqid]])=0,"",COUNTIF('Quipt Prod Data'!L:L,Data[[#This Row],[unqid]]))</f>
        <v/>
      </c>
    </row>
    <row r="276" spans="1:6" x14ac:dyDescent="0.3">
      <c r="A276" t="s">
        <v>549</v>
      </c>
      <c r="B276" t="s">
        <v>26</v>
      </c>
      <c r="C276" t="s">
        <v>27</v>
      </c>
      <c r="D276" s="1" t="str">
        <f>_xlfn.IFNA(_xlfn.XLOOKUP(Data[[#This Row],[unqid]],'Quipt Prod Data'!L:L,'Quipt Prod Data'!B:B),"")</f>
        <v/>
      </c>
      <c r="E276" s="1" t="str">
        <f>_xlfn.IFNA(_xlfn.XMATCH(Data[[#This Row],[unqid]],'Quipt Prod Data'!L:L,0),"")</f>
        <v/>
      </c>
      <c r="F276" s="1" t="str">
        <f>IF(COUNTIF('Quipt Prod Data'!L:L,Data[[#This Row],[unqid]])=0,"",COUNTIF('Quipt Prod Data'!L:L,Data[[#This Row],[unqid]]))</f>
        <v/>
      </c>
    </row>
    <row r="277" spans="1:6" x14ac:dyDescent="0.3">
      <c r="A277" t="s">
        <v>550</v>
      </c>
      <c r="B277" t="s">
        <v>26</v>
      </c>
      <c r="C277" t="s">
        <v>27</v>
      </c>
      <c r="D277" s="1" t="str">
        <f>_xlfn.IFNA(_xlfn.XLOOKUP(Data[[#This Row],[unqid]],'Quipt Prod Data'!L:L,'Quipt Prod Data'!B:B),"")</f>
        <v/>
      </c>
      <c r="E277" s="1" t="str">
        <f>_xlfn.IFNA(_xlfn.XMATCH(Data[[#This Row],[unqid]],'Quipt Prod Data'!L:L,0),"")</f>
        <v/>
      </c>
      <c r="F277" s="1" t="str">
        <f>IF(COUNTIF('Quipt Prod Data'!L:L,Data[[#This Row],[unqid]])=0,"",COUNTIF('Quipt Prod Data'!L:L,Data[[#This Row],[unqid]]))</f>
        <v/>
      </c>
    </row>
    <row r="278" spans="1:6" x14ac:dyDescent="0.3">
      <c r="A278" t="s">
        <v>551</v>
      </c>
      <c r="B278" t="s">
        <v>31</v>
      </c>
      <c r="C278" t="s">
        <v>27</v>
      </c>
      <c r="D278" s="1" t="str">
        <f>_xlfn.IFNA(_xlfn.XLOOKUP(Data[[#This Row],[unqid]],'Quipt Prod Data'!L:L,'Quipt Prod Data'!B:B),"")</f>
        <v/>
      </c>
      <c r="E278" s="1" t="str">
        <f>_xlfn.IFNA(_xlfn.XMATCH(Data[[#This Row],[unqid]],'Quipt Prod Data'!L:L,0),"")</f>
        <v/>
      </c>
      <c r="F278" s="1" t="str">
        <f>IF(COUNTIF('Quipt Prod Data'!L:L,Data[[#This Row],[unqid]])=0,"",COUNTIF('Quipt Prod Data'!L:L,Data[[#This Row],[unqid]]))</f>
        <v/>
      </c>
    </row>
    <row r="279" spans="1:6" x14ac:dyDescent="0.3">
      <c r="A279" t="s">
        <v>552</v>
      </c>
      <c r="B279" t="s">
        <v>26</v>
      </c>
      <c r="C279" t="s">
        <v>27</v>
      </c>
      <c r="D279" s="1" t="str">
        <f>_xlfn.IFNA(_xlfn.XLOOKUP(Data[[#This Row],[unqid]],'Quipt Prod Data'!L:L,'Quipt Prod Data'!B:B),"")</f>
        <v/>
      </c>
      <c r="E279" s="1" t="str">
        <f>_xlfn.IFNA(_xlfn.XMATCH(Data[[#This Row],[unqid]],'Quipt Prod Data'!L:L,0),"")</f>
        <v/>
      </c>
      <c r="F279" s="1" t="str">
        <f>IF(COUNTIF('Quipt Prod Data'!L:L,Data[[#This Row],[unqid]])=0,"",COUNTIF('Quipt Prod Data'!L:L,Data[[#This Row],[unqid]]))</f>
        <v/>
      </c>
    </row>
    <row r="280" spans="1:6" x14ac:dyDescent="0.3">
      <c r="A280" t="s">
        <v>553</v>
      </c>
      <c r="B280" t="s">
        <v>26</v>
      </c>
      <c r="C280" t="s">
        <v>27</v>
      </c>
      <c r="D280" s="1" t="str">
        <f>_xlfn.IFNA(_xlfn.XLOOKUP(Data[[#This Row],[unqid]],'Quipt Prod Data'!L:L,'Quipt Prod Data'!B:B),"")</f>
        <v/>
      </c>
      <c r="E280" s="1" t="str">
        <f>_xlfn.IFNA(_xlfn.XMATCH(Data[[#This Row],[unqid]],'Quipt Prod Data'!L:L,0),"")</f>
        <v/>
      </c>
      <c r="F280" s="1" t="str">
        <f>IF(COUNTIF('Quipt Prod Data'!L:L,Data[[#This Row],[unqid]])=0,"",COUNTIF('Quipt Prod Data'!L:L,Data[[#This Row],[unqid]]))</f>
        <v/>
      </c>
    </row>
    <row r="281" spans="1:6" x14ac:dyDescent="0.3">
      <c r="A281" t="s">
        <v>554</v>
      </c>
      <c r="B281" t="s">
        <v>32</v>
      </c>
      <c r="C281" t="s">
        <v>27</v>
      </c>
      <c r="D281" s="1" t="str">
        <f>_xlfn.IFNA(_xlfn.XLOOKUP(Data[[#This Row],[unqid]],'Quipt Prod Data'!L:L,'Quipt Prod Data'!B:B),"")</f>
        <v/>
      </c>
      <c r="E281" s="1" t="str">
        <f>_xlfn.IFNA(_xlfn.XMATCH(Data[[#This Row],[unqid]],'Quipt Prod Data'!L:L,0),"")</f>
        <v/>
      </c>
      <c r="F281" s="1" t="str">
        <f>IF(COUNTIF('Quipt Prod Data'!L:L,Data[[#This Row],[unqid]])=0,"",COUNTIF('Quipt Prod Data'!L:L,Data[[#This Row],[unqid]]))</f>
        <v/>
      </c>
    </row>
    <row r="282" spans="1:6" x14ac:dyDescent="0.3">
      <c r="A282" t="s">
        <v>555</v>
      </c>
      <c r="B282" t="s">
        <v>32</v>
      </c>
      <c r="C282" t="s">
        <v>27</v>
      </c>
      <c r="D282" s="1" t="str">
        <f>_xlfn.IFNA(_xlfn.XLOOKUP(Data[[#This Row],[unqid]],'Quipt Prod Data'!L:L,'Quipt Prod Data'!B:B),"")</f>
        <v/>
      </c>
      <c r="E282" s="1" t="str">
        <f>_xlfn.IFNA(_xlfn.XMATCH(Data[[#This Row],[unqid]],'Quipt Prod Data'!L:L,0),"")</f>
        <v/>
      </c>
      <c r="F282" s="1" t="str">
        <f>IF(COUNTIF('Quipt Prod Data'!L:L,Data[[#This Row],[unqid]])=0,"",COUNTIF('Quipt Prod Data'!L:L,Data[[#This Row],[unqid]]))</f>
        <v/>
      </c>
    </row>
    <row r="283" spans="1:6" x14ac:dyDescent="0.3">
      <c r="A283" t="s">
        <v>556</v>
      </c>
      <c r="B283" t="s">
        <v>26</v>
      </c>
      <c r="C283" t="s">
        <v>27</v>
      </c>
      <c r="D283" s="1" t="str">
        <f>_xlfn.IFNA(_xlfn.XLOOKUP(Data[[#This Row],[unqid]],'Quipt Prod Data'!L:L,'Quipt Prod Data'!B:B),"")</f>
        <v/>
      </c>
      <c r="E283" s="1" t="str">
        <f>_xlfn.IFNA(_xlfn.XMATCH(Data[[#This Row],[unqid]],'Quipt Prod Data'!L:L,0),"")</f>
        <v/>
      </c>
      <c r="F283" s="1" t="str">
        <f>IF(COUNTIF('Quipt Prod Data'!L:L,Data[[#This Row],[unqid]])=0,"",COUNTIF('Quipt Prod Data'!L:L,Data[[#This Row],[unqid]]))</f>
        <v/>
      </c>
    </row>
    <row r="284" spans="1:6" x14ac:dyDescent="0.3">
      <c r="A284" t="s">
        <v>557</v>
      </c>
      <c r="B284" t="s">
        <v>32</v>
      </c>
      <c r="C284" t="s">
        <v>27</v>
      </c>
      <c r="D284" s="1" t="str">
        <f>_xlfn.IFNA(_xlfn.XLOOKUP(Data[[#This Row],[unqid]],'Quipt Prod Data'!L:L,'Quipt Prod Data'!B:B),"")</f>
        <v/>
      </c>
      <c r="E284" s="1" t="str">
        <f>_xlfn.IFNA(_xlfn.XMATCH(Data[[#This Row],[unqid]],'Quipt Prod Data'!L:L,0),"")</f>
        <v/>
      </c>
      <c r="F284" s="1" t="str">
        <f>IF(COUNTIF('Quipt Prod Data'!L:L,Data[[#This Row],[unqid]])=0,"",COUNTIF('Quipt Prod Data'!L:L,Data[[#This Row],[unqid]]))</f>
        <v/>
      </c>
    </row>
    <row r="285" spans="1:6" x14ac:dyDescent="0.3">
      <c r="A285" t="s">
        <v>558</v>
      </c>
      <c r="B285" t="s">
        <v>26</v>
      </c>
      <c r="C285" t="s">
        <v>27</v>
      </c>
      <c r="D285" s="1" t="str">
        <f>_xlfn.IFNA(_xlfn.XLOOKUP(Data[[#This Row],[unqid]],'Quipt Prod Data'!L:L,'Quipt Prod Data'!B:B),"")</f>
        <v/>
      </c>
      <c r="E285" s="1" t="str">
        <f>_xlfn.IFNA(_xlfn.XMATCH(Data[[#This Row],[unqid]],'Quipt Prod Data'!L:L,0),"")</f>
        <v/>
      </c>
      <c r="F285" s="1" t="str">
        <f>IF(COUNTIF('Quipt Prod Data'!L:L,Data[[#This Row],[unqid]])=0,"",COUNTIF('Quipt Prod Data'!L:L,Data[[#This Row],[unqid]]))</f>
        <v/>
      </c>
    </row>
    <row r="286" spans="1:6" x14ac:dyDescent="0.3">
      <c r="A286" t="s">
        <v>559</v>
      </c>
      <c r="B286" t="s">
        <v>26</v>
      </c>
      <c r="C286" t="s">
        <v>27</v>
      </c>
      <c r="D286" s="1" t="str">
        <f>_xlfn.IFNA(_xlfn.XLOOKUP(Data[[#This Row],[unqid]],'Quipt Prod Data'!L:L,'Quipt Prod Data'!B:B),"")</f>
        <v/>
      </c>
      <c r="E286" s="1" t="str">
        <f>_xlfn.IFNA(_xlfn.XMATCH(Data[[#This Row],[unqid]],'Quipt Prod Data'!L:L,0),"")</f>
        <v/>
      </c>
      <c r="F286" s="1" t="str">
        <f>IF(COUNTIF('Quipt Prod Data'!L:L,Data[[#This Row],[unqid]])=0,"",COUNTIF('Quipt Prod Data'!L:L,Data[[#This Row],[unqid]]))</f>
        <v/>
      </c>
    </row>
    <row r="287" spans="1:6" x14ac:dyDescent="0.3">
      <c r="A287" t="s">
        <v>560</v>
      </c>
      <c r="B287" t="s">
        <v>26</v>
      </c>
      <c r="C287" t="s">
        <v>27</v>
      </c>
      <c r="D287" s="1" t="str">
        <f>_xlfn.IFNA(_xlfn.XLOOKUP(Data[[#This Row],[unqid]],'Quipt Prod Data'!L:L,'Quipt Prod Data'!B:B),"")</f>
        <v/>
      </c>
      <c r="E287" s="1" t="str">
        <f>_xlfn.IFNA(_xlfn.XMATCH(Data[[#This Row],[unqid]],'Quipt Prod Data'!L:L,0),"")</f>
        <v/>
      </c>
      <c r="F287" s="1" t="str">
        <f>IF(COUNTIF('Quipt Prod Data'!L:L,Data[[#This Row],[unqid]])=0,"",COUNTIF('Quipt Prod Data'!L:L,Data[[#This Row],[unqid]]))</f>
        <v/>
      </c>
    </row>
    <row r="288" spans="1:6" x14ac:dyDescent="0.3">
      <c r="A288" t="s">
        <v>561</v>
      </c>
      <c r="B288" t="s">
        <v>26</v>
      </c>
      <c r="C288" t="s">
        <v>27</v>
      </c>
      <c r="D288" s="1" t="str">
        <f>_xlfn.IFNA(_xlfn.XLOOKUP(Data[[#This Row],[unqid]],'Quipt Prod Data'!L:L,'Quipt Prod Data'!B:B),"")</f>
        <v/>
      </c>
      <c r="E288" s="1" t="str">
        <f>_xlfn.IFNA(_xlfn.XMATCH(Data[[#This Row],[unqid]],'Quipt Prod Data'!L:L,0),"")</f>
        <v/>
      </c>
      <c r="F288" s="1" t="str">
        <f>IF(COUNTIF('Quipt Prod Data'!L:L,Data[[#This Row],[unqid]])=0,"",COUNTIF('Quipt Prod Data'!L:L,Data[[#This Row],[unqid]]))</f>
        <v/>
      </c>
    </row>
    <row r="289" spans="1:6" x14ac:dyDescent="0.3">
      <c r="A289" t="s">
        <v>562</v>
      </c>
      <c r="B289" t="s">
        <v>32</v>
      </c>
      <c r="C289" t="s">
        <v>27</v>
      </c>
      <c r="D289" s="1" t="str">
        <f>_xlfn.IFNA(_xlfn.XLOOKUP(Data[[#This Row],[unqid]],'Quipt Prod Data'!L:L,'Quipt Prod Data'!B:B),"")</f>
        <v/>
      </c>
      <c r="E289" s="1" t="str">
        <f>_xlfn.IFNA(_xlfn.XMATCH(Data[[#This Row],[unqid]],'Quipt Prod Data'!L:L,0),"")</f>
        <v/>
      </c>
      <c r="F289" s="1" t="str">
        <f>IF(COUNTIF('Quipt Prod Data'!L:L,Data[[#This Row],[unqid]])=0,"",COUNTIF('Quipt Prod Data'!L:L,Data[[#This Row],[unqid]]))</f>
        <v/>
      </c>
    </row>
    <row r="290" spans="1:6" x14ac:dyDescent="0.3">
      <c r="A290" t="s">
        <v>284</v>
      </c>
      <c r="B290" t="s">
        <v>26</v>
      </c>
      <c r="C290" t="s">
        <v>27</v>
      </c>
      <c r="D290" s="1" t="str">
        <f>_xlfn.IFNA(_xlfn.XLOOKUP(Data[[#This Row],[unqid]],'Quipt Prod Data'!L:L,'Quipt Prod Data'!B:B),"")</f>
        <v>Portal Quipt-PTCall</v>
      </c>
      <c r="E290" s="1">
        <f>_xlfn.IFNA(_xlfn.XMATCH(Data[[#This Row],[unqid]],'Quipt Prod Data'!L:L,0),"")</f>
        <v>115</v>
      </c>
      <c r="F290" s="1">
        <f>IF(COUNTIF('Quipt Prod Data'!L:L,Data[[#This Row],[unqid]])=0,"",COUNTIF('Quipt Prod Data'!L:L,Data[[#This Row],[unqid]]))</f>
        <v>1</v>
      </c>
    </row>
    <row r="291" spans="1:6" x14ac:dyDescent="0.3">
      <c r="A291" t="s">
        <v>563</v>
      </c>
      <c r="B291" t="s">
        <v>32</v>
      </c>
      <c r="C291" t="s">
        <v>27</v>
      </c>
      <c r="D291" s="1" t="str">
        <f>_xlfn.IFNA(_xlfn.XLOOKUP(Data[[#This Row],[unqid]],'Quipt Prod Data'!L:L,'Quipt Prod Data'!B:B),"")</f>
        <v/>
      </c>
      <c r="E291" s="1" t="str">
        <f>_xlfn.IFNA(_xlfn.XMATCH(Data[[#This Row],[unqid]],'Quipt Prod Data'!L:L,0),"")</f>
        <v/>
      </c>
      <c r="F291" s="1" t="str">
        <f>IF(COUNTIF('Quipt Prod Data'!L:L,Data[[#This Row],[unqid]])=0,"",COUNTIF('Quipt Prod Data'!L:L,Data[[#This Row],[unqid]]))</f>
        <v/>
      </c>
    </row>
    <row r="292" spans="1:6" x14ac:dyDescent="0.3">
      <c r="A292" t="s">
        <v>564</v>
      </c>
      <c r="B292" t="s">
        <v>26</v>
      </c>
      <c r="C292" t="s">
        <v>27</v>
      </c>
      <c r="D292" s="1" t="str">
        <f>_xlfn.IFNA(_xlfn.XLOOKUP(Data[[#This Row],[unqid]],'Quipt Prod Data'!L:L,'Quipt Prod Data'!B:B),"")</f>
        <v/>
      </c>
      <c r="E292" s="1" t="str">
        <f>_xlfn.IFNA(_xlfn.XMATCH(Data[[#This Row],[unqid]],'Quipt Prod Data'!L:L,0),"")</f>
        <v/>
      </c>
      <c r="F292" s="1" t="str">
        <f>IF(COUNTIF('Quipt Prod Data'!L:L,Data[[#This Row],[unqid]])=0,"",COUNTIF('Quipt Prod Data'!L:L,Data[[#This Row],[unqid]]))</f>
        <v/>
      </c>
    </row>
    <row r="293" spans="1:6" x14ac:dyDescent="0.3">
      <c r="A293" t="s">
        <v>565</v>
      </c>
      <c r="B293" t="s">
        <v>26</v>
      </c>
      <c r="C293" t="s">
        <v>27</v>
      </c>
      <c r="D293" s="1" t="str">
        <f>_xlfn.IFNA(_xlfn.XLOOKUP(Data[[#This Row],[unqid]],'Quipt Prod Data'!L:L,'Quipt Prod Data'!B:B),"")</f>
        <v/>
      </c>
      <c r="E293" s="1" t="str">
        <f>_xlfn.IFNA(_xlfn.XMATCH(Data[[#This Row],[unqid]],'Quipt Prod Data'!L:L,0),"")</f>
        <v/>
      </c>
      <c r="F293" s="1" t="str">
        <f>IF(COUNTIF('Quipt Prod Data'!L:L,Data[[#This Row],[unqid]])=0,"",COUNTIF('Quipt Prod Data'!L:L,Data[[#This Row],[unqid]]))</f>
        <v/>
      </c>
    </row>
    <row r="294" spans="1:6" x14ac:dyDescent="0.3">
      <c r="A294" t="s">
        <v>566</v>
      </c>
      <c r="B294" t="s">
        <v>26</v>
      </c>
      <c r="C294" t="s">
        <v>27</v>
      </c>
      <c r="D294" s="1" t="str">
        <f>_xlfn.IFNA(_xlfn.XLOOKUP(Data[[#This Row],[unqid]],'Quipt Prod Data'!L:L,'Quipt Prod Data'!B:B),"")</f>
        <v/>
      </c>
      <c r="E294" s="1" t="str">
        <f>_xlfn.IFNA(_xlfn.XMATCH(Data[[#This Row],[unqid]],'Quipt Prod Data'!L:L,0),"")</f>
        <v/>
      </c>
      <c r="F294" s="1" t="str">
        <f>IF(COUNTIF('Quipt Prod Data'!L:L,Data[[#This Row],[unqid]])=0,"",COUNTIF('Quipt Prod Data'!L:L,Data[[#This Row],[unqid]]))</f>
        <v/>
      </c>
    </row>
    <row r="295" spans="1:6" x14ac:dyDescent="0.3">
      <c r="A295" t="s">
        <v>567</v>
      </c>
      <c r="B295" t="s">
        <v>32</v>
      </c>
      <c r="C295" t="s">
        <v>27</v>
      </c>
      <c r="D295" s="1" t="str">
        <f>_xlfn.IFNA(_xlfn.XLOOKUP(Data[[#This Row],[unqid]],'Quipt Prod Data'!L:L,'Quipt Prod Data'!B:B),"")</f>
        <v/>
      </c>
      <c r="E295" s="1" t="str">
        <f>_xlfn.IFNA(_xlfn.XMATCH(Data[[#This Row],[unqid]],'Quipt Prod Data'!L:L,0),"")</f>
        <v/>
      </c>
      <c r="F295" s="1" t="str">
        <f>IF(COUNTIF('Quipt Prod Data'!L:L,Data[[#This Row],[unqid]])=0,"",COUNTIF('Quipt Prod Data'!L:L,Data[[#This Row],[unqid]]))</f>
        <v/>
      </c>
    </row>
    <row r="296" spans="1:6" x14ac:dyDescent="0.3">
      <c r="A296" t="s">
        <v>568</v>
      </c>
      <c r="B296" t="s">
        <v>26</v>
      </c>
      <c r="C296" t="s">
        <v>27</v>
      </c>
      <c r="D296" s="1" t="str">
        <f>_xlfn.IFNA(_xlfn.XLOOKUP(Data[[#This Row],[unqid]],'Quipt Prod Data'!L:L,'Quipt Prod Data'!B:B),"")</f>
        <v/>
      </c>
      <c r="E296" s="1" t="str">
        <f>_xlfn.IFNA(_xlfn.XMATCH(Data[[#This Row],[unqid]],'Quipt Prod Data'!L:L,0),"")</f>
        <v/>
      </c>
      <c r="F296" s="1" t="str">
        <f>IF(COUNTIF('Quipt Prod Data'!L:L,Data[[#This Row],[unqid]])=0,"",COUNTIF('Quipt Prod Data'!L:L,Data[[#This Row],[unqid]]))</f>
        <v/>
      </c>
    </row>
    <row r="297" spans="1:6" x14ac:dyDescent="0.3">
      <c r="A297" t="s">
        <v>569</v>
      </c>
      <c r="B297" t="s">
        <v>26</v>
      </c>
      <c r="C297" t="s">
        <v>27</v>
      </c>
      <c r="D297" s="1" t="str">
        <f>_xlfn.IFNA(_xlfn.XLOOKUP(Data[[#This Row],[unqid]],'Quipt Prod Data'!L:L,'Quipt Prod Data'!B:B),"")</f>
        <v/>
      </c>
      <c r="E297" s="1" t="str">
        <f>_xlfn.IFNA(_xlfn.XMATCH(Data[[#This Row],[unqid]],'Quipt Prod Data'!L:L,0),"")</f>
        <v/>
      </c>
      <c r="F297" s="1" t="str">
        <f>IF(COUNTIF('Quipt Prod Data'!L:L,Data[[#This Row],[unqid]])=0,"",COUNTIF('Quipt Prod Data'!L:L,Data[[#This Row],[unqid]]))</f>
        <v/>
      </c>
    </row>
    <row r="298" spans="1:6" x14ac:dyDescent="0.3">
      <c r="A298" t="s">
        <v>570</v>
      </c>
      <c r="B298" t="s">
        <v>29</v>
      </c>
      <c r="C298" t="s">
        <v>27</v>
      </c>
      <c r="D298" s="1" t="str">
        <f>_xlfn.IFNA(_xlfn.XLOOKUP(Data[[#This Row],[unqid]],'Quipt Prod Data'!L:L,'Quipt Prod Data'!B:B),"")</f>
        <v/>
      </c>
      <c r="E298" s="1" t="str">
        <f>_xlfn.IFNA(_xlfn.XMATCH(Data[[#This Row],[unqid]],'Quipt Prod Data'!L:L,0),"")</f>
        <v/>
      </c>
      <c r="F298" s="1" t="str">
        <f>IF(COUNTIF('Quipt Prod Data'!L:L,Data[[#This Row],[unqid]])=0,"",COUNTIF('Quipt Prod Data'!L:L,Data[[#This Row],[unqid]]))</f>
        <v/>
      </c>
    </row>
    <row r="299" spans="1:6" x14ac:dyDescent="0.3">
      <c r="A299" t="s">
        <v>571</v>
      </c>
      <c r="B299" t="s">
        <v>32</v>
      </c>
      <c r="C299" t="s">
        <v>27</v>
      </c>
      <c r="D299" s="1" t="str">
        <f>_xlfn.IFNA(_xlfn.XLOOKUP(Data[[#This Row],[unqid]],'Quipt Prod Data'!L:L,'Quipt Prod Data'!B:B),"")</f>
        <v/>
      </c>
      <c r="E299" s="1" t="str">
        <f>_xlfn.IFNA(_xlfn.XMATCH(Data[[#This Row],[unqid]],'Quipt Prod Data'!L:L,0),"")</f>
        <v/>
      </c>
      <c r="F299" s="1" t="str">
        <f>IF(COUNTIF('Quipt Prod Data'!L:L,Data[[#This Row],[unqid]])=0,"",COUNTIF('Quipt Prod Data'!L:L,Data[[#This Row],[unqid]]))</f>
        <v/>
      </c>
    </row>
    <row r="300" spans="1:6" x14ac:dyDescent="0.3">
      <c r="A300" t="s">
        <v>572</v>
      </c>
      <c r="B300" t="s">
        <v>26</v>
      </c>
      <c r="C300" t="s">
        <v>27</v>
      </c>
      <c r="D300" s="1" t="str">
        <f>_xlfn.IFNA(_xlfn.XLOOKUP(Data[[#This Row],[unqid]],'Quipt Prod Data'!L:L,'Quipt Prod Data'!B:B),"")</f>
        <v/>
      </c>
      <c r="E300" s="1" t="str">
        <f>_xlfn.IFNA(_xlfn.XMATCH(Data[[#This Row],[unqid]],'Quipt Prod Data'!L:L,0),"")</f>
        <v/>
      </c>
      <c r="F300" s="1" t="str">
        <f>IF(COUNTIF('Quipt Prod Data'!L:L,Data[[#This Row],[unqid]])=0,"",COUNTIF('Quipt Prod Data'!L:L,Data[[#This Row],[unqid]]))</f>
        <v/>
      </c>
    </row>
    <row r="301" spans="1:6" x14ac:dyDescent="0.3">
      <c r="A301" t="s">
        <v>573</v>
      </c>
      <c r="B301" t="s">
        <v>26</v>
      </c>
      <c r="C301" t="s">
        <v>27</v>
      </c>
      <c r="D301" s="1" t="str">
        <f>_xlfn.IFNA(_xlfn.XLOOKUP(Data[[#This Row],[unqid]],'Quipt Prod Data'!L:L,'Quipt Prod Data'!B:B),"")</f>
        <v/>
      </c>
      <c r="E301" s="1" t="str">
        <f>_xlfn.IFNA(_xlfn.XMATCH(Data[[#This Row],[unqid]],'Quipt Prod Data'!L:L,0),"")</f>
        <v/>
      </c>
      <c r="F301" s="1" t="str">
        <f>IF(COUNTIF('Quipt Prod Data'!L:L,Data[[#This Row],[unqid]])=0,"",COUNTIF('Quipt Prod Data'!L:L,Data[[#This Row],[unqid]]))</f>
        <v/>
      </c>
    </row>
    <row r="302" spans="1:6" x14ac:dyDescent="0.3">
      <c r="A302" t="s">
        <v>574</v>
      </c>
      <c r="B302" t="s">
        <v>26</v>
      </c>
      <c r="C302" t="s">
        <v>27</v>
      </c>
      <c r="D302" s="1" t="str">
        <f>_xlfn.IFNA(_xlfn.XLOOKUP(Data[[#This Row],[unqid]],'Quipt Prod Data'!L:L,'Quipt Prod Data'!B:B),"")</f>
        <v/>
      </c>
      <c r="E302" s="1" t="str">
        <f>_xlfn.IFNA(_xlfn.XMATCH(Data[[#This Row],[unqid]],'Quipt Prod Data'!L:L,0),"")</f>
        <v/>
      </c>
      <c r="F302" s="1" t="str">
        <f>IF(COUNTIF('Quipt Prod Data'!L:L,Data[[#This Row],[unqid]])=0,"",COUNTIF('Quipt Prod Data'!L:L,Data[[#This Row],[unqid]]))</f>
        <v/>
      </c>
    </row>
    <row r="303" spans="1:6" x14ac:dyDescent="0.3">
      <c r="A303" t="s">
        <v>575</v>
      </c>
      <c r="B303" t="s">
        <v>26</v>
      </c>
      <c r="C303" t="s">
        <v>27</v>
      </c>
      <c r="D303" s="1" t="str">
        <f>_xlfn.IFNA(_xlfn.XLOOKUP(Data[[#This Row],[unqid]],'Quipt Prod Data'!L:L,'Quipt Prod Data'!B:B),"")</f>
        <v/>
      </c>
      <c r="E303" s="1" t="str">
        <f>_xlfn.IFNA(_xlfn.XMATCH(Data[[#This Row],[unqid]],'Quipt Prod Data'!L:L,0),"")</f>
        <v/>
      </c>
      <c r="F303" s="1" t="str">
        <f>IF(COUNTIF('Quipt Prod Data'!L:L,Data[[#This Row],[unqid]])=0,"",COUNTIF('Quipt Prod Data'!L:L,Data[[#This Row],[unqid]]))</f>
        <v/>
      </c>
    </row>
    <row r="304" spans="1:6" x14ac:dyDescent="0.3">
      <c r="A304" t="s">
        <v>269</v>
      </c>
      <c r="B304" t="s">
        <v>26</v>
      </c>
      <c r="C304" t="s">
        <v>27</v>
      </c>
      <c r="D304" s="1" t="str">
        <f>_xlfn.IFNA(_xlfn.XLOOKUP(Data[[#This Row],[unqid]],'Quipt Prod Data'!L:L,'Quipt Prod Data'!B:B),"")</f>
        <v>Portal Quipt-Edocument</v>
      </c>
      <c r="E304" s="1">
        <f>_xlfn.IFNA(_xlfn.XMATCH(Data[[#This Row],[unqid]],'Quipt Prod Data'!L:L,0),"")</f>
        <v>70</v>
      </c>
      <c r="F304" s="1">
        <f>IF(COUNTIF('Quipt Prod Data'!L:L,Data[[#This Row],[unqid]])=0,"",COUNTIF('Quipt Prod Data'!L:L,Data[[#This Row],[unqid]]))</f>
        <v>1</v>
      </c>
    </row>
    <row r="305" spans="1:6" x14ac:dyDescent="0.3">
      <c r="A305" t="s">
        <v>576</v>
      </c>
      <c r="B305" t="s">
        <v>32</v>
      </c>
      <c r="C305" t="s">
        <v>27</v>
      </c>
      <c r="D305" s="1" t="str">
        <f>_xlfn.IFNA(_xlfn.XLOOKUP(Data[[#This Row],[unqid]],'Quipt Prod Data'!L:L,'Quipt Prod Data'!B:B),"")</f>
        <v/>
      </c>
      <c r="E305" s="1" t="str">
        <f>_xlfn.IFNA(_xlfn.XMATCH(Data[[#This Row],[unqid]],'Quipt Prod Data'!L:L,0),"")</f>
        <v/>
      </c>
      <c r="F305" s="1" t="str">
        <f>IF(COUNTIF('Quipt Prod Data'!L:L,Data[[#This Row],[unqid]])=0,"",COUNTIF('Quipt Prod Data'!L:L,Data[[#This Row],[unqid]]))</f>
        <v/>
      </c>
    </row>
    <row r="306" spans="1:6" x14ac:dyDescent="0.3">
      <c r="A306" t="s">
        <v>577</v>
      </c>
      <c r="B306" t="s">
        <v>32</v>
      </c>
      <c r="C306" t="s">
        <v>27</v>
      </c>
      <c r="D306" s="1" t="str">
        <f>_xlfn.IFNA(_xlfn.XLOOKUP(Data[[#This Row],[unqid]],'Quipt Prod Data'!L:L,'Quipt Prod Data'!B:B),"")</f>
        <v/>
      </c>
      <c r="E306" s="1" t="str">
        <f>_xlfn.IFNA(_xlfn.XMATCH(Data[[#This Row],[unqid]],'Quipt Prod Data'!L:L,0),"")</f>
        <v/>
      </c>
      <c r="F306" s="1" t="str">
        <f>IF(COUNTIF('Quipt Prod Data'!L:L,Data[[#This Row],[unqid]])=0,"",COUNTIF('Quipt Prod Data'!L:L,Data[[#This Row],[unqid]]))</f>
        <v/>
      </c>
    </row>
    <row r="307" spans="1:6" x14ac:dyDescent="0.3">
      <c r="A307" t="s">
        <v>578</v>
      </c>
      <c r="B307" t="s">
        <v>26</v>
      </c>
      <c r="C307" t="s">
        <v>27</v>
      </c>
      <c r="D307" s="1" t="str">
        <f>_xlfn.IFNA(_xlfn.XLOOKUP(Data[[#This Row],[unqid]],'Quipt Prod Data'!L:L,'Quipt Prod Data'!B:B),"")</f>
        <v/>
      </c>
      <c r="E307" s="1" t="str">
        <f>_xlfn.IFNA(_xlfn.XMATCH(Data[[#This Row],[unqid]],'Quipt Prod Data'!L:L,0),"")</f>
        <v/>
      </c>
      <c r="F307" s="1" t="str">
        <f>IF(COUNTIF('Quipt Prod Data'!L:L,Data[[#This Row],[unqid]])=0,"",COUNTIF('Quipt Prod Data'!L:L,Data[[#This Row],[unqid]]))</f>
        <v/>
      </c>
    </row>
    <row r="308" spans="1:6" x14ac:dyDescent="0.3">
      <c r="A308" t="s">
        <v>579</v>
      </c>
      <c r="B308" t="s">
        <v>26</v>
      </c>
      <c r="C308" t="s">
        <v>27</v>
      </c>
      <c r="D308" s="1" t="str">
        <f>_xlfn.IFNA(_xlfn.XLOOKUP(Data[[#This Row],[unqid]],'Quipt Prod Data'!L:L,'Quipt Prod Data'!B:B),"")</f>
        <v/>
      </c>
      <c r="E308" s="1" t="str">
        <f>_xlfn.IFNA(_xlfn.XMATCH(Data[[#This Row],[unqid]],'Quipt Prod Data'!L:L,0),"")</f>
        <v/>
      </c>
      <c r="F308" s="1" t="str">
        <f>IF(COUNTIF('Quipt Prod Data'!L:L,Data[[#This Row],[unqid]])=0,"",COUNTIF('Quipt Prod Data'!L:L,Data[[#This Row],[unqid]]))</f>
        <v/>
      </c>
    </row>
    <row r="309" spans="1:6" x14ac:dyDescent="0.3">
      <c r="A309" t="s">
        <v>268</v>
      </c>
      <c r="B309" t="s">
        <v>26</v>
      </c>
      <c r="C309" t="s">
        <v>27</v>
      </c>
      <c r="D309" s="1" t="str">
        <f>_xlfn.IFNA(_xlfn.XLOOKUP(Data[[#This Row],[unqid]],'Quipt Prod Data'!L:L,'Quipt Prod Data'!B:B),"")</f>
        <v>Portal Quipt-Edocument</v>
      </c>
      <c r="E309" s="1">
        <f>_xlfn.IFNA(_xlfn.XMATCH(Data[[#This Row],[unqid]],'Quipt Prod Data'!L:L,0),"")</f>
        <v>69</v>
      </c>
      <c r="F309" s="1">
        <f>IF(COUNTIF('Quipt Prod Data'!L:L,Data[[#This Row],[unqid]])=0,"",COUNTIF('Quipt Prod Data'!L:L,Data[[#This Row],[unqid]]))</f>
        <v>1</v>
      </c>
    </row>
    <row r="310" spans="1:6" x14ac:dyDescent="0.3">
      <c r="A310" t="s">
        <v>580</v>
      </c>
      <c r="B310" t="s">
        <v>32</v>
      </c>
      <c r="C310" t="s">
        <v>27</v>
      </c>
      <c r="D310" s="1" t="str">
        <f>_xlfn.IFNA(_xlfn.XLOOKUP(Data[[#This Row],[unqid]],'Quipt Prod Data'!L:L,'Quipt Prod Data'!B:B),"")</f>
        <v/>
      </c>
      <c r="E310" s="1" t="str">
        <f>_xlfn.IFNA(_xlfn.XMATCH(Data[[#This Row],[unqid]],'Quipt Prod Data'!L:L,0),"")</f>
        <v/>
      </c>
      <c r="F310" s="1" t="str">
        <f>IF(COUNTIF('Quipt Prod Data'!L:L,Data[[#This Row],[unqid]])=0,"",COUNTIF('Quipt Prod Data'!L:L,Data[[#This Row],[unqid]]))</f>
        <v/>
      </c>
    </row>
    <row r="311" spans="1:6" x14ac:dyDescent="0.3">
      <c r="A311" t="s">
        <v>581</v>
      </c>
      <c r="B311" t="s">
        <v>28</v>
      </c>
      <c r="C311" t="s">
        <v>27</v>
      </c>
      <c r="D311" s="1" t="str">
        <f>_xlfn.IFNA(_xlfn.XLOOKUP(Data[[#This Row],[unqid]],'Quipt Prod Data'!L:L,'Quipt Prod Data'!B:B),"")</f>
        <v/>
      </c>
      <c r="E311" s="1" t="str">
        <f>_xlfn.IFNA(_xlfn.XMATCH(Data[[#This Row],[unqid]],'Quipt Prod Data'!L:L,0),"")</f>
        <v/>
      </c>
      <c r="F311" s="1" t="str">
        <f>IF(COUNTIF('Quipt Prod Data'!L:L,Data[[#This Row],[unqid]])=0,"",COUNTIF('Quipt Prod Data'!L:L,Data[[#This Row],[unqid]]))</f>
        <v/>
      </c>
    </row>
    <row r="312" spans="1:6" x14ac:dyDescent="0.3">
      <c r="A312" t="s">
        <v>582</v>
      </c>
      <c r="B312" t="s">
        <v>30</v>
      </c>
      <c r="C312" t="s">
        <v>27</v>
      </c>
      <c r="D312" s="1" t="str">
        <f>_xlfn.IFNA(_xlfn.XLOOKUP(Data[[#This Row],[unqid]],'Quipt Prod Data'!L:L,'Quipt Prod Data'!B:B),"")</f>
        <v/>
      </c>
      <c r="E312" s="1" t="str">
        <f>_xlfn.IFNA(_xlfn.XMATCH(Data[[#This Row],[unqid]],'Quipt Prod Data'!L:L,0),"")</f>
        <v/>
      </c>
      <c r="F312" s="1" t="str">
        <f>IF(COUNTIF('Quipt Prod Data'!L:L,Data[[#This Row],[unqid]])=0,"",COUNTIF('Quipt Prod Data'!L:L,Data[[#This Row],[unqid]]))</f>
        <v/>
      </c>
    </row>
    <row r="313" spans="1:6" x14ac:dyDescent="0.3">
      <c r="A313" t="s">
        <v>583</v>
      </c>
      <c r="B313" t="s">
        <v>26</v>
      </c>
      <c r="C313" t="s">
        <v>27</v>
      </c>
      <c r="D313" s="1" t="str">
        <f>_xlfn.IFNA(_xlfn.XLOOKUP(Data[[#This Row],[unqid]],'Quipt Prod Data'!L:L,'Quipt Prod Data'!B:B),"")</f>
        <v/>
      </c>
      <c r="E313" s="1" t="str">
        <f>_xlfn.IFNA(_xlfn.XMATCH(Data[[#This Row],[unqid]],'Quipt Prod Data'!L:L,0),"")</f>
        <v/>
      </c>
      <c r="F313" s="1" t="str">
        <f>IF(COUNTIF('Quipt Prod Data'!L:L,Data[[#This Row],[unqid]])=0,"",COUNTIF('Quipt Prod Data'!L:L,Data[[#This Row],[unqid]]))</f>
        <v/>
      </c>
    </row>
    <row r="314" spans="1:6" x14ac:dyDescent="0.3">
      <c r="A314" t="s">
        <v>267</v>
      </c>
      <c r="B314" t="s">
        <v>26</v>
      </c>
      <c r="C314" t="s">
        <v>27</v>
      </c>
      <c r="D314" s="1" t="str">
        <f>_xlfn.IFNA(_xlfn.XLOOKUP(Data[[#This Row],[unqid]],'Quipt Prod Data'!L:L,'Quipt Prod Data'!B:B),"")</f>
        <v>Portal Quipt-Edocument</v>
      </c>
      <c r="E314" s="1">
        <f>_xlfn.IFNA(_xlfn.XMATCH(Data[[#This Row],[unqid]],'Quipt Prod Data'!L:L,0),"")</f>
        <v>68</v>
      </c>
      <c r="F314" s="1">
        <f>IF(COUNTIF('Quipt Prod Data'!L:L,Data[[#This Row],[unqid]])=0,"",COUNTIF('Quipt Prod Data'!L:L,Data[[#This Row],[unqid]]))</f>
        <v>1</v>
      </c>
    </row>
    <row r="315" spans="1:6" x14ac:dyDescent="0.3">
      <c r="A315" t="s">
        <v>584</v>
      </c>
      <c r="B315" t="s">
        <v>32</v>
      </c>
      <c r="C315" t="s">
        <v>27</v>
      </c>
      <c r="D315" s="1" t="str">
        <f>_xlfn.IFNA(_xlfn.XLOOKUP(Data[[#This Row],[unqid]],'Quipt Prod Data'!L:L,'Quipt Prod Data'!B:B),"")</f>
        <v/>
      </c>
      <c r="E315" s="1" t="str">
        <f>_xlfn.IFNA(_xlfn.XMATCH(Data[[#This Row],[unqid]],'Quipt Prod Data'!L:L,0),"")</f>
        <v/>
      </c>
      <c r="F315" s="1" t="str">
        <f>IF(COUNTIF('Quipt Prod Data'!L:L,Data[[#This Row],[unqid]])=0,"",COUNTIF('Quipt Prod Data'!L:L,Data[[#This Row],[unqid]]))</f>
        <v/>
      </c>
    </row>
    <row r="316" spans="1:6" x14ac:dyDescent="0.3">
      <c r="A316" t="s">
        <v>585</v>
      </c>
      <c r="B316" t="s">
        <v>28</v>
      </c>
      <c r="C316" t="s">
        <v>27</v>
      </c>
      <c r="D316" s="1" t="str">
        <f>_xlfn.IFNA(_xlfn.XLOOKUP(Data[[#This Row],[unqid]],'Quipt Prod Data'!L:L,'Quipt Prod Data'!B:B),"")</f>
        <v/>
      </c>
      <c r="E316" s="1" t="str">
        <f>_xlfn.IFNA(_xlfn.XMATCH(Data[[#This Row],[unqid]],'Quipt Prod Data'!L:L,0),"")</f>
        <v/>
      </c>
      <c r="F316" s="1" t="str">
        <f>IF(COUNTIF('Quipt Prod Data'!L:L,Data[[#This Row],[unqid]])=0,"",COUNTIF('Quipt Prod Data'!L:L,Data[[#This Row],[unqid]]))</f>
        <v/>
      </c>
    </row>
    <row r="317" spans="1:6" x14ac:dyDescent="0.3">
      <c r="A317" t="s">
        <v>586</v>
      </c>
      <c r="B317" t="s">
        <v>26</v>
      </c>
      <c r="C317" t="s">
        <v>27</v>
      </c>
      <c r="D317" s="1" t="str">
        <f>_xlfn.IFNA(_xlfn.XLOOKUP(Data[[#This Row],[unqid]],'Quipt Prod Data'!L:L,'Quipt Prod Data'!B:B),"")</f>
        <v/>
      </c>
      <c r="E317" s="1" t="str">
        <f>_xlfn.IFNA(_xlfn.XMATCH(Data[[#This Row],[unqid]],'Quipt Prod Data'!L:L,0),"")</f>
        <v/>
      </c>
      <c r="F317" s="1" t="str">
        <f>IF(COUNTIF('Quipt Prod Data'!L:L,Data[[#This Row],[unqid]])=0,"",COUNTIF('Quipt Prod Data'!L:L,Data[[#This Row],[unqid]]))</f>
        <v/>
      </c>
    </row>
    <row r="318" spans="1:6" x14ac:dyDescent="0.3">
      <c r="A318" t="s">
        <v>587</v>
      </c>
      <c r="B318" t="s">
        <v>26</v>
      </c>
      <c r="C318" t="s">
        <v>27</v>
      </c>
      <c r="D318" s="1" t="str">
        <f>_xlfn.IFNA(_xlfn.XLOOKUP(Data[[#This Row],[unqid]],'Quipt Prod Data'!L:L,'Quipt Prod Data'!B:B),"")</f>
        <v/>
      </c>
      <c r="E318" s="1" t="str">
        <f>_xlfn.IFNA(_xlfn.XMATCH(Data[[#This Row],[unqid]],'Quipt Prod Data'!L:L,0),"")</f>
        <v/>
      </c>
      <c r="F318" s="1" t="str">
        <f>IF(COUNTIF('Quipt Prod Data'!L:L,Data[[#This Row],[unqid]])=0,"",COUNTIF('Quipt Prod Data'!L:L,Data[[#This Row],[unqid]]))</f>
        <v/>
      </c>
    </row>
    <row r="319" spans="1:6" x14ac:dyDescent="0.3">
      <c r="A319" t="s">
        <v>588</v>
      </c>
      <c r="B319" t="s">
        <v>28</v>
      </c>
      <c r="C319" t="s">
        <v>27</v>
      </c>
      <c r="D319" s="1" t="str">
        <f>_xlfn.IFNA(_xlfn.XLOOKUP(Data[[#This Row],[unqid]],'Quipt Prod Data'!L:L,'Quipt Prod Data'!B:B),"")</f>
        <v/>
      </c>
      <c r="E319" s="1" t="str">
        <f>_xlfn.IFNA(_xlfn.XMATCH(Data[[#This Row],[unqid]],'Quipt Prod Data'!L:L,0),"")</f>
        <v/>
      </c>
      <c r="F319" s="1" t="str">
        <f>IF(COUNTIF('Quipt Prod Data'!L:L,Data[[#This Row],[unqid]])=0,"",COUNTIF('Quipt Prod Data'!L:L,Data[[#This Row],[unqid]]))</f>
        <v/>
      </c>
    </row>
    <row r="320" spans="1:6" x14ac:dyDescent="0.3">
      <c r="A320" t="s">
        <v>589</v>
      </c>
      <c r="B320" t="s">
        <v>26</v>
      </c>
      <c r="C320" t="s">
        <v>27</v>
      </c>
      <c r="D320" s="1" t="str">
        <f>_xlfn.IFNA(_xlfn.XLOOKUP(Data[[#This Row],[unqid]],'Quipt Prod Data'!L:L,'Quipt Prod Data'!B:B),"")</f>
        <v/>
      </c>
      <c r="E320" s="1" t="str">
        <f>_xlfn.IFNA(_xlfn.XMATCH(Data[[#This Row],[unqid]],'Quipt Prod Data'!L:L,0),"")</f>
        <v/>
      </c>
      <c r="F320" s="1" t="str">
        <f>IF(COUNTIF('Quipt Prod Data'!L:L,Data[[#This Row],[unqid]])=0,"",COUNTIF('Quipt Prod Data'!L:L,Data[[#This Row],[unqid]]))</f>
        <v/>
      </c>
    </row>
    <row r="321" spans="1:6" x14ac:dyDescent="0.3">
      <c r="A321" t="s">
        <v>220</v>
      </c>
      <c r="B321" t="s">
        <v>26</v>
      </c>
      <c r="C321" t="s">
        <v>27</v>
      </c>
      <c r="D321" s="1" t="str">
        <f>_xlfn.IFNA(_xlfn.XLOOKUP(Data[[#This Row],[unqid]],'Quipt Prod Data'!L:L,'Quipt Prod Data'!B:B),"")</f>
        <v>Portal Quipt-Edocument</v>
      </c>
      <c r="E321" s="1">
        <f>_xlfn.IFNA(_xlfn.XMATCH(Data[[#This Row],[unqid]],'Quipt Prod Data'!L:L,0),"")</f>
        <v>9</v>
      </c>
      <c r="F321" s="1">
        <f>IF(COUNTIF('Quipt Prod Data'!L:L,Data[[#This Row],[unqid]])=0,"",COUNTIF('Quipt Prod Data'!L:L,Data[[#This Row],[unqid]]))</f>
        <v>1</v>
      </c>
    </row>
    <row r="322" spans="1:6" x14ac:dyDescent="0.3">
      <c r="A322" t="s">
        <v>221</v>
      </c>
      <c r="B322" t="s">
        <v>29</v>
      </c>
      <c r="C322" t="s">
        <v>27</v>
      </c>
      <c r="D322" s="1" t="str">
        <f>_xlfn.IFNA(_xlfn.XLOOKUP(Data[[#This Row],[unqid]],'Quipt Prod Data'!L:L,'Quipt Prod Data'!B:B),"")</f>
        <v>Portal Quipt-Edocument</v>
      </c>
      <c r="E322" s="1">
        <f>_xlfn.IFNA(_xlfn.XMATCH(Data[[#This Row],[unqid]],'Quipt Prod Data'!L:L,0),"")</f>
        <v>10</v>
      </c>
      <c r="F322" s="1">
        <f>IF(COUNTIF('Quipt Prod Data'!L:L,Data[[#This Row],[unqid]])=0,"",COUNTIF('Quipt Prod Data'!L:L,Data[[#This Row],[unqid]]))</f>
        <v>1</v>
      </c>
    </row>
    <row r="323" spans="1:6" x14ac:dyDescent="0.3">
      <c r="A323" t="s">
        <v>222</v>
      </c>
      <c r="B323" t="s">
        <v>26</v>
      </c>
      <c r="C323" t="s">
        <v>27</v>
      </c>
      <c r="D323" s="1" t="str">
        <f>_xlfn.IFNA(_xlfn.XLOOKUP(Data[[#This Row],[unqid]],'Quipt Prod Data'!L:L,'Quipt Prod Data'!B:B),"")</f>
        <v>Portal Quipt-Edocument</v>
      </c>
      <c r="E323" s="1">
        <f>_xlfn.IFNA(_xlfn.XMATCH(Data[[#This Row],[unqid]],'Quipt Prod Data'!L:L,0),"")</f>
        <v>11</v>
      </c>
      <c r="F323" s="1">
        <f>IF(COUNTIF('Quipt Prod Data'!L:L,Data[[#This Row],[unqid]])=0,"",COUNTIF('Quipt Prod Data'!L:L,Data[[#This Row],[unqid]]))</f>
        <v>1</v>
      </c>
    </row>
    <row r="324" spans="1:6" x14ac:dyDescent="0.3">
      <c r="A324" t="s">
        <v>223</v>
      </c>
      <c r="B324" t="s">
        <v>32</v>
      </c>
      <c r="C324" t="s">
        <v>27</v>
      </c>
      <c r="D324" s="1" t="str">
        <f>_xlfn.IFNA(_xlfn.XLOOKUP(Data[[#This Row],[unqid]],'Quipt Prod Data'!L:L,'Quipt Prod Data'!B:B),"")</f>
        <v>Portal Quipt-Edocument</v>
      </c>
      <c r="E324" s="1">
        <f>_xlfn.IFNA(_xlfn.XMATCH(Data[[#This Row],[unqid]],'Quipt Prod Data'!L:L,0),"")</f>
        <v>12</v>
      </c>
      <c r="F324" s="1">
        <f>IF(COUNTIF('Quipt Prod Data'!L:L,Data[[#This Row],[unqid]])=0,"",COUNTIF('Quipt Prod Data'!L:L,Data[[#This Row],[unqid]]))</f>
        <v>1</v>
      </c>
    </row>
    <row r="325" spans="1:6" x14ac:dyDescent="0.3">
      <c r="A325" t="s">
        <v>224</v>
      </c>
      <c r="B325" t="s">
        <v>32</v>
      </c>
      <c r="C325" t="s">
        <v>27</v>
      </c>
      <c r="D325" s="1" t="str">
        <f>_xlfn.IFNA(_xlfn.XLOOKUP(Data[[#This Row],[unqid]],'Quipt Prod Data'!L:L,'Quipt Prod Data'!B:B),"")</f>
        <v>Portal Quipt-Edocument</v>
      </c>
      <c r="E325" s="1">
        <f>_xlfn.IFNA(_xlfn.XMATCH(Data[[#This Row],[unqid]],'Quipt Prod Data'!L:L,0),"")</f>
        <v>13</v>
      </c>
      <c r="F325" s="1">
        <f>IF(COUNTIF('Quipt Prod Data'!L:L,Data[[#This Row],[unqid]])=0,"",COUNTIF('Quipt Prod Data'!L:L,Data[[#This Row],[unqid]]))</f>
        <v>1</v>
      </c>
    </row>
    <row r="326" spans="1:6" x14ac:dyDescent="0.3">
      <c r="A326" t="s">
        <v>225</v>
      </c>
      <c r="B326" t="s">
        <v>32</v>
      </c>
      <c r="C326" t="s">
        <v>27</v>
      </c>
      <c r="D326" s="1" t="str">
        <f>_xlfn.IFNA(_xlfn.XLOOKUP(Data[[#This Row],[unqid]],'Quipt Prod Data'!L:L,'Quipt Prod Data'!B:B),"")</f>
        <v>Portal Quipt-Edocument</v>
      </c>
      <c r="E326" s="1">
        <f>_xlfn.IFNA(_xlfn.XMATCH(Data[[#This Row],[unqid]],'Quipt Prod Data'!L:L,0),"")</f>
        <v>14</v>
      </c>
      <c r="F326" s="1">
        <f>IF(COUNTIF('Quipt Prod Data'!L:L,Data[[#This Row],[unqid]])=0,"",COUNTIF('Quipt Prod Data'!L:L,Data[[#This Row],[unqid]]))</f>
        <v>1</v>
      </c>
    </row>
    <row r="327" spans="1:6" x14ac:dyDescent="0.3">
      <c r="A327" t="s">
        <v>590</v>
      </c>
      <c r="B327" t="s">
        <v>26</v>
      </c>
      <c r="C327" t="s">
        <v>27</v>
      </c>
      <c r="D327" s="1" t="str">
        <f>_xlfn.IFNA(_xlfn.XLOOKUP(Data[[#This Row],[unqid]],'Quipt Prod Data'!L:L,'Quipt Prod Data'!B:B),"")</f>
        <v/>
      </c>
      <c r="E327" s="1" t="str">
        <f>_xlfn.IFNA(_xlfn.XMATCH(Data[[#This Row],[unqid]],'Quipt Prod Data'!L:L,0),"")</f>
        <v/>
      </c>
      <c r="F327" s="1" t="str">
        <f>IF(COUNTIF('Quipt Prod Data'!L:L,Data[[#This Row],[unqid]])=0,"",COUNTIF('Quipt Prod Data'!L:L,Data[[#This Row],[unqid]]))</f>
        <v/>
      </c>
    </row>
    <row r="328" spans="1:6" x14ac:dyDescent="0.3">
      <c r="A328" t="s">
        <v>226</v>
      </c>
      <c r="B328" t="s">
        <v>26</v>
      </c>
      <c r="C328" t="s">
        <v>27</v>
      </c>
      <c r="D328" s="1" t="str">
        <f>_xlfn.IFNA(_xlfn.XLOOKUP(Data[[#This Row],[unqid]],'Quipt Prod Data'!L:L,'Quipt Prod Data'!B:B),"")</f>
        <v>Portal Quipt-Edocument</v>
      </c>
      <c r="E328" s="1">
        <f>_xlfn.IFNA(_xlfn.XMATCH(Data[[#This Row],[unqid]],'Quipt Prod Data'!L:L,0),"")</f>
        <v>16</v>
      </c>
      <c r="F328" s="1">
        <f>IF(COUNTIF('Quipt Prod Data'!L:L,Data[[#This Row],[unqid]])=0,"",COUNTIF('Quipt Prod Data'!L:L,Data[[#This Row],[unqid]]))</f>
        <v>1</v>
      </c>
    </row>
    <row r="329" spans="1:6" x14ac:dyDescent="0.3">
      <c r="A329" t="s">
        <v>591</v>
      </c>
      <c r="B329" t="s">
        <v>26</v>
      </c>
      <c r="C329" t="s">
        <v>27</v>
      </c>
      <c r="D329" s="1" t="str">
        <f>_xlfn.IFNA(_xlfn.XLOOKUP(Data[[#This Row],[unqid]],'Quipt Prod Data'!L:L,'Quipt Prod Data'!B:B),"")</f>
        <v/>
      </c>
      <c r="E329" s="1" t="str">
        <f>_xlfn.IFNA(_xlfn.XMATCH(Data[[#This Row],[unqid]],'Quipt Prod Data'!L:L,0),"")</f>
        <v/>
      </c>
      <c r="F329" s="1" t="str">
        <f>IF(COUNTIF('Quipt Prod Data'!L:L,Data[[#This Row],[unqid]])=0,"",COUNTIF('Quipt Prod Data'!L:L,Data[[#This Row],[unqid]]))</f>
        <v/>
      </c>
    </row>
    <row r="330" spans="1:6" x14ac:dyDescent="0.3">
      <c r="A330" t="s">
        <v>227</v>
      </c>
      <c r="B330" t="s">
        <v>26</v>
      </c>
      <c r="C330" t="s">
        <v>27</v>
      </c>
      <c r="D330" s="1" t="str">
        <f>_xlfn.IFNA(_xlfn.XLOOKUP(Data[[#This Row],[unqid]],'Quipt Prod Data'!L:L,'Quipt Prod Data'!B:B),"")</f>
        <v>Portal Quipt-Edocument</v>
      </c>
      <c r="E330" s="1">
        <f>_xlfn.IFNA(_xlfn.XMATCH(Data[[#This Row],[unqid]],'Quipt Prod Data'!L:L,0),"")</f>
        <v>18</v>
      </c>
      <c r="F330" s="1">
        <f>IF(COUNTIF('Quipt Prod Data'!L:L,Data[[#This Row],[unqid]])=0,"",COUNTIF('Quipt Prod Data'!L:L,Data[[#This Row],[unqid]]))</f>
        <v>1</v>
      </c>
    </row>
    <row r="331" spans="1:6" x14ac:dyDescent="0.3">
      <c r="A331" t="s">
        <v>228</v>
      </c>
      <c r="B331" t="s">
        <v>26</v>
      </c>
      <c r="C331" t="s">
        <v>27</v>
      </c>
      <c r="D331" s="1" t="str">
        <f>_xlfn.IFNA(_xlfn.XLOOKUP(Data[[#This Row],[unqid]],'Quipt Prod Data'!L:L,'Quipt Prod Data'!B:B),"")</f>
        <v>Portal Quipt-Edocument</v>
      </c>
      <c r="E331" s="1">
        <f>_xlfn.IFNA(_xlfn.XMATCH(Data[[#This Row],[unqid]],'Quipt Prod Data'!L:L,0),"")</f>
        <v>19</v>
      </c>
      <c r="F331" s="1">
        <f>IF(COUNTIF('Quipt Prod Data'!L:L,Data[[#This Row],[unqid]])=0,"",COUNTIF('Quipt Prod Data'!L:L,Data[[#This Row],[unqid]]))</f>
        <v>1</v>
      </c>
    </row>
    <row r="332" spans="1:6" x14ac:dyDescent="0.3">
      <c r="A332" t="s">
        <v>229</v>
      </c>
      <c r="B332" t="s">
        <v>26</v>
      </c>
      <c r="C332" t="s">
        <v>27</v>
      </c>
      <c r="D332" s="1" t="str">
        <f>_xlfn.IFNA(_xlfn.XLOOKUP(Data[[#This Row],[unqid]],'Quipt Prod Data'!L:L,'Quipt Prod Data'!B:B),"")</f>
        <v>Portal Quipt-Edocument</v>
      </c>
      <c r="E332" s="1">
        <f>_xlfn.IFNA(_xlfn.XMATCH(Data[[#This Row],[unqid]],'Quipt Prod Data'!L:L,0),"")</f>
        <v>20</v>
      </c>
      <c r="F332" s="1">
        <f>IF(COUNTIF('Quipt Prod Data'!L:L,Data[[#This Row],[unqid]])=0,"",COUNTIF('Quipt Prod Data'!L:L,Data[[#This Row],[unqid]]))</f>
        <v>1</v>
      </c>
    </row>
    <row r="333" spans="1:6" x14ac:dyDescent="0.3">
      <c r="A333" t="s">
        <v>230</v>
      </c>
      <c r="B333" t="s">
        <v>32</v>
      </c>
      <c r="C333" t="s">
        <v>27</v>
      </c>
      <c r="D333" s="1" t="str">
        <f>_xlfn.IFNA(_xlfn.XLOOKUP(Data[[#This Row],[unqid]],'Quipt Prod Data'!L:L,'Quipt Prod Data'!B:B),"")</f>
        <v>Portal Quipt-Edocument</v>
      </c>
      <c r="E333" s="1">
        <f>_xlfn.IFNA(_xlfn.XMATCH(Data[[#This Row],[unqid]],'Quipt Prod Data'!L:L,0),"")</f>
        <v>21</v>
      </c>
      <c r="F333" s="1">
        <f>IF(COUNTIF('Quipt Prod Data'!L:L,Data[[#This Row],[unqid]])=0,"",COUNTIF('Quipt Prod Data'!L:L,Data[[#This Row],[unqid]]))</f>
        <v>1</v>
      </c>
    </row>
    <row r="334" spans="1:6" x14ac:dyDescent="0.3">
      <c r="A334" t="s">
        <v>231</v>
      </c>
      <c r="B334" t="s">
        <v>26</v>
      </c>
      <c r="C334" t="s">
        <v>27</v>
      </c>
      <c r="D334" s="1" t="str">
        <f>_xlfn.IFNA(_xlfn.XLOOKUP(Data[[#This Row],[unqid]],'Quipt Prod Data'!L:L,'Quipt Prod Data'!B:B),"")</f>
        <v>Portal Quipt-Edocument</v>
      </c>
      <c r="E334" s="1">
        <f>_xlfn.IFNA(_xlfn.XMATCH(Data[[#This Row],[unqid]],'Quipt Prod Data'!L:L,0),"")</f>
        <v>22</v>
      </c>
      <c r="F334" s="1">
        <f>IF(COUNTIF('Quipt Prod Data'!L:L,Data[[#This Row],[unqid]])=0,"",COUNTIF('Quipt Prod Data'!L:L,Data[[#This Row],[unqid]]))</f>
        <v>1</v>
      </c>
    </row>
    <row r="335" spans="1:6" x14ac:dyDescent="0.3">
      <c r="A335" t="s">
        <v>592</v>
      </c>
      <c r="B335" t="s">
        <v>26</v>
      </c>
      <c r="C335" t="s">
        <v>27</v>
      </c>
      <c r="D335" s="1" t="str">
        <f>_xlfn.IFNA(_xlfn.XLOOKUP(Data[[#This Row],[unqid]],'Quipt Prod Data'!L:L,'Quipt Prod Data'!B:B),"")</f>
        <v/>
      </c>
      <c r="E335" s="1" t="str">
        <f>_xlfn.IFNA(_xlfn.XMATCH(Data[[#This Row],[unqid]],'Quipt Prod Data'!L:L,0),"")</f>
        <v/>
      </c>
      <c r="F335" s="1" t="str">
        <f>IF(COUNTIF('Quipt Prod Data'!L:L,Data[[#This Row],[unqid]])=0,"",COUNTIF('Quipt Prod Data'!L:L,Data[[#This Row],[unqid]]))</f>
        <v/>
      </c>
    </row>
    <row r="336" spans="1:6" x14ac:dyDescent="0.3">
      <c r="A336" t="s">
        <v>232</v>
      </c>
      <c r="B336" t="s">
        <v>26</v>
      </c>
      <c r="C336" t="s">
        <v>27</v>
      </c>
      <c r="D336" s="1" t="str">
        <f>_xlfn.IFNA(_xlfn.XLOOKUP(Data[[#This Row],[unqid]],'Quipt Prod Data'!L:L,'Quipt Prod Data'!B:B),"")</f>
        <v>Portal Quipt-Edocument</v>
      </c>
      <c r="E336" s="1">
        <f>_xlfn.IFNA(_xlfn.XMATCH(Data[[#This Row],[unqid]],'Quipt Prod Data'!L:L,0),"")</f>
        <v>24</v>
      </c>
      <c r="F336" s="1">
        <f>IF(COUNTIF('Quipt Prod Data'!L:L,Data[[#This Row],[unqid]])=0,"",COUNTIF('Quipt Prod Data'!L:L,Data[[#This Row],[unqid]]))</f>
        <v>1</v>
      </c>
    </row>
    <row r="337" spans="1:6" x14ac:dyDescent="0.3">
      <c r="A337" t="s">
        <v>593</v>
      </c>
      <c r="B337" t="s">
        <v>32</v>
      </c>
      <c r="C337" t="s">
        <v>27</v>
      </c>
      <c r="D337" s="1" t="str">
        <f>_xlfn.IFNA(_xlfn.XLOOKUP(Data[[#This Row],[unqid]],'Quipt Prod Data'!L:L,'Quipt Prod Data'!B:B),"")</f>
        <v/>
      </c>
      <c r="E337" s="1" t="str">
        <f>_xlfn.IFNA(_xlfn.XMATCH(Data[[#This Row],[unqid]],'Quipt Prod Data'!L:L,0),"")</f>
        <v/>
      </c>
      <c r="F337" s="1" t="str">
        <f>IF(COUNTIF('Quipt Prod Data'!L:L,Data[[#This Row],[unqid]])=0,"",COUNTIF('Quipt Prod Data'!L:L,Data[[#This Row],[unqid]]))</f>
        <v/>
      </c>
    </row>
    <row r="338" spans="1:6" x14ac:dyDescent="0.3">
      <c r="A338" t="s">
        <v>234</v>
      </c>
      <c r="B338" t="s">
        <v>32</v>
      </c>
      <c r="C338" t="s">
        <v>27</v>
      </c>
      <c r="D338" s="1" t="str">
        <f>_xlfn.IFNA(_xlfn.XLOOKUP(Data[[#This Row],[unqid]],'Quipt Prod Data'!L:L,'Quipt Prod Data'!B:B),"")</f>
        <v>Portal Quipt-Edocument</v>
      </c>
      <c r="E338" s="1">
        <f>_xlfn.IFNA(_xlfn.XMATCH(Data[[#This Row],[unqid]],'Quipt Prod Data'!L:L,0),"")</f>
        <v>26</v>
      </c>
      <c r="F338" s="1">
        <f>IF(COUNTIF('Quipt Prod Data'!L:L,Data[[#This Row],[unqid]])=0,"",COUNTIF('Quipt Prod Data'!L:L,Data[[#This Row],[unqid]]))</f>
        <v>1</v>
      </c>
    </row>
    <row r="339" spans="1:6" x14ac:dyDescent="0.3">
      <c r="A339" t="s">
        <v>235</v>
      </c>
      <c r="B339" t="s">
        <v>26</v>
      </c>
      <c r="C339" t="s">
        <v>27</v>
      </c>
      <c r="D339" s="1" t="str">
        <f>_xlfn.IFNA(_xlfn.XLOOKUP(Data[[#This Row],[unqid]],'Quipt Prod Data'!L:L,'Quipt Prod Data'!B:B),"")</f>
        <v>Portal Quipt-Edocument</v>
      </c>
      <c r="E339" s="1">
        <f>_xlfn.IFNA(_xlfn.XMATCH(Data[[#This Row],[unqid]],'Quipt Prod Data'!L:L,0),"")</f>
        <v>27</v>
      </c>
      <c r="F339" s="1">
        <f>IF(COUNTIF('Quipt Prod Data'!L:L,Data[[#This Row],[unqid]])=0,"",COUNTIF('Quipt Prod Data'!L:L,Data[[#This Row],[unqid]]))</f>
        <v>1</v>
      </c>
    </row>
    <row r="340" spans="1:6" x14ac:dyDescent="0.3">
      <c r="A340" t="s">
        <v>236</v>
      </c>
      <c r="B340" t="s">
        <v>26</v>
      </c>
      <c r="C340" t="s">
        <v>27</v>
      </c>
      <c r="D340" s="1" t="str">
        <f>_xlfn.IFNA(_xlfn.XLOOKUP(Data[[#This Row],[unqid]],'Quipt Prod Data'!L:L,'Quipt Prod Data'!B:B),"")</f>
        <v>Portal Quipt-Edocument</v>
      </c>
      <c r="E340" s="1">
        <f>_xlfn.IFNA(_xlfn.XMATCH(Data[[#This Row],[unqid]],'Quipt Prod Data'!L:L,0),"")</f>
        <v>28</v>
      </c>
      <c r="F340" s="1">
        <f>IF(COUNTIF('Quipt Prod Data'!L:L,Data[[#This Row],[unqid]])=0,"",COUNTIF('Quipt Prod Data'!L:L,Data[[#This Row],[unqid]]))</f>
        <v>1</v>
      </c>
    </row>
    <row r="341" spans="1:6" x14ac:dyDescent="0.3">
      <c r="A341" t="s">
        <v>594</v>
      </c>
      <c r="B341" t="s">
        <v>28</v>
      </c>
      <c r="C341" t="s">
        <v>27</v>
      </c>
      <c r="D341" s="1" t="str">
        <f>_xlfn.IFNA(_xlfn.XLOOKUP(Data[[#This Row],[unqid]],'Quipt Prod Data'!L:L,'Quipt Prod Data'!B:B),"")</f>
        <v/>
      </c>
      <c r="E341" s="1" t="str">
        <f>_xlfn.IFNA(_xlfn.XMATCH(Data[[#This Row],[unqid]],'Quipt Prod Data'!L:L,0),"")</f>
        <v/>
      </c>
      <c r="F341" s="1" t="str">
        <f>IF(COUNTIF('Quipt Prod Data'!L:L,Data[[#This Row],[unqid]])=0,"",COUNTIF('Quipt Prod Data'!L:L,Data[[#This Row],[unqid]]))</f>
        <v/>
      </c>
    </row>
    <row r="342" spans="1:6" x14ac:dyDescent="0.3">
      <c r="A342" t="s">
        <v>237</v>
      </c>
      <c r="B342" t="s">
        <v>26</v>
      </c>
      <c r="C342" t="s">
        <v>27</v>
      </c>
      <c r="D342" s="1" t="str">
        <f>_xlfn.IFNA(_xlfn.XLOOKUP(Data[[#This Row],[unqid]],'Quipt Prod Data'!L:L,'Quipt Prod Data'!B:B),"")</f>
        <v>Portal Quipt-Edocument</v>
      </c>
      <c r="E342" s="1">
        <f>_xlfn.IFNA(_xlfn.XMATCH(Data[[#This Row],[unqid]],'Quipt Prod Data'!L:L,0),"")</f>
        <v>30</v>
      </c>
      <c r="F342" s="1">
        <f>IF(COUNTIF('Quipt Prod Data'!L:L,Data[[#This Row],[unqid]])=0,"",COUNTIF('Quipt Prod Data'!L:L,Data[[#This Row],[unqid]]))</f>
        <v>1</v>
      </c>
    </row>
    <row r="343" spans="1:6" x14ac:dyDescent="0.3">
      <c r="A343" t="s">
        <v>238</v>
      </c>
      <c r="B343" t="s">
        <v>26</v>
      </c>
      <c r="C343" t="s">
        <v>27</v>
      </c>
      <c r="D343" s="1" t="str">
        <f>_xlfn.IFNA(_xlfn.XLOOKUP(Data[[#This Row],[unqid]],'Quipt Prod Data'!L:L,'Quipt Prod Data'!B:B),"")</f>
        <v>Portal Quipt-Edocument</v>
      </c>
      <c r="E343" s="1">
        <f>_xlfn.IFNA(_xlfn.XMATCH(Data[[#This Row],[unqid]],'Quipt Prod Data'!L:L,0),"")</f>
        <v>31</v>
      </c>
      <c r="F343" s="1">
        <f>IF(COUNTIF('Quipt Prod Data'!L:L,Data[[#This Row],[unqid]])=0,"",COUNTIF('Quipt Prod Data'!L:L,Data[[#This Row],[unqid]]))</f>
        <v>1</v>
      </c>
    </row>
    <row r="344" spans="1:6" x14ac:dyDescent="0.3">
      <c r="A344" t="s">
        <v>595</v>
      </c>
      <c r="B344" t="s">
        <v>29</v>
      </c>
      <c r="C344" t="s">
        <v>27</v>
      </c>
      <c r="D344" s="1" t="str">
        <f>_xlfn.IFNA(_xlfn.XLOOKUP(Data[[#This Row],[unqid]],'Quipt Prod Data'!L:L,'Quipt Prod Data'!B:B),"")</f>
        <v/>
      </c>
      <c r="E344" s="1" t="str">
        <f>_xlfn.IFNA(_xlfn.XMATCH(Data[[#This Row],[unqid]],'Quipt Prod Data'!L:L,0),"")</f>
        <v/>
      </c>
      <c r="F344" s="1" t="str">
        <f>IF(COUNTIF('Quipt Prod Data'!L:L,Data[[#This Row],[unqid]])=0,"",COUNTIF('Quipt Prod Data'!L:L,Data[[#This Row],[unqid]]))</f>
        <v/>
      </c>
    </row>
    <row r="345" spans="1:6" x14ac:dyDescent="0.3">
      <c r="A345" t="s">
        <v>239</v>
      </c>
      <c r="B345" t="s">
        <v>32</v>
      </c>
      <c r="C345" t="s">
        <v>27</v>
      </c>
      <c r="D345" s="1" t="str">
        <f>_xlfn.IFNA(_xlfn.XLOOKUP(Data[[#This Row],[unqid]],'Quipt Prod Data'!L:L,'Quipt Prod Data'!B:B),"")</f>
        <v>Portal Quipt-Edocument</v>
      </c>
      <c r="E345" s="1">
        <f>_xlfn.IFNA(_xlfn.XMATCH(Data[[#This Row],[unqid]],'Quipt Prod Data'!L:L,0),"")</f>
        <v>33</v>
      </c>
      <c r="F345" s="1">
        <f>IF(COUNTIF('Quipt Prod Data'!L:L,Data[[#This Row],[unqid]])=0,"",COUNTIF('Quipt Prod Data'!L:L,Data[[#This Row],[unqid]]))</f>
        <v>1</v>
      </c>
    </row>
    <row r="346" spans="1:6" x14ac:dyDescent="0.3">
      <c r="A346" t="s">
        <v>596</v>
      </c>
      <c r="B346" t="s">
        <v>26</v>
      </c>
      <c r="C346" t="s">
        <v>27</v>
      </c>
      <c r="D346" s="1" t="str">
        <f>_xlfn.IFNA(_xlfn.XLOOKUP(Data[[#This Row],[unqid]],'Quipt Prod Data'!L:L,'Quipt Prod Data'!B:B),"")</f>
        <v/>
      </c>
      <c r="E346" s="1" t="str">
        <f>_xlfn.IFNA(_xlfn.XMATCH(Data[[#This Row],[unqid]],'Quipt Prod Data'!L:L,0),"")</f>
        <v/>
      </c>
      <c r="F346" s="1" t="str">
        <f>IF(COUNTIF('Quipt Prod Data'!L:L,Data[[#This Row],[unqid]])=0,"",COUNTIF('Quipt Prod Data'!L:L,Data[[#This Row],[unqid]]))</f>
        <v/>
      </c>
    </row>
    <row r="347" spans="1:6" x14ac:dyDescent="0.3">
      <c r="A347" t="s">
        <v>597</v>
      </c>
      <c r="B347" t="s">
        <v>32</v>
      </c>
      <c r="C347" t="s">
        <v>27</v>
      </c>
      <c r="D347" s="1" t="str">
        <f>_xlfn.IFNA(_xlfn.XLOOKUP(Data[[#This Row],[unqid]],'Quipt Prod Data'!L:L,'Quipt Prod Data'!B:B),"")</f>
        <v/>
      </c>
      <c r="E347" s="1" t="str">
        <f>_xlfn.IFNA(_xlfn.XMATCH(Data[[#This Row],[unqid]],'Quipt Prod Data'!L:L,0),"")</f>
        <v/>
      </c>
      <c r="F347" s="1" t="str">
        <f>IF(COUNTIF('Quipt Prod Data'!L:L,Data[[#This Row],[unqid]])=0,"",COUNTIF('Quipt Prod Data'!L:L,Data[[#This Row],[unqid]]))</f>
        <v/>
      </c>
    </row>
    <row r="348" spans="1:6" x14ac:dyDescent="0.3">
      <c r="A348" t="s">
        <v>240</v>
      </c>
      <c r="B348" t="s">
        <v>32</v>
      </c>
      <c r="C348" t="s">
        <v>27</v>
      </c>
      <c r="D348" s="1" t="str">
        <f>_xlfn.IFNA(_xlfn.XLOOKUP(Data[[#This Row],[unqid]],'Quipt Prod Data'!L:L,'Quipt Prod Data'!B:B),"")</f>
        <v>Portal Quipt-Edocument</v>
      </c>
      <c r="E348" s="1">
        <f>_xlfn.IFNA(_xlfn.XMATCH(Data[[#This Row],[unqid]],'Quipt Prod Data'!L:L,0),"")</f>
        <v>35</v>
      </c>
      <c r="F348" s="1">
        <f>IF(COUNTIF('Quipt Prod Data'!L:L,Data[[#This Row],[unqid]])=0,"",COUNTIF('Quipt Prod Data'!L:L,Data[[#This Row],[unqid]]))</f>
        <v>1</v>
      </c>
    </row>
    <row r="349" spans="1:6" x14ac:dyDescent="0.3">
      <c r="A349" t="s">
        <v>241</v>
      </c>
      <c r="B349" t="s">
        <v>26</v>
      </c>
      <c r="C349" t="s">
        <v>27</v>
      </c>
      <c r="D349" s="1" t="str">
        <f>_xlfn.IFNA(_xlfn.XLOOKUP(Data[[#This Row],[unqid]],'Quipt Prod Data'!L:L,'Quipt Prod Data'!B:B),"")</f>
        <v>Portal Quipt-Edocument</v>
      </c>
      <c r="E349" s="1">
        <f>_xlfn.IFNA(_xlfn.XMATCH(Data[[#This Row],[unqid]],'Quipt Prod Data'!L:L,0),"")</f>
        <v>36</v>
      </c>
      <c r="F349" s="1">
        <f>IF(COUNTIF('Quipt Prod Data'!L:L,Data[[#This Row],[unqid]])=0,"",COUNTIF('Quipt Prod Data'!L:L,Data[[#This Row],[unqid]]))</f>
        <v>1</v>
      </c>
    </row>
    <row r="350" spans="1:6" x14ac:dyDescent="0.3">
      <c r="A350" t="s">
        <v>598</v>
      </c>
      <c r="B350" t="s">
        <v>26</v>
      </c>
      <c r="C350" t="s">
        <v>27</v>
      </c>
      <c r="D350" s="1" t="str">
        <f>_xlfn.IFNA(_xlfn.XLOOKUP(Data[[#This Row],[unqid]],'Quipt Prod Data'!L:L,'Quipt Prod Data'!B:B),"")</f>
        <v/>
      </c>
      <c r="E350" s="1" t="str">
        <f>_xlfn.IFNA(_xlfn.XMATCH(Data[[#This Row],[unqid]],'Quipt Prod Data'!L:L,0),"")</f>
        <v/>
      </c>
      <c r="F350" s="1" t="str">
        <f>IF(COUNTIF('Quipt Prod Data'!L:L,Data[[#This Row],[unqid]])=0,"",COUNTIF('Quipt Prod Data'!L:L,Data[[#This Row],[unqid]]))</f>
        <v/>
      </c>
    </row>
    <row r="351" spans="1:6" x14ac:dyDescent="0.3">
      <c r="A351" t="s">
        <v>242</v>
      </c>
      <c r="B351" t="s">
        <v>26</v>
      </c>
      <c r="C351" t="s">
        <v>27</v>
      </c>
      <c r="D351" s="1" t="str">
        <f>_xlfn.IFNA(_xlfn.XLOOKUP(Data[[#This Row],[unqid]],'Quipt Prod Data'!L:L,'Quipt Prod Data'!B:B),"")</f>
        <v>Portal Quipt-Edocument</v>
      </c>
      <c r="E351" s="1">
        <f>_xlfn.IFNA(_xlfn.XMATCH(Data[[#This Row],[unqid]],'Quipt Prod Data'!L:L,0),"")</f>
        <v>38</v>
      </c>
      <c r="F351" s="1">
        <f>IF(COUNTIF('Quipt Prod Data'!L:L,Data[[#This Row],[unqid]])=0,"",COUNTIF('Quipt Prod Data'!L:L,Data[[#This Row],[unqid]]))</f>
        <v>1</v>
      </c>
    </row>
    <row r="352" spans="1:6" x14ac:dyDescent="0.3">
      <c r="A352" t="s">
        <v>217</v>
      </c>
      <c r="B352" t="s">
        <v>26</v>
      </c>
      <c r="C352" t="s">
        <v>27</v>
      </c>
      <c r="D352" s="1" t="str">
        <f>_xlfn.IFNA(_xlfn.XLOOKUP(Data[[#This Row],[unqid]],'Quipt Prod Data'!L:L,'Quipt Prod Data'!B:B),"")</f>
        <v>Portal Quipt All Calls</v>
      </c>
      <c r="E352" s="1">
        <f>_xlfn.IFNA(_xlfn.XMATCH(Data[[#This Row],[unqid]],'Quipt Prod Data'!L:L,0),"")</f>
        <v>5</v>
      </c>
      <c r="F352" s="1">
        <f>IF(COUNTIF('Quipt Prod Data'!L:L,Data[[#This Row],[unqid]])=0,"",COUNTIF('Quipt Prod Data'!L:L,Data[[#This Row],[unqid]]))</f>
        <v>2</v>
      </c>
    </row>
    <row r="353" spans="1:6" x14ac:dyDescent="0.3">
      <c r="A353" t="s">
        <v>243</v>
      </c>
      <c r="B353" t="s">
        <v>32</v>
      </c>
      <c r="C353" t="s">
        <v>27</v>
      </c>
      <c r="D353" s="1" t="str">
        <f>_xlfn.IFNA(_xlfn.XLOOKUP(Data[[#This Row],[unqid]],'Quipt Prod Data'!L:L,'Quipt Prod Data'!B:B),"")</f>
        <v>Portal Quipt-Edocument</v>
      </c>
      <c r="E353" s="1">
        <f>_xlfn.IFNA(_xlfn.XMATCH(Data[[#This Row],[unqid]],'Quipt Prod Data'!L:L,0),"")</f>
        <v>40</v>
      </c>
      <c r="F353" s="1">
        <f>IF(COUNTIF('Quipt Prod Data'!L:L,Data[[#This Row],[unqid]])=0,"",COUNTIF('Quipt Prod Data'!L:L,Data[[#This Row],[unqid]]))</f>
        <v>1</v>
      </c>
    </row>
    <row r="354" spans="1:6" x14ac:dyDescent="0.3">
      <c r="A354" t="s">
        <v>599</v>
      </c>
      <c r="B354" t="s">
        <v>26</v>
      </c>
      <c r="C354" t="s">
        <v>27</v>
      </c>
      <c r="D354" s="1" t="str">
        <f>_xlfn.IFNA(_xlfn.XLOOKUP(Data[[#This Row],[unqid]],'Quipt Prod Data'!L:L,'Quipt Prod Data'!B:B),"")</f>
        <v/>
      </c>
      <c r="E354" s="1" t="str">
        <f>_xlfn.IFNA(_xlfn.XMATCH(Data[[#This Row],[unqid]],'Quipt Prod Data'!L:L,0),"")</f>
        <v/>
      </c>
      <c r="F354" s="1" t="str">
        <f>IF(COUNTIF('Quipt Prod Data'!L:L,Data[[#This Row],[unqid]])=0,"",COUNTIF('Quipt Prod Data'!L:L,Data[[#This Row],[unqid]]))</f>
        <v/>
      </c>
    </row>
    <row r="355" spans="1:6" x14ac:dyDescent="0.3">
      <c r="A355" t="s">
        <v>600</v>
      </c>
      <c r="B355" t="s">
        <v>26</v>
      </c>
      <c r="C355" t="s">
        <v>27</v>
      </c>
      <c r="D355" s="1" t="str">
        <f>_xlfn.IFNA(_xlfn.XLOOKUP(Data[[#This Row],[unqid]],'Quipt Prod Data'!L:L,'Quipt Prod Data'!B:B),"")</f>
        <v/>
      </c>
      <c r="E355" s="1" t="str">
        <f>_xlfn.IFNA(_xlfn.XMATCH(Data[[#This Row],[unqid]],'Quipt Prod Data'!L:L,0),"")</f>
        <v/>
      </c>
      <c r="F355" s="1" t="str">
        <f>IF(COUNTIF('Quipt Prod Data'!L:L,Data[[#This Row],[unqid]])=0,"",COUNTIF('Quipt Prod Data'!L:L,Data[[#This Row],[unqid]]))</f>
        <v/>
      </c>
    </row>
    <row r="356" spans="1:6" x14ac:dyDescent="0.3">
      <c r="A356" t="s">
        <v>601</v>
      </c>
      <c r="B356" t="s">
        <v>32</v>
      </c>
      <c r="C356" t="s">
        <v>27</v>
      </c>
      <c r="D356" s="1" t="str">
        <f>_xlfn.IFNA(_xlfn.XLOOKUP(Data[[#This Row],[unqid]],'Quipt Prod Data'!L:L,'Quipt Prod Data'!B:B),"")</f>
        <v/>
      </c>
      <c r="E356" s="1" t="str">
        <f>_xlfn.IFNA(_xlfn.XMATCH(Data[[#This Row],[unqid]],'Quipt Prod Data'!L:L,0),"")</f>
        <v/>
      </c>
      <c r="F356" s="1" t="str">
        <f>IF(COUNTIF('Quipt Prod Data'!L:L,Data[[#This Row],[unqid]])=0,"",COUNTIF('Quipt Prod Data'!L:L,Data[[#This Row],[unqid]]))</f>
        <v/>
      </c>
    </row>
    <row r="357" spans="1:6" x14ac:dyDescent="0.3">
      <c r="A357" t="s">
        <v>602</v>
      </c>
      <c r="B357" t="s">
        <v>26</v>
      </c>
      <c r="C357" t="s">
        <v>27</v>
      </c>
      <c r="D357" s="1" t="str">
        <f>_xlfn.IFNA(_xlfn.XLOOKUP(Data[[#This Row],[unqid]],'Quipt Prod Data'!L:L,'Quipt Prod Data'!B:B),"")</f>
        <v/>
      </c>
      <c r="E357" s="1" t="str">
        <f>_xlfn.IFNA(_xlfn.XMATCH(Data[[#This Row],[unqid]],'Quipt Prod Data'!L:L,0),"")</f>
        <v/>
      </c>
      <c r="F357" s="1" t="str">
        <f>IF(COUNTIF('Quipt Prod Data'!L:L,Data[[#This Row],[unqid]])=0,"",COUNTIF('Quipt Prod Data'!L:L,Data[[#This Row],[unqid]]))</f>
        <v/>
      </c>
    </row>
    <row r="358" spans="1:6" x14ac:dyDescent="0.3">
      <c r="A358" t="s">
        <v>603</v>
      </c>
      <c r="B358" t="s">
        <v>32</v>
      </c>
      <c r="C358" t="s">
        <v>27</v>
      </c>
      <c r="D358" s="1" t="str">
        <f>_xlfn.IFNA(_xlfn.XLOOKUP(Data[[#This Row],[unqid]],'Quipt Prod Data'!L:L,'Quipt Prod Data'!B:B),"")</f>
        <v/>
      </c>
      <c r="E358" s="1" t="str">
        <f>_xlfn.IFNA(_xlfn.XMATCH(Data[[#This Row],[unqid]],'Quipt Prod Data'!L:L,0),"")</f>
        <v/>
      </c>
      <c r="F358" s="1" t="str">
        <f>IF(COUNTIF('Quipt Prod Data'!L:L,Data[[#This Row],[unqid]])=0,"",COUNTIF('Quipt Prod Data'!L:L,Data[[#This Row],[unqid]]))</f>
        <v/>
      </c>
    </row>
    <row r="359" spans="1:6" x14ac:dyDescent="0.3">
      <c r="A359" t="s">
        <v>604</v>
      </c>
      <c r="B359" t="s">
        <v>28</v>
      </c>
      <c r="C359" t="s">
        <v>27</v>
      </c>
      <c r="D359" s="1" t="str">
        <f>_xlfn.IFNA(_xlfn.XLOOKUP(Data[[#This Row],[unqid]],'Quipt Prod Data'!L:L,'Quipt Prod Data'!B:B),"")</f>
        <v/>
      </c>
      <c r="E359" s="1" t="str">
        <f>_xlfn.IFNA(_xlfn.XMATCH(Data[[#This Row],[unqid]],'Quipt Prod Data'!L:L,0),"")</f>
        <v/>
      </c>
      <c r="F359" s="1" t="str">
        <f>IF(COUNTIF('Quipt Prod Data'!L:L,Data[[#This Row],[unqid]])=0,"",COUNTIF('Quipt Prod Data'!L:L,Data[[#This Row],[unqid]]))</f>
        <v/>
      </c>
    </row>
    <row r="360" spans="1:6" x14ac:dyDescent="0.3">
      <c r="A360" t="s">
        <v>244</v>
      </c>
      <c r="B360" t="s">
        <v>26</v>
      </c>
      <c r="C360" t="s">
        <v>27</v>
      </c>
      <c r="D360" s="1" t="str">
        <f>_xlfn.IFNA(_xlfn.XLOOKUP(Data[[#This Row],[unqid]],'Quipt Prod Data'!L:L,'Quipt Prod Data'!B:B),"")</f>
        <v>Portal Quipt-Edocument</v>
      </c>
      <c r="E360" s="1">
        <f>_xlfn.IFNA(_xlfn.XMATCH(Data[[#This Row],[unqid]],'Quipt Prod Data'!L:L,0),"")</f>
        <v>41</v>
      </c>
      <c r="F360" s="1">
        <f>IF(COUNTIF('Quipt Prod Data'!L:L,Data[[#This Row],[unqid]])=0,"",COUNTIF('Quipt Prod Data'!L:L,Data[[#This Row],[unqid]]))</f>
        <v>2</v>
      </c>
    </row>
    <row r="361" spans="1:6" x14ac:dyDescent="0.3">
      <c r="A361" t="s">
        <v>605</v>
      </c>
      <c r="B361" t="s">
        <v>26</v>
      </c>
      <c r="C361" t="s">
        <v>27</v>
      </c>
      <c r="D361" s="1" t="str">
        <f>_xlfn.IFNA(_xlfn.XLOOKUP(Data[[#This Row],[unqid]],'Quipt Prod Data'!L:L,'Quipt Prod Data'!B:B),"")</f>
        <v/>
      </c>
      <c r="E361" s="1" t="str">
        <f>_xlfn.IFNA(_xlfn.XMATCH(Data[[#This Row],[unqid]],'Quipt Prod Data'!L:L,0),"")</f>
        <v/>
      </c>
      <c r="F361" s="1" t="str">
        <f>IF(COUNTIF('Quipt Prod Data'!L:L,Data[[#This Row],[unqid]])=0,"",COUNTIF('Quipt Prod Data'!L:L,Data[[#This Row],[unqid]]))</f>
        <v/>
      </c>
    </row>
    <row r="362" spans="1:6" x14ac:dyDescent="0.3">
      <c r="A362" t="s">
        <v>606</v>
      </c>
      <c r="B362" t="s">
        <v>26</v>
      </c>
      <c r="C362" t="s">
        <v>27</v>
      </c>
      <c r="D362" s="1" t="str">
        <f>_xlfn.IFNA(_xlfn.XLOOKUP(Data[[#This Row],[unqid]],'Quipt Prod Data'!L:L,'Quipt Prod Data'!B:B),"")</f>
        <v/>
      </c>
      <c r="E362" s="1" t="str">
        <f>_xlfn.IFNA(_xlfn.XMATCH(Data[[#This Row],[unqid]],'Quipt Prod Data'!L:L,0),"")</f>
        <v/>
      </c>
      <c r="F362" s="1" t="str">
        <f>IF(COUNTIF('Quipt Prod Data'!L:L,Data[[#This Row],[unqid]])=0,"",COUNTIF('Quipt Prod Data'!L:L,Data[[#This Row],[unqid]]))</f>
        <v/>
      </c>
    </row>
    <row r="363" spans="1:6" x14ac:dyDescent="0.3">
      <c r="A363" t="s">
        <v>607</v>
      </c>
      <c r="B363" t="s">
        <v>32</v>
      </c>
      <c r="C363" t="s">
        <v>27</v>
      </c>
      <c r="D363" s="1" t="str">
        <f>_xlfn.IFNA(_xlfn.XLOOKUP(Data[[#This Row],[unqid]],'Quipt Prod Data'!L:L,'Quipt Prod Data'!B:B),"")</f>
        <v/>
      </c>
      <c r="E363" s="1" t="str">
        <f>_xlfn.IFNA(_xlfn.XMATCH(Data[[#This Row],[unqid]],'Quipt Prod Data'!L:L,0),"")</f>
        <v/>
      </c>
      <c r="F363" s="1" t="str">
        <f>IF(COUNTIF('Quipt Prod Data'!L:L,Data[[#This Row],[unqid]])=0,"",COUNTIF('Quipt Prod Data'!L:L,Data[[#This Row],[unqid]]))</f>
        <v/>
      </c>
    </row>
    <row r="364" spans="1:6" x14ac:dyDescent="0.3">
      <c r="A364" t="s">
        <v>608</v>
      </c>
      <c r="B364" t="s">
        <v>26</v>
      </c>
      <c r="C364" t="s">
        <v>27</v>
      </c>
      <c r="D364" s="1" t="str">
        <f>_xlfn.IFNA(_xlfn.XLOOKUP(Data[[#This Row],[unqid]],'Quipt Prod Data'!L:L,'Quipt Prod Data'!B:B),"")</f>
        <v/>
      </c>
      <c r="E364" s="1" t="str">
        <f>_xlfn.IFNA(_xlfn.XMATCH(Data[[#This Row],[unqid]],'Quipt Prod Data'!L:L,0),"")</f>
        <v/>
      </c>
      <c r="F364" s="1" t="str">
        <f>IF(COUNTIF('Quipt Prod Data'!L:L,Data[[#This Row],[unqid]])=0,"",COUNTIF('Quipt Prod Data'!L:L,Data[[#This Row],[unqid]]))</f>
        <v/>
      </c>
    </row>
    <row r="365" spans="1:6" x14ac:dyDescent="0.3">
      <c r="A365" t="s">
        <v>609</v>
      </c>
      <c r="B365" t="s">
        <v>26</v>
      </c>
      <c r="C365" t="s">
        <v>27</v>
      </c>
      <c r="D365" s="1" t="str">
        <f>_xlfn.IFNA(_xlfn.XLOOKUP(Data[[#This Row],[unqid]],'Quipt Prod Data'!L:L,'Quipt Prod Data'!B:B),"")</f>
        <v/>
      </c>
      <c r="E365" s="1" t="str">
        <f>_xlfn.IFNA(_xlfn.XMATCH(Data[[#This Row],[unqid]],'Quipt Prod Data'!L:L,0),"")</f>
        <v/>
      </c>
      <c r="F365" s="1" t="str">
        <f>IF(COUNTIF('Quipt Prod Data'!L:L,Data[[#This Row],[unqid]])=0,"",COUNTIF('Quipt Prod Data'!L:L,Data[[#This Row],[unqid]]))</f>
        <v/>
      </c>
    </row>
    <row r="366" spans="1:6" x14ac:dyDescent="0.3">
      <c r="A366" t="s">
        <v>610</v>
      </c>
      <c r="B366" t="s">
        <v>26</v>
      </c>
      <c r="C366" t="s">
        <v>27</v>
      </c>
      <c r="D366" s="1" t="str">
        <f>_xlfn.IFNA(_xlfn.XLOOKUP(Data[[#This Row],[unqid]],'Quipt Prod Data'!L:L,'Quipt Prod Data'!B:B),"")</f>
        <v/>
      </c>
      <c r="E366" s="1" t="str">
        <f>_xlfn.IFNA(_xlfn.XMATCH(Data[[#This Row],[unqid]],'Quipt Prod Data'!L:L,0),"")</f>
        <v/>
      </c>
      <c r="F366" s="1" t="str">
        <f>IF(COUNTIF('Quipt Prod Data'!L:L,Data[[#This Row],[unqid]])=0,"",COUNTIF('Quipt Prod Data'!L:L,Data[[#This Row],[unqid]]))</f>
        <v/>
      </c>
    </row>
    <row r="367" spans="1:6" x14ac:dyDescent="0.3">
      <c r="A367" t="s">
        <v>611</v>
      </c>
      <c r="B367" t="s">
        <v>32</v>
      </c>
      <c r="C367" t="s">
        <v>27</v>
      </c>
      <c r="D367" s="1" t="str">
        <f>_xlfn.IFNA(_xlfn.XLOOKUP(Data[[#This Row],[unqid]],'Quipt Prod Data'!L:L,'Quipt Prod Data'!B:B),"")</f>
        <v/>
      </c>
      <c r="E367" s="1" t="str">
        <f>_xlfn.IFNA(_xlfn.XMATCH(Data[[#This Row],[unqid]],'Quipt Prod Data'!L:L,0),"")</f>
        <v/>
      </c>
      <c r="F367" s="1" t="str">
        <f>IF(COUNTIF('Quipt Prod Data'!L:L,Data[[#This Row],[unqid]])=0,"",COUNTIF('Quipt Prod Data'!L:L,Data[[#This Row],[unqid]]))</f>
        <v/>
      </c>
    </row>
    <row r="368" spans="1:6" x14ac:dyDescent="0.3">
      <c r="A368" t="s">
        <v>612</v>
      </c>
      <c r="B368" t="s">
        <v>26</v>
      </c>
      <c r="C368" t="s">
        <v>27</v>
      </c>
      <c r="D368" s="1" t="str">
        <f>_xlfn.IFNA(_xlfn.XLOOKUP(Data[[#This Row],[unqid]],'Quipt Prod Data'!L:L,'Quipt Prod Data'!B:B),"")</f>
        <v/>
      </c>
      <c r="E368" s="1" t="str">
        <f>_xlfn.IFNA(_xlfn.XMATCH(Data[[#This Row],[unqid]],'Quipt Prod Data'!L:L,0),"")</f>
        <v/>
      </c>
      <c r="F368" s="1" t="str">
        <f>IF(COUNTIF('Quipt Prod Data'!L:L,Data[[#This Row],[unqid]])=0,"",COUNTIF('Quipt Prod Data'!L:L,Data[[#This Row],[unqid]]))</f>
        <v/>
      </c>
    </row>
    <row r="369" spans="1:6" x14ac:dyDescent="0.3">
      <c r="A369" t="s">
        <v>613</v>
      </c>
      <c r="B369" t="s">
        <v>34</v>
      </c>
      <c r="C369" t="s">
        <v>27</v>
      </c>
      <c r="D369" s="1" t="str">
        <f>_xlfn.IFNA(_xlfn.XLOOKUP(Data[[#This Row],[unqid]],'Quipt Prod Data'!L:L,'Quipt Prod Data'!B:B),"")</f>
        <v/>
      </c>
      <c r="E369" s="1" t="str">
        <f>_xlfn.IFNA(_xlfn.XMATCH(Data[[#This Row],[unqid]],'Quipt Prod Data'!L:L,0),"")</f>
        <v/>
      </c>
      <c r="F369" s="1" t="str">
        <f>IF(COUNTIF('Quipt Prod Data'!L:L,Data[[#This Row],[unqid]])=0,"",COUNTIF('Quipt Prod Data'!L:L,Data[[#This Row],[unqid]]))</f>
        <v/>
      </c>
    </row>
    <row r="370" spans="1:6" x14ac:dyDescent="0.3">
      <c r="A370" t="s">
        <v>614</v>
      </c>
      <c r="B370" t="s">
        <v>26</v>
      </c>
      <c r="C370" t="s">
        <v>27</v>
      </c>
      <c r="D370" s="1" t="str">
        <f>_xlfn.IFNA(_xlfn.XLOOKUP(Data[[#This Row],[unqid]],'Quipt Prod Data'!L:L,'Quipt Prod Data'!B:B),"")</f>
        <v/>
      </c>
      <c r="E370" s="1" t="str">
        <f>_xlfn.IFNA(_xlfn.XMATCH(Data[[#This Row],[unqid]],'Quipt Prod Data'!L:L,0),"")</f>
        <v/>
      </c>
      <c r="F370" s="1" t="str">
        <f>IF(COUNTIF('Quipt Prod Data'!L:L,Data[[#This Row],[unqid]])=0,"",COUNTIF('Quipt Prod Data'!L:L,Data[[#This Row],[unqid]]))</f>
        <v/>
      </c>
    </row>
    <row r="371" spans="1:6" x14ac:dyDescent="0.3">
      <c r="A371" t="s">
        <v>615</v>
      </c>
      <c r="B371" t="s">
        <v>32</v>
      </c>
      <c r="C371" t="s">
        <v>27</v>
      </c>
      <c r="D371" s="1" t="str">
        <f>_xlfn.IFNA(_xlfn.XLOOKUP(Data[[#This Row],[unqid]],'Quipt Prod Data'!L:L,'Quipt Prod Data'!B:B),"")</f>
        <v/>
      </c>
      <c r="E371" s="1" t="str">
        <f>_xlfn.IFNA(_xlfn.XMATCH(Data[[#This Row],[unqid]],'Quipt Prod Data'!L:L,0),"")</f>
        <v/>
      </c>
      <c r="F371" s="1" t="str">
        <f>IF(COUNTIF('Quipt Prod Data'!L:L,Data[[#This Row],[unqid]])=0,"",COUNTIF('Quipt Prod Data'!L:L,Data[[#This Row],[unqid]]))</f>
        <v/>
      </c>
    </row>
    <row r="372" spans="1:6" x14ac:dyDescent="0.3">
      <c r="A372" t="s">
        <v>616</v>
      </c>
      <c r="B372" t="s">
        <v>26</v>
      </c>
      <c r="C372" t="s">
        <v>27</v>
      </c>
      <c r="D372" s="1" t="str">
        <f>_xlfn.IFNA(_xlfn.XLOOKUP(Data[[#This Row],[unqid]],'Quipt Prod Data'!L:L,'Quipt Prod Data'!B:B),"")</f>
        <v/>
      </c>
      <c r="E372" s="1" t="str">
        <f>_xlfn.IFNA(_xlfn.XMATCH(Data[[#This Row],[unqid]],'Quipt Prod Data'!L:L,0),"")</f>
        <v/>
      </c>
      <c r="F372" s="1" t="str">
        <f>IF(COUNTIF('Quipt Prod Data'!L:L,Data[[#This Row],[unqid]])=0,"",COUNTIF('Quipt Prod Data'!L:L,Data[[#This Row],[unqid]]))</f>
        <v/>
      </c>
    </row>
    <row r="373" spans="1:6" x14ac:dyDescent="0.3">
      <c r="A373" t="s">
        <v>617</v>
      </c>
      <c r="B373" t="s">
        <v>26</v>
      </c>
      <c r="C373" t="s">
        <v>27</v>
      </c>
      <c r="D373" s="1" t="str">
        <f>_xlfn.IFNA(_xlfn.XLOOKUP(Data[[#This Row],[unqid]],'Quipt Prod Data'!L:L,'Quipt Prod Data'!B:B),"")</f>
        <v/>
      </c>
      <c r="E373" s="1" t="str">
        <f>_xlfn.IFNA(_xlfn.XMATCH(Data[[#This Row],[unqid]],'Quipt Prod Data'!L:L,0),"")</f>
        <v/>
      </c>
      <c r="F373" s="1" t="str">
        <f>IF(COUNTIF('Quipt Prod Data'!L:L,Data[[#This Row],[unqid]])=0,"",COUNTIF('Quipt Prod Data'!L:L,Data[[#This Row],[unqid]]))</f>
        <v/>
      </c>
    </row>
    <row r="374" spans="1:6" x14ac:dyDescent="0.3">
      <c r="A374" t="s">
        <v>618</v>
      </c>
      <c r="B374" t="s">
        <v>26</v>
      </c>
      <c r="C374" t="s">
        <v>27</v>
      </c>
      <c r="D374" s="1" t="str">
        <f>_xlfn.IFNA(_xlfn.XLOOKUP(Data[[#This Row],[unqid]],'Quipt Prod Data'!L:L,'Quipt Prod Data'!B:B),"")</f>
        <v/>
      </c>
      <c r="E374" s="1" t="str">
        <f>_xlfn.IFNA(_xlfn.XMATCH(Data[[#This Row],[unqid]],'Quipt Prod Data'!L:L,0),"")</f>
        <v/>
      </c>
      <c r="F374" s="1" t="str">
        <f>IF(COUNTIF('Quipt Prod Data'!L:L,Data[[#This Row],[unqid]])=0,"",COUNTIF('Quipt Prod Data'!L:L,Data[[#This Row],[unqid]]))</f>
        <v/>
      </c>
    </row>
    <row r="375" spans="1:6" x14ac:dyDescent="0.3">
      <c r="A375" t="s">
        <v>619</v>
      </c>
      <c r="B375" t="s">
        <v>28</v>
      </c>
      <c r="C375" t="s">
        <v>27</v>
      </c>
      <c r="D375" s="1" t="str">
        <f>_xlfn.IFNA(_xlfn.XLOOKUP(Data[[#This Row],[unqid]],'Quipt Prod Data'!L:L,'Quipt Prod Data'!B:B),"")</f>
        <v/>
      </c>
      <c r="E375" s="1" t="str">
        <f>_xlfn.IFNA(_xlfn.XMATCH(Data[[#This Row],[unqid]],'Quipt Prod Data'!L:L,0),"")</f>
        <v/>
      </c>
      <c r="F375" s="1" t="str">
        <f>IF(COUNTIF('Quipt Prod Data'!L:L,Data[[#This Row],[unqid]])=0,"",COUNTIF('Quipt Prod Data'!L:L,Data[[#This Row],[unqid]]))</f>
        <v/>
      </c>
    </row>
    <row r="376" spans="1:6" x14ac:dyDescent="0.3">
      <c r="A376" t="s">
        <v>620</v>
      </c>
      <c r="B376" t="s">
        <v>32</v>
      </c>
      <c r="C376" t="s">
        <v>27</v>
      </c>
      <c r="D376" s="1" t="str">
        <f>_xlfn.IFNA(_xlfn.XLOOKUP(Data[[#This Row],[unqid]],'Quipt Prod Data'!L:L,'Quipt Prod Data'!B:B),"")</f>
        <v/>
      </c>
      <c r="E376" s="1" t="str">
        <f>_xlfn.IFNA(_xlfn.XMATCH(Data[[#This Row],[unqid]],'Quipt Prod Data'!L:L,0),"")</f>
        <v/>
      </c>
      <c r="F376" s="1" t="str">
        <f>IF(COUNTIF('Quipt Prod Data'!L:L,Data[[#This Row],[unqid]])=0,"",COUNTIF('Quipt Prod Data'!L:L,Data[[#This Row],[unqid]]))</f>
        <v/>
      </c>
    </row>
    <row r="377" spans="1:6" x14ac:dyDescent="0.3">
      <c r="A377" t="s">
        <v>621</v>
      </c>
      <c r="B377" t="s">
        <v>32</v>
      </c>
      <c r="C377" t="s">
        <v>27</v>
      </c>
      <c r="D377" s="1" t="str">
        <f>_xlfn.IFNA(_xlfn.XLOOKUP(Data[[#This Row],[unqid]],'Quipt Prod Data'!L:L,'Quipt Prod Data'!B:B),"")</f>
        <v/>
      </c>
      <c r="E377" s="1" t="str">
        <f>_xlfn.IFNA(_xlfn.XMATCH(Data[[#This Row],[unqid]],'Quipt Prod Data'!L:L,0),"")</f>
        <v/>
      </c>
      <c r="F377" s="1" t="str">
        <f>IF(COUNTIF('Quipt Prod Data'!L:L,Data[[#This Row],[unqid]])=0,"",COUNTIF('Quipt Prod Data'!L:L,Data[[#This Row],[unqid]]))</f>
        <v/>
      </c>
    </row>
    <row r="378" spans="1:6" x14ac:dyDescent="0.3">
      <c r="A378" t="s">
        <v>622</v>
      </c>
      <c r="B378" t="s">
        <v>26</v>
      </c>
      <c r="C378" t="s">
        <v>27</v>
      </c>
      <c r="D378" s="1" t="str">
        <f>_xlfn.IFNA(_xlfn.XLOOKUP(Data[[#This Row],[unqid]],'Quipt Prod Data'!L:L,'Quipt Prod Data'!B:B),"")</f>
        <v/>
      </c>
      <c r="E378" s="1" t="str">
        <f>_xlfn.IFNA(_xlfn.XMATCH(Data[[#This Row],[unqid]],'Quipt Prod Data'!L:L,0),"")</f>
        <v/>
      </c>
      <c r="F378" s="1" t="str">
        <f>IF(COUNTIF('Quipt Prod Data'!L:L,Data[[#This Row],[unqid]])=0,"",COUNTIF('Quipt Prod Data'!L:L,Data[[#This Row],[unqid]]))</f>
        <v/>
      </c>
    </row>
    <row r="379" spans="1:6" x14ac:dyDescent="0.3">
      <c r="A379" t="s">
        <v>623</v>
      </c>
      <c r="B379" t="s">
        <v>26</v>
      </c>
      <c r="C379" t="s">
        <v>27</v>
      </c>
      <c r="D379" s="1" t="str">
        <f>_xlfn.IFNA(_xlfn.XLOOKUP(Data[[#This Row],[unqid]],'Quipt Prod Data'!L:L,'Quipt Prod Data'!B:B),"")</f>
        <v/>
      </c>
      <c r="E379" s="1" t="str">
        <f>_xlfn.IFNA(_xlfn.XMATCH(Data[[#This Row],[unqid]],'Quipt Prod Data'!L:L,0),"")</f>
        <v/>
      </c>
      <c r="F379" s="1" t="str">
        <f>IF(COUNTIF('Quipt Prod Data'!L:L,Data[[#This Row],[unqid]])=0,"",COUNTIF('Quipt Prod Data'!L:L,Data[[#This Row],[unqid]]))</f>
        <v/>
      </c>
    </row>
    <row r="380" spans="1:6" x14ac:dyDescent="0.3">
      <c r="A380" t="s">
        <v>279</v>
      </c>
      <c r="B380" t="s">
        <v>34</v>
      </c>
      <c r="C380" t="s">
        <v>27</v>
      </c>
      <c r="D380" s="1" t="str">
        <f>_xlfn.IFNA(_xlfn.XLOOKUP(Data[[#This Row],[unqid]],'Quipt Prod Data'!L:L,'Quipt Prod Data'!B:B),"")</f>
        <v>Portal Quipt-PTCall</v>
      </c>
      <c r="E380" s="1">
        <f>_xlfn.IFNA(_xlfn.XMATCH(Data[[#This Row],[unqid]],'Quipt Prod Data'!L:L,0),"")</f>
        <v>109</v>
      </c>
      <c r="F380" s="1">
        <f>IF(COUNTIF('Quipt Prod Data'!L:L,Data[[#This Row],[unqid]])=0,"",COUNTIF('Quipt Prod Data'!L:L,Data[[#This Row],[unqid]]))</f>
        <v>1</v>
      </c>
    </row>
    <row r="381" spans="1:6" x14ac:dyDescent="0.3">
      <c r="A381" t="s">
        <v>624</v>
      </c>
      <c r="B381" t="s">
        <v>26</v>
      </c>
      <c r="C381" t="s">
        <v>27</v>
      </c>
      <c r="D381" s="1" t="str">
        <f>_xlfn.IFNA(_xlfn.XLOOKUP(Data[[#This Row],[unqid]],'Quipt Prod Data'!L:L,'Quipt Prod Data'!B:B),"")</f>
        <v/>
      </c>
      <c r="E381" s="1" t="str">
        <f>_xlfn.IFNA(_xlfn.XMATCH(Data[[#This Row],[unqid]],'Quipt Prod Data'!L:L,0),"")</f>
        <v/>
      </c>
      <c r="F381" s="1" t="str">
        <f>IF(COUNTIF('Quipt Prod Data'!L:L,Data[[#This Row],[unqid]])=0,"",COUNTIF('Quipt Prod Data'!L:L,Data[[#This Row],[unqid]]))</f>
        <v/>
      </c>
    </row>
    <row r="382" spans="1:6" x14ac:dyDescent="0.3">
      <c r="A382" t="s">
        <v>625</v>
      </c>
      <c r="B382" t="s">
        <v>26</v>
      </c>
      <c r="C382" t="s">
        <v>27</v>
      </c>
      <c r="D382" s="1" t="str">
        <f>_xlfn.IFNA(_xlfn.XLOOKUP(Data[[#This Row],[unqid]],'Quipt Prod Data'!L:L,'Quipt Prod Data'!B:B),"")</f>
        <v/>
      </c>
      <c r="E382" s="1" t="str">
        <f>_xlfn.IFNA(_xlfn.XMATCH(Data[[#This Row],[unqid]],'Quipt Prod Data'!L:L,0),"")</f>
        <v/>
      </c>
      <c r="F382" s="1" t="str">
        <f>IF(COUNTIF('Quipt Prod Data'!L:L,Data[[#This Row],[unqid]])=0,"",COUNTIF('Quipt Prod Data'!L:L,Data[[#This Row],[unqid]]))</f>
        <v/>
      </c>
    </row>
    <row r="383" spans="1:6" x14ac:dyDescent="0.3">
      <c r="A383" t="s">
        <v>626</v>
      </c>
      <c r="B383" t="s">
        <v>34</v>
      </c>
      <c r="C383" t="s">
        <v>27</v>
      </c>
      <c r="D383" s="1" t="str">
        <f>_xlfn.IFNA(_xlfn.XLOOKUP(Data[[#This Row],[unqid]],'Quipt Prod Data'!L:L,'Quipt Prod Data'!B:B),"")</f>
        <v/>
      </c>
      <c r="E383" s="1" t="str">
        <f>_xlfn.IFNA(_xlfn.XMATCH(Data[[#This Row],[unqid]],'Quipt Prod Data'!L:L,0),"")</f>
        <v/>
      </c>
      <c r="F383" s="1" t="str">
        <f>IF(COUNTIF('Quipt Prod Data'!L:L,Data[[#This Row],[unqid]])=0,"",COUNTIF('Quipt Prod Data'!L:L,Data[[#This Row],[unqid]]))</f>
        <v/>
      </c>
    </row>
    <row r="384" spans="1:6" x14ac:dyDescent="0.3">
      <c r="A384" t="s">
        <v>627</v>
      </c>
      <c r="B384" t="s">
        <v>26</v>
      </c>
      <c r="C384" t="s">
        <v>27</v>
      </c>
      <c r="D384" s="1" t="str">
        <f>_xlfn.IFNA(_xlfn.XLOOKUP(Data[[#This Row],[unqid]],'Quipt Prod Data'!L:L,'Quipt Prod Data'!B:B),"")</f>
        <v/>
      </c>
      <c r="E384" s="1" t="str">
        <f>_xlfn.IFNA(_xlfn.XMATCH(Data[[#This Row],[unqid]],'Quipt Prod Data'!L:L,0),"")</f>
        <v/>
      </c>
      <c r="F384" s="1" t="str">
        <f>IF(COUNTIF('Quipt Prod Data'!L:L,Data[[#This Row],[unqid]])=0,"",COUNTIF('Quipt Prod Data'!L:L,Data[[#This Row],[unqid]]))</f>
        <v/>
      </c>
    </row>
    <row r="385" spans="1:6" x14ac:dyDescent="0.3">
      <c r="A385" t="s">
        <v>266</v>
      </c>
      <c r="B385" t="s">
        <v>26</v>
      </c>
      <c r="C385" t="s">
        <v>27</v>
      </c>
      <c r="D385" s="1" t="str">
        <f>_xlfn.IFNA(_xlfn.XLOOKUP(Data[[#This Row],[unqid]],'Quipt Prod Data'!L:L,'Quipt Prod Data'!B:B),"")</f>
        <v>Portal Quipt-Edocument</v>
      </c>
      <c r="E385" s="1">
        <f>_xlfn.IFNA(_xlfn.XMATCH(Data[[#This Row],[unqid]],'Quipt Prod Data'!L:L,0),"")</f>
        <v>66</v>
      </c>
      <c r="F385" s="1">
        <f>IF(COUNTIF('Quipt Prod Data'!L:L,Data[[#This Row],[unqid]])=0,"",COUNTIF('Quipt Prod Data'!L:L,Data[[#This Row],[unqid]]))</f>
        <v>1</v>
      </c>
    </row>
    <row r="386" spans="1:6" x14ac:dyDescent="0.3">
      <c r="A386" t="s">
        <v>628</v>
      </c>
      <c r="B386" t="s">
        <v>32</v>
      </c>
      <c r="C386" t="s">
        <v>27</v>
      </c>
      <c r="D386" s="1" t="str">
        <f>_xlfn.IFNA(_xlfn.XLOOKUP(Data[[#This Row],[unqid]],'Quipt Prod Data'!L:L,'Quipt Prod Data'!B:B),"")</f>
        <v/>
      </c>
      <c r="E386" s="1" t="str">
        <f>_xlfn.IFNA(_xlfn.XMATCH(Data[[#This Row],[unqid]],'Quipt Prod Data'!L:L,0),"")</f>
        <v/>
      </c>
      <c r="F386" s="1" t="str">
        <f>IF(COUNTIF('Quipt Prod Data'!L:L,Data[[#This Row],[unqid]])=0,"",COUNTIF('Quipt Prod Data'!L:L,Data[[#This Row],[unqid]]))</f>
        <v/>
      </c>
    </row>
    <row r="387" spans="1:6" x14ac:dyDescent="0.3">
      <c r="A387" t="s">
        <v>629</v>
      </c>
      <c r="B387" t="s">
        <v>26</v>
      </c>
      <c r="C387" t="s">
        <v>27</v>
      </c>
      <c r="D387" s="1" t="str">
        <f>_xlfn.IFNA(_xlfn.XLOOKUP(Data[[#This Row],[unqid]],'Quipt Prod Data'!L:L,'Quipt Prod Data'!B:B),"")</f>
        <v/>
      </c>
      <c r="E387" s="1" t="str">
        <f>_xlfn.IFNA(_xlfn.XMATCH(Data[[#This Row],[unqid]],'Quipt Prod Data'!L:L,0),"")</f>
        <v/>
      </c>
      <c r="F387" s="1" t="str">
        <f>IF(COUNTIF('Quipt Prod Data'!L:L,Data[[#This Row],[unqid]])=0,"",COUNTIF('Quipt Prod Data'!L:L,Data[[#This Row],[unqid]]))</f>
        <v/>
      </c>
    </row>
    <row r="388" spans="1:6" x14ac:dyDescent="0.3">
      <c r="A388" t="s">
        <v>630</v>
      </c>
      <c r="B388" t="s">
        <v>28</v>
      </c>
      <c r="C388" t="s">
        <v>27</v>
      </c>
      <c r="D388" s="1" t="str">
        <f>_xlfn.IFNA(_xlfn.XLOOKUP(Data[[#This Row],[unqid]],'Quipt Prod Data'!L:L,'Quipt Prod Data'!B:B),"")</f>
        <v/>
      </c>
      <c r="E388" s="1" t="str">
        <f>_xlfn.IFNA(_xlfn.XMATCH(Data[[#This Row],[unqid]],'Quipt Prod Data'!L:L,0),"")</f>
        <v/>
      </c>
      <c r="F388" s="1" t="str">
        <f>IF(COUNTIF('Quipt Prod Data'!L:L,Data[[#This Row],[unqid]])=0,"",COUNTIF('Quipt Prod Data'!L:L,Data[[#This Row],[unqid]]))</f>
        <v/>
      </c>
    </row>
    <row r="389" spans="1:6" x14ac:dyDescent="0.3">
      <c r="A389" t="s">
        <v>631</v>
      </c>
      <c r="B389" t="s">
        <v>26</v>
      </c>
      <c r="C389" t="s">
        <v>27</v>
      </c>
      <c r="D389" s="1" t="str">
        <f>_xlfn.IFNA(_xlfn.XLOOKUP(Data[[#This Row],[unqid]],'Quipt Prod Data'!L:L,'Quipt Prod Data'!B:B),"")</f>
        <v/>
      </c>
      <c r="E389" s="1" t="str">
        <f>_xlfn.IFNA(_xlfn.XMATCH(Data[[#This Row],[unqid]],'Quipt Prod Data'!L:L,0),"")</f>
        <v/>
      </c>
      <c r="F389" s="1" t="str">
        <f>IF(COUNTIF('Quipt Prod Data'!L:L,Data[[#This Row],[unqid]])=0,"",COUNTIF('Quipt Prod Data'!L:L,Data[[#This Row],[unqid]]))</f>
        <v/>
      </c>
    </row>
    <row r="390" spans="1:6" x14ac:dyDescent="0.3">
      <c r="A390" t="s">
        <v>632</v>
      </c>
      <c r="B390" t="s">
        <v>26</v>
      </c>
      <c r="C390" t="s">
        <v>27</v>
      </c>
      <c r="D390" s="1" t="str">
        <f>_xlfn.IFNA(_xlfn.XLOOKUP(Data[[#This Row],[unqid]],'Quipt Prod Data'!L:L,'Quipt Prod Data'!B:B),"")</f>
        <v/>
      </c>
      <c r="E390" s="1" t="str">
        <f>_xlfn.IFNA(_xlfn.XMATCH(Data[[#This Row],[unqid]],'Quipt Prod Data'!L:L,0),"")</f>
        <v/>
      </c>
      <c r="F390" s="1" t="str">
        <f>IF(COUNTIF('Quipt Prod Data'!L:L,Data[[#This Row],[unqid]])=0,"",COUNTIF('Quipt Prod Data'!L:L,Data[[#This Row],[unqid]]))</f>
        <v/>
      </c>
    </row>
    <row r="391" spans="1:6" x14ac:dyDescent="0.3">
      <c r="A391" t="s">
        <v>633</v>
      </c>
      <c r="B391" t="s">
        <v>40</v>
      </c>
      <c r="C391" t="s">
        <v>27</v>
      </c>
      <c r="D391" s="1" t="str">
        <f>_xlfn.IFNA(_xlfn.XLOOKUP(Data[[#This Row],[unqid]],'Quipt Prod Data'!L:L,'Quipt Prod Data'!B:B),"")</f>
        <v/>
      </c>
      <c r="E391" s="1" t="str">
        <f>_xlfn.IFNA(_xlfn.XMATCH(Data[[#This Row],[unqid]],'Quipt Prod Data'!L:L,0),"")</f>
        <v/>
      </c>
      <c r="F391" s="1" t="str">
        <f>IF(COUNTIF('Quipt Prod Data'!L:L,Data[[#This Row],[unqid]])=0,"",COUNTIF('Quipt Prod Data'!L:L,Data[[#This Row],[unqid]]))</f>
        <v/>
      </c>
    </row>
    <row r="392" spans="1:6" x14ac:dyDescent="0.3">
      <c r="A392" t="s">
        <v>265</v>
      </c>
      <c r="B392" t="s">
        <v>26</v>
      </c>
      <c r="C392" t="s">
        <v>27</v>
      </c>
      <c r="D392" s="1" t="str">
        <f>_xlfn.IFNA(_xlfn.XLOOKUP(Data[[#This Row],[unqid]],'Quipt Prod Data'!L:L,'Quipt Prod Data'!B:B),"")</f>
        <v>Portal Quipt-Edocument</v>
      </c>
      <c r="E392" s="1">
        <f>_xlfn.IFNA(_xlfn.XMATCH(Data[[#This Row],[unqid]],'Quipt Prod Data'!L:L,0),"")</f>
        <v>64</v>
      </c>
      <c r="F392" s="1">
        <f>IF(COUNTIF('Quipt Prod Data'!L:L,Data[[#This Row],[unqid]])=0,"",COUNTIF('Quipt Prod Data'!L:L,Data[[#This Row],[unqid]]))</f>
        <v>1</v>
      </c>
    </row>
    <row r="393" spans="1:6" x14ac:dyDescent="0.3">
      <c r="A393" t="s">
        <v>634</v>
      </c>
      <c r="B393" t="s">
        <v>32</v>
      </c>
      <c r="C393" t="s">
        <v>27</v>
      </c>
      <c r="D393" s="1" t="str">
        <f>_xlfn.IFNA(_xlfn.XLOOKUP(Data[[#This Row],[unqid]],'Quipt Prod Data'!L:L,'Quipt Prod Data'!B:B),"")</f>
        <v/>
      </c>
      <c r="E393" s="1" t="str">
        <f>_xlfn.IFNA(_xlfn.XMATCH(Data[[#This Row],[unqid]],'Quipt Prod Data'!L:L,0),"")</f>
        <v/>
      </c>
      <c r="F393" s="1" t="str">
        <f>IF(COUNTIF('Quipt Prod Data'!L:L,Data[[#This Row],[unqid]])=0,"",COUNTIF('Quipt Prod Data'!L:L,Data[[#This Row],[unqid]]))</f>
        <v/>
      </c>
    </row>
    <row r="394" spans="1:6" x14ac:dyDescent="0.3">
      <c r="A394" t="s">
        <v>635</v>
      </c>
      <c r="B394" t="s">
        <v>32</v>
      </c>
      <c r="C394" t="s">
        <v>27</v>
      </c>
      <c r="D394" s="1" t="str">
        <f>_xlfn.IFNA(_xlfn.XLOOKUP(Data[[#This Row],[unqid]],'Quipt Prod Data'!L:L,'Quipt Prod Data'!B:B),"")</f>
        <v/>
      </c>
      <c r="E394" s="1" t="str">
        <f>_xlfn.IFNA(_xlfn.XMATCH(Data[[#This Row],[unqid]],'Quipt Prod Data'!L:L,0),"")</f>
        <v/>
      </c>
      <c r="F394" s="1" t="str">
        <f>IF(COUNTIF('Quipt Prod Data'!L:L,Data[[#This Row],[unqid]])=0,"",COUNTIF('Quipt Prod Data'!L:L,Data[[#This Row],[unqid]]))</f>
        <v/>
      </c>
    </row>
    <row r="395" spans="1:6" x14ac:dyDescent="0.3">
      <c r="A395" t="s">
        <v>264</v>
      </c>
      <c r="B395" t="s">
        <v>32</v>
      </c>
      <c r="C395" t="s">
        <v>27</v>
      </c>
      <c r="D395" s="1" t="str">
        <f>_xlfn.IFNA(_xlfn.XLOOKUP(Data[[#This Row],[unqid]],'Quipt Prod Data'!L:L,'Quipt Prod Data'!B:B),"")</f>
        <v>Portal Quipt-Edocument</v>
      </c>
      <c r="E395" s="1">
        <f>_xlfn.IFNA(_xlfn.XMATCH(Data[[#This Row],[unqid]],'Quipt Prod Data'!L:L,0),"")</f>
        <v>63</v>
      </c>
      <c r="F395" s="1">
        <f>IF(COUNTIF('Quipt Prod Data'!L:L,Data[[#This Row],[unqid]])=0,"",COUNTIF('Quipt Prod Data'!L:L,Data[[#This Row],[unqid]]))</f>
        <v>1</v>
      </c>
    </row>
    <row r="396" spans="1:6" x14ac:dyDescent="0.3">
      <c r="A396" t="s">
        <v>636</v>
      </c>
      <c r="B396" t="s">
        <v>34</v>
      </c>
      <c r="C396" t="s">
        <v>27</v>
      </c>
      <c r="D396" s="1" t="str">
        <f>_xlfn.IFNA(_xlfn.XLOOKUP(Data[[#This Row],[unqid]],'Quipt Prod Data'!L:L,'Quipt Prod Data'!B:B),"")</f>
        <v/>
      </c>
      <c r="E396" s="1" t="str">
        <f>_xlfn.IFNA(_xlfn.XMATCH(Data[[#This Row],[unqid]],'Quipt Prod Data'!L:L,0),"")</f>
        <v/>
      </c>
      <c r="F396" s="1" t="str">
        <f>IF(COUNTIF('Quipt Prod Data'!L:L,Data[[#This Row],[unqid]])=0,"",COUNTIF('Quipt Prod Data'!L:L,Data[[#This Row],[unqid]]))</f>
        <v/>
      </c>
    </row>
    <row r="397" spans="1:6" x14ac:dyDescent="0.3">
      <c r="A397" t="s">
        <v>637</v>
      </c>
      <c r="B397" t="s">
        <v>37</v>
      </c>
      <c r="C397" t="s">
        <v>27</v>
      </c>
      <c r="D397" s="1" t="str">
        <f>_xlfn.IFNA(_xlfn.XLOOKUP(Data[[#This Row],[unqid]],'Quipt Prod Data'!L:L,'Quipt Prod Data'!B:B),"")</f>
        <v/>
      </c>
      <c r="E397" s="1" t="str">
        <f>_xlfn.IFNA(_xlfn.XMATCH(Data[[#This Row],[unqid]],'Quipt Prod Data'!L:L,0),"")</f>
        <v/>
      </c>
      <c r="F397" s="1" t="str">
        <f>IF(COUNTIF('Quipt Prod Data'!L:L,Data[[#This Row],[unqid]])=0,"",COUNTIF('Quipt Prod Data'!L:L,Data[[#This Row],[unqid]]))</f>
        <v/>
      </c>
    </row>
    <row r="398" spans="1:6" x14ac:dyDescent="0.3">
      <c r="A398" t="s">
        <v>638</v>
      </c>
      <c r="B398" t="s">
        <v>26</v>
      </c>
      <c r="C398" t="s">
        <v>27</v>
      </c>
      <c r="D398" s="1" t="str">
        <f>_xlfn.IFNA(_xlfn.XLOOKUP(Data[[#This Row],[unqid]],'Quipt Prod Data'!L:L,'Quipt Prod Data'!B:B),"")</f>
        <v/>
      </c>
      <c r="E398" s="1" t="str">
        <f>_xlfn.IFNA(_xlfn.XMATCH(Data[[#This Row],[unqid]],'Quipt Prod Data'!L:L,0),"")</f>
        <v/>
      </c>
      <c r="F398" s="1" t="str">
        <f>IF(COUNTIF('Quipt Prod Data'!L:L,Data[[#This Row],[unqid]])=0,"",COUNTIF('Quipt Prod Data'!L:L,Data[[#This Row],[unqid]]))</f>
        <v/>
      </c>
    </row>
    <row r="399" spans="1:6" x14ac:dyDescent="0.3">
      <c r="A399" t="s">
        <v>639</v>
      </c>
      <c r="B399" t="s">
        <v>34</v>
      </c>
      <c r="C399" t="s">
        <v>27</v>
      </c>
      <c r="D399" s="1" t="str">
        <f>_xlfn.IFNA(_xlfn.XLOOKUP(Data[[#This Row],[unqid]],'Quipt Prod Data'!L:L,'Quipt Prod Data'!B:B),"")</f>
        <v/>
      </c>
      <c r="E399" s="1" t="str">
        <f>_xlfn.IFNA(_xlfn.XMATCH(Data[[#This Row],[unqid]],'Quipt Prod Data'!L:L,0),"")</f>
        <v/>
      </c>
      <c r="F399" s="1" t="str">
        <f>IF(COUNTIF('Quipt Prod Data'!L:L,Data[[#This Row],[unqid]])=0,"",COUNTIF('Quipt Prod Data'!L:L,Data[[#This Row],[unqid]]))</f>
        <v/>
      </c>
    </row>
    <row r="400" spans="1:6" x14ac:dyDescent="0.3">
      <c r="A400" t="s">
        <v>263</v>
      </c>
      <c r="B400" t="s">
        <v>26</v>
      </c>
      <c r="C400" t="s">
        <v>27</v>
      </c>
      <c r="D400" s="1" t="str">
        <f>_xlfn.IFNA(_xlfn.XLOOKUP(Data[[#This Row],[unqid]],'Quipt Prod Data'!L:L,'Quipt Prod Data'!B:B),"")</f>
        <v>Portal Quipt-Edocument</v>
      </c>
      <c r="E400" s="1">
        <f>_xlfn.IFNA(_xlfn.XMATCH(Data[[#This Row],[unqid]],'Quipt Prod Data'!L:L,0),"")</f>
        <v>62</v>
      </c>
      <c r="F400" s="1">
        <f>IF(COUNTIF('Quipt Prod Data'!L:L,Data[[#This Row],[unqid]])=0,"",COUNTIF('Quipt Prod Data'!L:L,Data[[#This Row],[unqid]]))</f>
        <v>1</v>
      </c>
    </row>
    <row r="401" spans="1:6" x14ac:dyDescent="0.3">
      <c r="A401" t="s">
        <v>640</v>
      </c>
      <c r="B401" t="s">
        <v>26</v>
      </c>
      <c r="C401" t="s">
        <v>27</v>
      </c>
      <c r="D401" s="1" t="str">
        <f>_xlfn.IFNA(_xlfn.XLOOKUP(Data[[#This Row],[unqid]],'Quipt Prod Data'!L:L,'Quipt Prod Data'!B:B),"")</f>
        <v/>
      </c>
      <c r="E401" s="1" t="str">
        <f>_xlfn.IFNA(_xlfn.XMATCH(Data[[#This Row],[unqid]],'Quipt Prod Data'!L:L,0),"")</f>
        <v/>
      </c>
      <c r="F401" s="1" t="str">
        <f>IF(COUNTIF('Quipt Prod Data'!L:L,Data[[#This Row],[unqid]])=0,"",COUNTIF('Quipt Prod Data'!L:L,Data[[#This Row],[unqid]]))</f>
        <v/>
      </c>
    </row>
    <row r="402" spans="1:6" x14ac:dyDescent="0.3">
      <c r="A402" t="s">
        <v>641</v>
      </c>
      <c r="B402" t="s">
        <v>32</v>
      </c>
      <c r="C402" t="s">
        <v>27</v>
      </c>
      <c r="D402" s="1" t="str">
        <f>_xlfn.IFNA(_xlfn.XLOOKUP(Data[[#This Row],[unqid]],'Quipt Prod Data'!L:L,'Quipt Prod Data'!B:B),"")</f>
        <v/>
      </c>
      <c r="E402" s="1" t="str">
        <f>_xlfn.IFNA(_xlfn.XMATCH(Data[[#This Row],[unqid]],'Quipt Prod Data'!L:L,0),"")</f>
        <v/>
      </c>
      <c r="F402" s="1" t="str">
        <f>IF(COUNTIF('Quipt Prod Data'!L:L,Data[[#This Row],[unqid]])=0,"",COUNTIF('Quipt Prod Data'!L:L,Data[[#This Row],[unqid]]))</f>
        <v/>
      </c>
    </row>
    <row r="403" spans="1:6" x14ac:dyDescent="0.3">
      <c r="A403" t="s">
        <v>642</v>
      </c>
      <c r="B403" t="s">
        <v>26</v>
      </c>
      <c r="C403" t="s">
        <v>27</v>
      </c>
      <c r="D403" s="1" t="str">
        <f>_xlfn.IFNA(_xlfn.XLOOKUP(Data[[#This Row],[unqid]],'Quipt Prod Data'!L:L,'Quipt Prod Data'!B:B),"")</f>
        <v/>
      </c>
      <c r="E403" s="1" t="str">
        <f>_xlfn.IFNA(_xlfn.XMATCH(Data[[#This Row],[unqid]],'Quipt Prod Data'!L:L,0),"")</f>
        <v/>
      </c>
      <c r="F403" s="1" t="str">
        <f>IF(COUNTIF('Quipt Prod Data'!L:L,Data[[#This Row],[unqid]])=0,"",COUNTIF('Quipt Prod Data'!L:L,Data[[#This Row],[unqid]]))</f>
        <v/>
      </c>
    </row>
    <row r="404" spans="1:6" x14ac:dyDescent="0.3">
      <c r="A404" t="s">
        <v>643</v>
      </c>
      <c r="B404" t="s">
        <v>26</v>
      </c>
      <c r="C404" t="s">
        <v>27</v>
      </c>
      <c r="D404" s="1" t="str">
        <f>_xlfn.IFNA(_xlfn.XLOOKUP(Data[[#This Row],[unqid]],'Quipt Prod Data'!L:L,'Quipt Prod Data'!B:B),"")</f>
        <v/>
      </c>
      <c r="E404" s="1" t="str">
        <f>_xlfn.IFNA(_xlfn.XMATCH(Data[[#This Row],[unqid]],'Quipt Prod Data'!L:L,0),"")</f>
        <v/>
      </c>
      <c r="F404" s="1" t="str">
        <f>IF(COUNTIF('Quipt Prod Data'!L:L,Data[[#This Row],[unqid]])=0,"",COUNTIF('Quipt Prod Data'!L:L,Data[[#This Row],[unqid]]))</f>
        <v/>
      </c>
    </row>
    <row r="405" spans="1:6" x14ac:dyDescent="0.3">
      <c r="A405" t="s">
        <v>644</v>
      </c>
      <c r="B405" t="s">
        <v>26</v>
      </c>
      <c r="C405" t="s">
        <v>27</v>
      </c>
      <c r="D405" s="1" t="str">
        <f>_xlfn.IFNA(_xlfn.XLOOKUP(Data[[#This Row],[unqid]],'Quipt Prod Data'!L:L,'Quipt Prod Data'!B:B),"")</f>
        <v/>
      </c>
      <c r="E405" s="1" t="str">
        <f>_xlfn.IFNA(_xlfn.XMATCH(Data[[#This Row],[unqid]],'Quipt Prod Data'!L:L,0),"")</f>
        <v/>
      </c>
      <c r="F405" s="1" t="str">
        <f>IF(COUNTIF('Quipt Prod Data'!L:L,Data[[#This Row],[unqid]])=0,"",COUNTIF('Quipt Prod Data'!L:L,Data[[#This Row],[unqid]]))</f>
        <v/>
      </c>
    </row>
    <row r="406" spans="1:6" x14ac:dyDescent="0.3">
      <c r="A406" t="s">
        <v>645</v>
      </c>
      <c r="B406" t="s">
        <v>26</v>
      </c>
      <c r="C406" t="s">
        <v>27</v>
      </c>
      <c r="D406" s="1" t="str">
        <f>_xlfn.IFNA(_xlfn.XLOOKUP(Data[[#This Row],[unqid]],'Quipt Prod Data'!L:L,'Quipt Prod Data'!B:B),"")</f>
        <v/>
      </c>
      <c r="E406" s="1" t="str">
        <f>_xlfn.IFNA(_xlfn.XMATCH(Data[[#This Row],[unqid]],'Quipt Prod Data'!L:L,0),"")</f>
        <v/>
      </c>
      <c r="F406" s="1" t="str">
        <f>IF(COUNTIF('Quipt Prod Data'!L:L,Data[[#This Row],[unqid]])=0,"",COUNTIF('Quipt Prod Data'!L:L,Data[[#This Row],[unqid]]))</f>
        <v/>
      </c>
    </row>
    <row r="407" spans="1:6" x14ac:dyDescent="0.3">
      <c r="A407" t="s">
        <v>262</v>
      </c>
      <c r="B407" t="s">
        <v>26</v>
      </c>
      <c r="C407" t="s">
        <v>27</v>
      </c>
      <c r="D407" s="1" t="str">
        <f>_xlfn.IFNA(_xlfn.XLOOKUP(Data[[#This Row],[unqid]],'Quipt Prod Data'!L:L,'Quipt Prod Data'!B:B),"")</f>
        <v>Portal Quipt-Edocument</v>
      </c>
      <c r="E407" s="1">
        <f>_xlfn.IFNA(_xlfn.XMATCH(Data[[#This Row],[unqid]],'Quipt Prod Data'!L:L,0),"")</f>
        <v>60</v>
      </c>
      <c r="F407" s="1">
        <f>IF(COUNTIF('Quipt Prod Data'!L:L,Data[[#This Row],[unqid]])=0,"",COUNTIF('Quipt Prod Data'!L:L,Data[[#This Row],[unqid]]))</f>
        <v>1</v>
      </c>
    </row>
    <row r="408" spans="1:6" x14ac:dyDescent="0.3">
      <c r="A408" t="s">
        <v>646</v>
      </c>
      <c r="B408" t="s">
        <v>28</v>
      </c>
      <c r="C408" t="s">
        <v>27</v>
      </c>
      <c r="D408" s="1" t="str">
        <f>_xlfn.IFNA(_xlfn.XLOOKUP(Data[[#This Row],[unqid]],'Quipt Prod Data'!L:L,'Quipt Prod Data'!B:B),"")</f>
        <v/>
      </c>
      <c r="E408" s="1" t="str">
        <f>_xlfn.IFNA(_xlfn.XMATCH(Data[[#This Row],[unqid]],'Quipt Prod Data'!L:L,0),"")</f>
        <v/>
      </c>
      <c r="F408" s="1" t="str">
        <f>IF(COUNTIF('Quipt Prod Data'!L:L,Data[[#This Row],[unqid]])=0,"",COUNTIF('Quipt Prod Data'!L:L,Data[[#This Row],[unqid]]))</f>
        <v/>
      </c>
    </row>
    <row r="409" spans="1:6" x14ac:dyDescent="0.3">
      <c r="A409" t="s">
        <v>647</v>
      </c>
      <c r="B409" t="s">
        <v>26</v>
      </c>
      <c r="C409" t="s">
        <v>27</v>
      </c>
      <c r="D409" s="1" t="str">
        <f>_xlfn.IFNA(_xlfn.XLOOKUP(Data[[#This Row],[unqid]],'Quipt Prod Data'!L:L,'Quipt Prod Data'!B:B),"")</f>
        <v/>
      </c>
      <c r="E409" s="1" t="str">
        <f>_xlfn.IFNA(_xlfn.XMATCH(Data[[#This Row],[unqid]],'Quipt Prod Data'!L:L,0),"")</f>
        <v/>
      </c>
      <c r="F409" s="1" t="str">
        <f>IF(COUNTIF('Quipt Prod Data'!L:L,Data[[#This Row],[unqid]])=0,"",COUNTIF('Quipt Prod Data'!L:L,Data[[#This Row],[unqid]]))</f>
        <v/>
      </c>
    </row>
    <row r="410" spans="1:6" x14ac:dyDescent="0.3">
      <c r="A410" t="s">
        <v>648</v>
      </c>
      <c r="B410" t="s">
        <v>26</v>
      </c>
      <c r="C410" t="s">
        <v>27</v>
      </c>
      <c r="D410" s="1" t="str">
        <f>_xlfn.IFNA(_xlfn.XLOOKUP(Data[[#This Row],[unqid]],'Quipt Prod Data'!L:L,'Quipt Prod Data'!B:B),"")</f>
        <v/>
      </c>
      <c r="E410" s="1" t="str">
        <f>_xlfn.IFNA(_xlfn.XMATCH(Data[[#This Row],[unqid]],'Quipt Prod Data'!L:L,0),"")</f>
        <v/>
      </c>
      <c r="F410" s="1" t="str">
        <f>IF(COUNTIF('Quipt Prod Data'!L:L,Data[[#This Row],[unqid]])=0,"",COUNTIF('Quipt Prod Data'!L:L,Data[[#This Row],[unqid]]))</f>
        <v/>
      </c>
    </row>
    <row r="411" spans="1:6" x14ac:dyDescent="0.3">
      <c r="A411" t="s">
        <v>649</v>
      </c>
      <c r="B411" t="s">
        <v>26</v>
      </c>
      <c r="C411" t="s">
        <v>27</v>
      </c>
      <c r="D411" s="1" t="str">
        <f>_xlfn.IFNA(_xlfn.XLOOKUP(Data[[#This Row],[unqid]],'Quipt Prod Data'!L:L,'Quipt Prod Data'!B:B),"")</f>
        <v/>
      </c>
      <c r="E411" s="1" t="str">
        <f>_xlfn.IFNA(_xlfn.XMATCH(Data[[#This Row],[unqid]],'Quipt Prod Data'!L:L,0),"")</f>
        <v/>
      </c>
      <c r="F411" s="1" t="str">
        <f>IF(COUNTIF('Quipt Prod Data'!L:L,Data[[#This Row],[unqid]])=0,"",COUNTIF('Quipt Prod Data'!L:L,Data[[#This Row],[unqid]]))</f>
        <v/>
      </c>
    </row>
    <row r="412" spans="1:6" x14ac:dyDescent="0.3">
      <c r="A412" t="s">
        <v>283</v>
      </c>
      <c r="B412" t="s">
        <v>33</v>
      </c>
      <c r="C412" t="s">
        <v>27</v>
      </c>
      <c r="D412" s="1" t="str">
        <f>_xlfn.IFNA(_xlfn.XLOOKUP(Data[[#This Row],[unqid]],'Quipt Prod Data'!L:L,'Quipt Prod Data'!B:B),"")</f>
        <v>Portal Quipt-PTCall</v>
      </c>
      <c r="E412" s="1">
        <f>_xlfn.IFNA(_xlfn.XMATCH(Data[[#This Row],[unqid]],'Quipt Prod Data'!L:L,0),"")</f>
        <v>114</v>
      </c>
      <c r="F412" s="1">
        <f>IF(COUNTIF('Quipt Prod Data'!L:L,Data[[#This Row],[unqid]])=0,"",COUNTIF('Quipt Prod Data'!L:L,Data[[#This Row],[unqid]]))</f>
        <v>1</v>
      </c>
    </row>
    <row r="413" spans="1:6" x14ac:dyDescent="0.3">
      <c r="A413" t="s">
        <v>261</v>
      </c>
      <c r="B413" t="s">
        <v>26</v>
      </c>
      <c r="C413" t="s">
        <v>27</v>
      </c>
      <c r="D413" s="1" t="str">
        <f>_xlfn.IFNA(_xlfn.XLOOKUP(Data[[#This Row],[unqid]],'Quipt Prod Data'!L:L,'Quipt Prod Data'!B:B),"")</f>
        <v>Portal Quipt-Edocument</v>
      </c>
      <c r="E413" s="1">
        <f>_xlfn.IFNA(_xlfn.XMATCH(Data[[#This Row],[unqid]],'Quipt Prod Data'!L:L,0),"")</f>
        <v>59</v>
      </c>
      <c r="F413" s="1">
        <f>IF(COUNTIF('Quipt Prod Data'!L:L,Data[[#This Row],[unqid]])=0,"",COUNTIF('Quipt Prod Data'!L:L,Data[[#This Row],[unqid]]))</f>
        <v>1</v>
      </c>
    </row>
    <row r="414" spans="1:6" x14ac:dyDescent="0.3">
      <c r="A414" t="s">
        <v>650</v>
      </c>
      <c r="B414" t="s">
        <v>28</v>
      </c>
      <c r="C414" t="s">
        <v>27</v>
      </c>
      <c r="D414" s="1" t="str">
        <f>_xlfn.IFNA(_xlfn.XLOOKUP(Data[[#This Row],[unqid]],'Quipt Prod Data'!L:L,'Quipt Prod Data'!B:B),"")</f>
        <v/>
      </c>
      <c r="E414" s="1" t="str">
        <f>_xlfn.IFNA(_xlfn.XMATCH(Data[[#This Row],[unqid]],'Quipt Prod Data'!L:L,0),"")</f>
        <v/>
      </c>
      <c r="F414" s="1" t="str">
        <f>IF(COUNTIF('Quipt Prod Data'!L:L,Data[[#This Row],[unqid]])=0,"",COUNTIF('Quipt Prod Data'!L:L,Data[[#This Row],[unqid]]))</f>
        <v/>
      </c>
    </row>
    <row r="415" spans="1:6" x14ac:dyDescent="0.3">
      <c r="A415" t="s">
        <v>651</v>
      </c>
      <c r="B415" t="s">
        <v>26</v>
      </c>
      <c r="C415" t="s">
        <v>27</v>
      </c>
      <c r="D415" s="1" t="str">
        <f>_xlfn.IFNA(_xlfn.XLOOKUP(Data[[#This Row],[unqid]],'Quipt Prod Data'!L:L,'Quipt Prod Data'!B:B),"")</f>
        <v/>
      </c>
      <c r="E415" s="1" t="str">
        <f>_xlfn.IFNA(_xlfn.XMATCH(Data[[#This Row],[unqid]],'Quipt Prod Data'!L:L,0),"")</f>
        <v/>
      </c>
      <c r="F415" s="1" t="str">
        <f>IF(COUNTIF('Quipt Prod Data'!L:L,Data[[#This Row],[unqid]])=0,"",COUNTIF('Quipt Prod Data'!L:L,Data[[#This Row],[unqid]]))</f>
        <v/>
      </c>
    </row>
    <row r="416" spans="1:6" x14ac:dyDescent="0.3">
      <c r="A416" t="s">
        <v>652</v>
      </c>
      <c r="B416" t="s">
        <v>26</v>
      </c>
      <c r="C416" t="s">
        <v>27</v>
      </c>
      <c r="D416" s="1" t="str">
        <f>_xlfn.IFNA(_xlfn.XLOOKUP(Data[[#This Row],[unqid]],'Quipt Prod Data'!L:L,'Quipt Prod Data'!B:B),"")</f>
        <v/>
      </c>
      <c r="E416" s="1" t="str">
        <f>_xlfn.IFNA(_xlfn.XMATCH(Data[[#This Row],[unqid]],'Quipt Prod Data'!L:L,0),"")</f>
        <v/>
      </c>
      <c r="F416" s="1" t="str">
        <f>IF(COUNTIF('Quipt Prod Data'!L:L,Data[[#This Row],[unqid]])=0,"",COUNTIF('Quipt Prod Data'!L:L,Data[[#This Row],[unqid]]))</f>
        <v/>
      </c>
    </row>
    <row r="417" spans="1:6" x14ac:dyDescent="0.3">
      <c r="A417" t="s">
        <v>653</v>
      </c>
      <c r="B417" t="s">
        <v>26</v>
      </c>
      <c r="C417" t="s">
        <v>27</v>
      </c>
      <c r="D417" s="1" t="str">
        <f>_xlfn.IFNA(_xlfn.XLOOKUP(Data[[#This Row],[unqid]],'Quipt Prod Data'!L:L,'Quipt Prod Data'!B:B),"")</f>
        <v/>
      </c>
      <c r="E417" s="1" t="str">
        <f>_xlfn.IFNA(_xlfn.XMATCH(Data[[#This Row],[unqid]],'Quipt Prod Data'!L:L,0),"")</f>
        <v/>
      </c>
      <c r="F417" s="1" t="str">
        <f>IF(COUNTIF('Quipt Prod Data'!L:L,Data[[#This Row],[unqid]])=0,"",COUNTIF('Quipt Prod Data'!L:L,Data[[#This Row],[unqid]]))</f>
        <v/>
      </c>
    </row>
    <row r="418" spans="1:6" x14ac:dyDescent="0.3">
      <c r="A418" t="s">
        <v>654</v>
      </c>
      <c r="B418" t="s">
        <v>26</v>
      </c>
      <c r="C418" t="s">
        <v>27</v>
      </c>
      <c r="D418" s="1" t="str">
        <f>_xlfn.IFNA(_xlfn.XLOOKUP(Data[[#This Row],[unqid]],'Quipt Prod Data'!L:L,'Quipt Prod Data'!B:B),"")</f>
        <v/>
      </c>
      <c r="E418" s="1" t="str">
        <f>_xlfn.IFNA(_xlfn.XMATCH(Data[[#This Row],[unqid]],'Quipt Prod Data'!L:L,0),"")</f>
        <v/>
      </c>
      <c r="F418" s="1" t="str">
        <f>IF(COUNTIF('Quipt Prod Data'!L:L,Data[[#This Row],[unqid]])=0,"",COUNTIF('Quipt Prod Data'!L:L,Data[[#This Row],[unqid]]))</f>
        <v/>
      </c>
    </row>
    <row r="419" spans="1:6" x14ac:dyDescent="0.3">
      <c r="A419" t="s">
        <v>281</v>
      </c>
      <c r="B419" t="s">
        <v>34</v>
      </c>
      <c r="C419" t="s">
        <v>27</v>
      </c>
      <c r="D419" s="1" t="str">
        <f>_xlfn.IFNA(_xlfn.XLOOKUP(Data[[#This Row],[unqid]],'Quipt Prod Data'!L:L,'Quipt Prod Data'!B:B),"")</f>
        <v>Portal Quipt-PTCall</v>
      </c>
      <c r="E419" s="1">
        <f>_xlfn.IFNA(_xlfn.XMATCH(Data[[#This Row],[unqid]],'Quipt Prod Data'!L:L,0),"")</f>
        <v>111</v>
      </c>
      <c r="F419" s="1">
        <f>IF(COUNTIF('Quipt Prod Data'!L:L,Data[[#This Row],[unqid]])=0,"",COUNTIF('Quipt Prod Data'!L:L,Data[[#This Row],[unqid]]))</f>
        <v>1</v>
      </c>
    </row>
    <row r="420" spans="1:6" x14ac:dyDescent="0.3">
      <c r="A420" t="s">
        <v>655</v>
      </c>
      <c r="B420" t="s">
        <v>26</v>
      </c>
      <c r="C420" t="s">
        <v>27</v>
      </c>
      <c r="D420" s="1" t="str">
        <f>_xlfn.IFNA(_xlfn.XLOOKUP(Data[[#This Row],[unqid]],'Quipt Prod Data'!L:L,'Quipt Prod Data'!B:B),"")</f>
        <v/>
      </c>
      <c r="E420" s="1" t="str">
        <f>_xlfn.IFNA(_xlfn.XMATCH(Data[[#This Row],[unqid]],'Quipt Prod Data'!L:L,0),"")</f>
        <v/>
      </c>
      <c r="F420" s="1" t="str">
        <f>IF(COUNTIF('Quipt Prod Data'!L:L,Data[[#This Row],[unqid]])=0,"",COUNTIF('Quipt Prod Data'!L:L,Data[[#This Row],[unqid]]))</f>
        <v/>
      </c>
    </row>
    <row r="421" spans="1:6" x14ac:dyDescent="0.3">
      <c r="A421" t="s">
        <v>656</v>
      </c>
      <c r="B421" t="s">
        <v>32</v>
      </c>
      <c r="C421" t="s">
        <v>27</v>
      </c>
      <c r="D421" s="1" t="str">
        <f>_xlfn.IFNA(_xlfn.XLOOKUP(Data[[#This Row],[unqid]],'Quipt Prod Data'!L:L,'Quipt Prod Data'!B:B),"")</f>
        <v/>
      </c>
      <c r="E421" s="1" t="str">
        <f>_xlfn.IFNA(_xlfn.XMATCH(Data[[#This Row],[unqid]],'Quipt Prod Data'!L:L,0),"")</f>
        <v/>
      </c>
      <c r="F421" s="1" t="str">
        <f>IF(COUNTIF('Quipt Prod Data'!L:L,Data[[#This Row],[unqid]])=0,"",COUNTIF('Quipt Prod Data'!L:L,Data[[#This Row],[unqid]]))</f>
        <v/>
      </c>
    </row>
    <row r="422" spans="1:6" x14ac:dyDescent="0.3">
      <c r="A422" t="s">
        <v>657</v>
      </c>
      <c r="B422" t="s">
        <v>26</v>
      </c>
      <c r="C422" t="s">
        <v>27</v>
      </c>
      <c r="D422" s="1" t="str">
        <f>_xlfn.IFNA(_xlfn.XLOOKUP(Data[[#This Row],[unqid]],'Quipt Prod Data'!L:L,'Quipt Prod Data'!B:B),"")</f>
        <v/>
      </c>
      <c r="E422" s="1" t="str">
        <f>_xlfn.IFNA(_xlfn.XMATCH(Data[[#This Row],[unqid]],'Quipt Prod Data'!L:L,0),"")</f>
        <v/>
      </c>
      <c r="F422" s="1" t="str">
        <f>IF(COUNTIF('Quipt Prod Data'!L:L,Data[[#This Row],[unqid]])=0,"",COUNTIF('Quipt Prod Data'!L:L,Data[[#This Row],[unqid]]))</f>
        <v/>
      </c>
    </row>
    <row r="423" spans="1:6" x14ac:dyDescent="0.3">
      <c r="A423" t="s">
        <v>658</v>
      </c>
      <c r="B423" t="s">
        <v>26</v>
      </c>
      <c r="C423" t="s">
        <v>27</v>
      </c>
      <c r="D423" s="1" t="str">
        <f>_xlfn.IFNA(_xlfn.XLOOKUP(Data[[#This Row],[unqid]],'Quipt Prod Data'!L:L,'Quipt Prod Data'!B:B),"")</f>
        <v/>
      </c>
      <c r="E423" s="1" t="str">
        <f>_xlfn.IFNA(_xlfn.XMATCH(Data[[#This Row],[unqid]],'Quipt Prod Data'!L:L,0),"")</f>
        <v/>
      </c>
      <c r="F423" s="1" t="str">
        <f>IF(COUNTIF('Quipt Prod Data'!L:L,Data[[#This Row],[unqid]])=0,"",COUNTIF('Quipt Prod Data'!L:L,Data[[#This Row],[unqid]]))</f>
        <v/>
      </c>
    </row>
    <row r="424" spans="1:6" x14ac:dyDescent="0.3">
      <c r="A424" t="s">
        <v>659</v>
      </c>
      <c r="B424" t="s">
        <v>26</v>
      </c>
      <c r="C424" t="s">
        <v>27</v>
      </c>
      <c r="D424" s="1" t="str">
        <f>_xlfn.IFNA(_xlfn.XLOOKUP(Data[[#This Row],[unqid]],'Quipt Prod Data'!L:L,'Quipt Prod Data'!B:B),"")</f>
        <v/>
      </c>
      <c r="E424" s="1" t="str">
        <f>_xlfn.IFNA(_xlfn.XMATCH(Data[[#This Row],[unqid]],'Quipt Prod Data'!L:L,0),"")</f>
        <v/>
      </c>
      <c r="F424" s="1" t="str">
        <f>IF(COUNTIF('Quipt Prod Data'!L:L,Data[[#This Row],[unqid]])=0,"",COUNTIF('Quipt Prod Data'!L:L,Data[[#This Row],[unqid]]))</f>
        <v/>
      </c>
    </row>
    <row r="425" spans="1:6" x14ac:dyDescent="0.3">
      <c r="A425" t="s">
        <v>660</v>
      </c>
      <c r="B425" t="s">
        <v>26</v>
      </c>
      <c r="C425" t="s">
        <v>27</v>
      </c>
      <c r="D425" s="1" t="str">
        <f>_xlfn.IFNA(_xlfn.XLOOKUP(Data[[#This Row],[unqid]],'Quipt Prod Data'!L:L,'Quipt Prod Data'!B:B),"")</f>
        <v/>
      </c>
      <c r="E425" s="1" t="str">
        <f>_xlfn.IFNA(_xlfn.XMATCH(Data[[#This Row],[unqid]],'Quipt Prod Data'!L:L,0),"")</f>
        <v/>
      </c>
      <c r="F425" s="1" t="str">
        <f>IF(COUNTIF('Quipt Prod Data'!L:L,Data[[#This Row],[unqid]])=0,"",COUNTIF('Quipt Prod Data'!L:L,Data[[#This Row],[unqid]]))</f>
        <v/>
      </c>
    </row>
    <row r="426" spans="1:6" x14ac:dyDescent="0.3">
      <c r="A426" t="s">
        <v>661</v>
      </c>
      <c r="B426" t="s">
        <v>32</v>
      </c>
      <c r="C426" t="s">
        <v>27</v>
      </c>
      <c r="D426" s="1" t="str">
        <f>_xlfn.IFNA(_xlfn.XLOOKUP(Data[[#This Row],[unqid]],'Quipt Prod Data'!L:L,'Quipt Prod Data'!B:B),"")</f>
        <v/>
      </c>
      <c r="E426" s="1" t="str">
        <f>_xlfn.IFNA(_xlfn.XMATCH(Data[[#This Row],[unqid]],'Quipt Prod Data'!L:L,0),"")</f>
        <v/>
      </c>
      <c r="F426" s="1" t="str">
        <f>IF(COUNTIF('Quipt Prod Data'!L:L,Data[[#This Row],[unqid]])=0,"",COUNTIF('Quipt Prod Data'!L:L,Data[[#This Row],[unqid]]))</f>
        <v/>
      </c>
    </row>
    <row r="427" spans="1:6" x14ac:dyDescent="0.3">
      <c r="A427" t="s">
        <v>662</v>
      </c>
      <c r="B427" t="s">
        <v>26</v>
      </c>
      <c r="C427" t="s">
        <v>27</v>
      </c>
      <c r="D427" s="1" t="str">
        <f>_xlfn.IFNA(_xlfn.XLOOKUP(Data[[#This Row],[unqid]],'Quipt Prod Data'!L:L,'Quipt Prod Data'!B:B),"")</f>
        <v/>
      </c>
      <c r="E427" s="1" t="str">
        <f>_xlfn.IFNA(_xlfn.XMATCH(Data[[#This Row],[unqid]],'Quipt Prod Data'!L:L,0),"")</f>
        <v/>
      </c>
      <c r="F427" s="1" t="str">
        <f>IF(COUNTIF('Quipt Prod Data'!L:L,Data[[#This Row],[unqid]])=0,"",COUNTIF('Quipt Prod Data'!L:L,Data[[#This Row],[unqid]]))</f>
        <v/>
      </c>
    </row>
    <row r="428" spans="1:6" x14ac:dyDescent="0.3">
      <c r="A428" t="s">
        <v>663</v>
      </c>
      <c r="B428" t="s">
        <v>26</v>
      </c>
      <c r="C428" t="s">
        <v>27</v>
      </c>
      <c r="D428" s="1" t="str">
        <f>_xlfn.IFNA(_xlfn.XLOOKUP(Data[[#This Row],[unqid]],'Quipt Prod Data'!L:L,'Quipt Prod Data'!B:B),"")</f>
        <v/>
      </c>
      <c r="E428" s="1" t="str">
        <f>_xlfn.IFNA(_xlfn.XMATCH(Data[[#This Row],[unqid]],'Quipt Prod Data'!L:L,0),"")</f>
        <v/>
      </c>
      <c r="F428" s="1" t="str">
        <f>IF(COUNTIF('Quipt Prod Data'!L:L,Data[[#This Row],[unqid]])=0,"",COUNTIF('Quipt Prod Data'!L:L,Data[[#This Row],[unqid]]))</f>
        <v/>
      </c>
    </row>
    <row r="429" spans="1:6" x14ac:dyDescent="0.3">
      <c r="A429" t="s">
        <v>664</v>
      </c>
      <c r="B429" t="s">
        <v>26</v>
      </c>
      <c r="C429" t="s">
        <v>27</v>
      </c>
      <c r="D429" s="1" t="str">
        <f>_xlfn.IFNA(_xlfn.XLOOKUP(Data[[#This Row],[unqid]],'Quipt Prod Data'!L:L,'Quipt Prod Data'!B:B),"")</f>
        <v/>
      </c>
      <c r="E429" s="1" t="str">
        <f>_xlfn.IFNA(_xlfn.XMATCH(Data[[#This Row],[unqid]],'Quipt Prod Data'!L:L,0),"")</f>
        <v/>
      </c>
      <c r="F429" s="1" t="str">
        <f>IF(COUNTIF('Quipt Prod Data'!L:L,Data[[#This Row],[unqid]])=0,"",COUNTIF('Quipt Prod Data'!L:L,Data[[#This Row],[unqid]]))</f>
        <v/>
      </c>
    </row>
    <row r="430" spans="1:6" x14ac:dyDescent="0.3">
      <c r="A430" t="s">
        <v>665</v>
      </c>
      <c r="B430" t="s">
        <v>26</v>
      </c>
      <c r="C430" t="s">
        <v>27</v>
      </c>
      <c r="D430" s="1" t="str">
        <f>_xlfn.IFNA(_xlfn.XLOOKUP(Data[[#This Row],[unqid]],'Quipt Prod Data'!L:L,'Quipt Prod Data'!B:B),"")</f>
        <v/>
      </c>
      <c r="E430" s="1" t="str">
        <f>_xlfn.IFNA(_xlfn.XMATCH(Data[[#This Row],[unqid]],'Quipt Prod Data'!L:L,0),"")</f>
        <v/>
      </c>
      <c r="F430" s="1" t="str">
        <f>IF(COUNTIF('Quipt Prod Data'!L:L,Data[[#This Row],[unqid]])=0,"",COUNTIF('Quipt Prod Data'!L:L,Data[[#This Row],[unqid]]))</f>
        <v/>
      </c>
    </row>
    <row r="431" spans="1:6" x14ac:dyDescent="0.3">
      <c r="A431" t="s">
        <v>666</v>
      </c>
      <c r="B431" t="s">
        <v>32</v>
      </c>
      <c r="C431" t="s">
        <v>27</v>
      </c>
      <c r="D431" s="1" t="str">
        <f>_xlfn.IFNA(_xlfn.XLOOKUP(Data[[#This Row],[unqid]],'Quipt Prod Data'!L:L,'Quipt Prod Data'!B:B),"")</f>
        <v/>
      </c>
      <c r="E431" s="1" t="str">
        <f>_xlfn.IFNA(_xlfn.XMATCH(Data[[#This Row],[unqid]],'Quipt Prod Data'!L:L,0),"")</f>
        <v/>
      </c>
      <c r="F431" s="1" t="str">
        <f>IF(COUNTIF('Quipt Prod Data'!L:L,Data[[#This Row],[unqid]])=0,"",COUNTIF('Quipt Prod Data'!L:L,Data[[#This Row],[unqid]]))</f>
        <v/>
      </c>
    </row>
    <row r="432" spans="1:6" x14ac:dyDescent="0.3">
      <c r="A432" t="s">
        <v>667</v>
      </c>
      <c r="B432" t="s">
        <v>26</v>
      </c>
      <c r="C432" t="s">
        <v>27</v>
      </c>
      <c r="D432" s="1" t="str">
        <f>_xlfn.IFNA(_xlfn.XLOOKUP(Data[[#This Row],[unqid]],'Quipt Prod Data'!L:L,'Quipt Prod Data'!B:B),"")</f>
        <v/>
      </c>
      <c r="E432" s="1" t="str">
        <f>_xlfn.IFNA(_xlfn.XMATCH(Data[[#This Row],[unqid]],'Quipt Prod Data'!L:L,0),"")</f>
        <v/>
      </c>
      <c r="F432" s="1" t="str">
        <f>IF(COUNTIF('Quipt Prod Data'!L:L,Data[[#This Row],[unqid]])=0,"",COUNTIF('Quipt Prod Data'!L:L,Data[[#This Row],[unqid]]))</f>
        <v/>
      </c>
    </row>
    <row r="433" spans="1:6" x14ac:dyDescent="0.3">
      <c r="A433" t="s">
        <v>668</v>
      </c>
      <c r="B433" t="s">
        <v>26</v>
      </c>
      <c r="C433" t="s">
        <v>27</v>
      </c>
      <c r="D433" s="1" t="str">
        <f>_xlfn.IFNA(_xlfn.XLOOKUP(Data[[#This Row],[unqid]],'Quipt Prod Data'!L:L,'Quipt Prod Data'!B:B),"")</f>
        <v/>
      </c>
      <c r="E433" s="1" t="str">
        <f>_xlfn.IFNA(_xlfn.XMATCH(Data[[#This Row],[unqid]],'Quipt Prod Data'!L:L,0),"")</f>
        <v/>
      </c>
      <c r="F433" s="1" t="str">
        <f>IF(COUNTIF('Quipt Prod Data'!L:L,Data[[#This Row],[unqid]])=0,"",COUNTIF('Quipt Prod Data'!L:L,Data[[#This Row],[unqid]]))</f>
        <v/>
      </c>
    </row>
    <row r="434" spans="1:6" x14ac:dyDescent="0.3">
      <c r="A434" t="s">
        <v>669</v>
      </c>
      <c r="B434" t="s">
        <v>26</v>
      </c>
      <c r="C434" t="s">
        <v>27</v>
      </c>
      <c r="D434" s="1" t="str">
        <f>_xlfn.IFNA(_xlfn.XLOOKUP(Data[[#This Row],[unqid]],'Quipt Prod Data'!L:L,'Quipt Prod Data'!B:B),"")</f>
        <v/>
      </c>
      <c r="E434" s="1" t="str">
        <f>_xlfn.IFNA(_xlfn.XMATCH(Data[[#This Row],[unqid]],'Quipt Prod Data'!L:L,0),"")</f>
        <v/>
      </c>
      <c r="F434" s="1" t="str">
        <f>IF(COUNTIF('Quipt Prod Data'!L:L,Data[[#This Row],[unqid]])=0,"",COUNTIF('Quipt Prod Data'!L:L,Data[[#This Row],[unqid]]))</f>
        <v/>
      </c>
    </row>
    <row r="435" spans="1:6" x14ac:dyDescent="0.3">
      <c r="A435" t="s">
        <v>670</v>
      </c>
      <c r="B435" t="s">
        <v>30</v>
      </c>
      <c r="C435" t="s">
        <v>27</v>
      </c>
      <c r="D435" s="1" t="str">
        <f>_xlfn.IFNA(_xlfn.XLOOKUP(Data[[#This Row],[unqid]],'Quipt Prod Data'!L:L,'Quipt Prod Data'!B:B),"")</f>
        <v/>
      </c>
      <c r="E435" s="1" t="str">
        <f>_xlfn.IFNA(_xlfn.XMATCH(Data[[#This Row],[unqid]],'Quipt Prod Data'!L:L,0),"")</f>
        <v/>
      </c>
      <c r="F435" s="1" t="str">
        <f>IF(COUNTIF('Quipt Prod Data'!L:L,Data[[#This Row],[unqid]])=0,"",COUNTIF('Quipt Prod Data'!L:L,Data[[#This Row],[unqid]]))</f>
        <v/>
      </c>
    </row>
    <row r="436" spans="1:6" x14ac:dyDescent="0.3">
      <c r="A436" t="s">
        <v>671</v>
      </c>
      <c r="B436" t="s">
        <v>26</v>
      </c>
      <c r="C436" t="s">
        <v>27</v>
      </c>
      <c r="D436" s="1" t="str">
        <f>_xlfn.IFNA(_xlfn.XLOOKUP(Data[[#This Row],[unqid]],'Quipt Prod Data'!L:L,'Quipt Prod Data'!B:B),"")</f>
        <v/>
      </c>
      <c r="E436" s="1" t="str">
        <f>_xlfn.IFNA(_xlfn.XMATCH(Data[[#This Row],[unqid]],'Quipt Prod Data'!L:L,0),"")</f>
        <v/>
      </c>
      <c r="F436" s="1" t="str">
        <f>IF(COUNTIF('Quipt Prod Data'!L:L,Data[[#This Row],[unqid]])=0,"",COUNTIF('Quipt Prod Data'!L:L,Data[[#This Row],[unqid]]))</f>
        <v/>
      </c>
    </row>
    <row r="437" spans="1:6" x14ac:dyDescent="0.3">
      <c r="A437" t="s">
        <v>672</v>
      </c>
      <c r="B437" t="s">
        <v>26</v>
      </c>
      <c r="C437" t="s">
        <v>27</v>
      </c>
      <c r="D437" s="1" t="str">
        <f>_xlfn.IFNA(_xlfn.XLOOKUP(Data[[#This Row],[unqid]],'Quipt Prod Data'!L:L,'Quipt Prod Data'!B:B),"")</f>
        <v/>
      </c>
      <c r="E437" s="1" t="str">
        <f>_xlfn.IFNA(_xlfn.XMATCH(Data[[#This Row],[unqid]],'Quipt Prod Data'!L:L,0),"")</f>
        <v/>
      </c>
      <c r="F437" s="1" t="str">
        <f>IF(COUNTIF('Quipt Prod Data'!L:L,Data[[#This Row],[unqid]])=0,"",COUNTIF('Quipt Prod Data'!L:L,Data[[#This Row],[unqid]]))</f>
        <v/>
      </c>
    </row>
    <row r="438" spans="1:6" x14ac:dyDescent="0.3">
      <c r="A438" t="s">
        <v>673</v>
      </c>
      <c r="B438" t="s">
        <v>26</v>
      </c>
      <c r="C438" t="s">
        <v>27</v>
      </c>
      <c r="D438" s="1" t="str">
        <f>_xlfn.IFNA(_xlfn.XLOOKUP(Data[[#This Row],[unqid]],'Quipt Prod Data'!L:L,'Quipt Prod Data'!B:B),"")</f>
        <v/>
      </c>
      <c r="E438" s="1" t="str">
        <f>_xlfn.IFNA(_xlfn.XMATCH(Data[[#This Row],[unqid]],'Quipt Prod Data'!L:L,0),"")</f>
        <v/>
      </c>
      <c r="F438" s="1" t="str">
        <f>IF(COUNTIF('Quipt Prod Data'!L:L,Data[[#This Row],[unqid]])=0,"",COUNTIF('Quipt Prod Data'!L:L,Data[[#This Row],[unqid]]))</f>
        <v/>
      </c>
    </row>
    <row r="439" spans="1:6" x14ac:dyDescent="0.3">
      <c r="A439" t="s">
        <v>674</v>
      </c>
      <c r="B439" t="s">
        <v>26</v>
      </c>
      <c r="C439" t="s">
        <v>27</v>
      </c>
      <c r="D439" s="1" t="str">
        <f>_xlfn.IFNA(_xlfn.XLOOKUP(Data[[#This Row],[unqid]],'Quipt Prod Data'!L:L,'Quipt Prod Data'!B:B),"")</f>
        <v/>
      </c>
      <c r="E439" s="1" t="str">
        <f>_xlfn.IFNA(_xlfn.XMATCH(Data[[#This Row],[unqid]],'Quipt Prod Data'!L:L,0),"")</f>
        <v/>
      </c>
      <c r="F439" s="1" t="str">
        <f>IF(COUNTIF('Quipt Prod Data'!L:L,Data[[#This Row],[unqid]])=0,"",COUNTIF('Quipt Prod Data'!L:L,Data[[#This Row],[unqid]]))</f>
        <v/>
      </c>
    </row>
    <row r="440" spans="1:6" x14ac:dyDescent="0.3">
      <c r="A440" t="s">
        <v>675</v>
      </c>
      <c r="B440" t="s">
        <v>26</v>
      </c>
      <c r="C440" t="s">
        <v>27</v>
      </c>
      <c r="D440" s="1" t="str">
        <f>_xlfn.IFNA(_xlfn.XLOOKUP(Data[[#This Row],[unqid]],'Quipt Prod Data'!L:L,'Quipt Prod Data'!B:B),"")</f>
        <v/>
      </c>
      <c r="E440" s="1" t="str">
        <f>_xlfn.IFNA(_xlfn.XMATCH(Data[[#This Row],[unqid]],'Quipt Prod Data'!L:L,0),"")</f>
        <v/>
      </c>
      <c r="F440" s="1" t="str">
        <f>IF(COUNTIF('Quipt Prod Data'!L:L,Data[[#This Row],[unqid]])=0,"",COUNTIF('Quipt Prod Data'!L:L,Data[[#This Row],[unqid]]))</f>
        <v/>
      </c>
    </row>
    <row r="441" spans="1:6" x14ac:dyDescent="0.3">
      <c r="A441" t="s">
        <v>676</v>
      </c>
      <c r="B441" t="s">
        <v>26</v>
      </c>
      <c r="C441" t="s">
        <v>27</v>
      </c>
      <c r="D441" s="1" t="str">
        <f>_xlfn.IFNA(_xlfn.XLOOKUP(Data[[#This Row],[unqid]],'Quipt Prod Data'!L:L,'Quipt Prod Data'!B:B),"")</f>
        <v/>
      </c>
      <c r="E441" s="1" t="str">
        <f>_xlfn.IFNA(_xlfn.XMATCH(Data[[#This Row],[unqid]],'Quipt Prod Data'!L:L,0),"")</f>
        <v/>
      </c>
      <c r="F441" s="1" t="str">
        <f>IF(COUNTIF('Quipt Prod Data'!L:L,Data[[#This Row],[unqid]])=0,"",COUNTIF('Quipt Prod Data'!L:L,Data[[#This Row],[unqid]]))</f>
        <v/>
      </c>
    </row>
    <row r="442" spans="1:6" x14ac:dyDescent="0.3">
      <c r="A442" t="s">
        <v>677</v>
      </c>
      <c r="B442" t="s">
        <v>26</v>
      </c>
      <c r="C442" t="s">
        <v>27</v>
      </c>
      <c r="D442" s="1" t="str">
        <f>_xlfn.IFNA(_xlfn.XLOOKUP(Data[[#This Row],[unqid]],'Quipt Prod Data'!L:L,'Quipt Prod Data'!B:B),"")</f>
        <v/>
      </c>
      <c r="E442" s="1" t="str">
        <f>_xlfn.IFNA(_xlfn.XMATCH(Data[[#This Row],[unqid]],'Quipt Prod Data'!L:L,0),"")</f>
        <v/>
      </c>
      <c r="F442" s="1" t="str">
        <f>IF(COUNTIF('Quipt Prod Data'!L:L,Data[[#This Row],[unqid]])=0,"",COUNTIF('Quipt Prod Data'!L:L,Data[[#This Row],[unqid]]))</f>
        <v/>
      </c>
    </row>
    <row r="443" spans="1:6" x14ac:dyDescent="0.3">
      <c r="A443" t="s">
        <v>678</v>
      </c>
      <c r="B443" t="s">
        <v>29</v>
      </c>
      <c r="C443" t="s">
        <v>27</v>
      </c>
      <c r="D443" s="1" t="str">
        <f>_xlfn.IFNA(_xlfn.XLOOKUP(Data[[#This Row],[unqid]],'Quipt Prod Data'!L:L,'Quipt Prod Data'!B:B),"")</f>
        <v/>
      </c>
      <c r="E443" s="1" t="str">
        <f>_xlfn.IFNA(_xlfn.XMATCH(Data[[#This Row],[unqid]],'Quipt Prod Data'!L:L,0),"")</f>
        <v/>
      </c>
      <c r="F443" s="1" t="str">
        <f>IF(COUNTIF('Quipt Prod Data'!L:L,Data[[#This Row],[unqid]])=0,"",COUNTIF('Quipt Prod Data'!L:L,Data[[#This Row],[unqid]]))</f>
        <v/>
      </c>
    </row>
    <row r="444" spans="1:6" x14ac:dyDescent="0.3">
      <c r="A444" t="s">
        <v>679</v>
      </c>
      <c r="B444" t="s">
        <v>26</v>
      </c>
      <c r="C444" t="s">
        <v>27</v>
      </c>
      <c r="D444" s="1" t="str">
        <f>_xlfn.IFNA(_xlfn.XLOOKUP(Data[[#This Row],[unqid]],'Quipt Prod Data'!L:L,'Quipt Prod Data'!B:B),"")</f>
        <v/>
      </c>
      <c r="E444" s="1" t="str">
        <f>_xlfn.IFNA(_xlfn.XMATCH(Data[[#This Row],[unqid]],'Quipt Prod Data'!L:L,0),"")</f>
        <v/>
      </c>
      <c r="F444" s="1" t="str">
        <f>IF(COUNTIF('Quipt Prod Data'!L:L,Data[[#This Row],[unqid]])=0,"",COUNTIF('Quipt Prod Data'!L:L,Data[[#This Row],[unqid]]))</f>
        <v/>
      </c>
    </row>
    <row r="445" spans="1:6" x14ac:dyDescent="0.3">
      <c r="A445" t="s">
        <v>680</v>
      </c>
      <c r="B445" t="s">
        <v>26</v>
      </c>
      <c r="C445" t="s">
        <v>27</v>
      </c>
      <c r="D445" s="1" t="str">
        <f>_xlfn.IFNA(_xlfn.XLOOKUP(Data[[#This Row],[unqid]],'Quipt Prod Data'!L:L,'Quipt Prod Data'!B:B),"")</f>
        <v/>
      </c>
      <c r="E445" s="1" t="str">
        <f>_xlfn.IFNA(_xlfn.XMATCH(Data[[#This Row],[unqid]],'Quipt Prod Data'!L:L,0),"")</f>
        <v/>
      </c>
      <c r="F445" s="1" t="str">
        <f>IF(COUNTIF('Quipt Prod Data'!L:L,Data[[#This Row],[unqid]])=0,"",COUNTIF('Quipt Prod Data'!L:L,Data[[#This Row],[unqid]]))</f>
        <v/>
      </c>
    </row>
    <row r="446" spans="1:6" x14ac:dyDescent="0.3">
      <c r="A446" t="s">
        <v>681</v>
      </c>
      <c r="B446" t="s">
        <v>26</v>
      </c>
      <c r="C446" t="s">
        <v>27</v>
      </c>
      <c r="D446" s="1" t="str">
        <f>_xlfn.IFNA(_xlfn.XLOOKUP(Data[[#This Row],[unqid]],'Quipt Prod Data'!L:L,'Quipt Prod Data'!B:B),"")</f>
        <v/>
      </c>
      <c r="E446" s="1" t="str">
        <f>_xlfn.IFNA(_xlfn.XMATCH(Data[[#This Row],[unqid]],'Quipt Prod Data'!L:L,0),"")</f>
        <v/>
      </c>
      <c r="F446" s="1" t="str">
        <f>IF(COUNTIF('Quipt Prod Data'!L:L,Data[[#This Row],[unqid]])=0,"",COUNTIF('Quipt Prod Data'!L:L,Data[[#This Row],[unqid]]))</f>
        <v/>
      </c>
    </row>
    <row r="447" spans="1:6" x14ac:dyDescent="0.3">
      <c r="A447" t="s">
        <v>682</v>
      </c>
      <c r="B447" t="s">
        <v>26</v>
      </c>
      <c r="C447" t="s">
        <v>27</v>
      </c>
      <c r="D447" s="1" t="str">
        <f>_xlfn.IFNA(_xlfn.XLOOKUP(Data[[#This Row],[unqid]],'Quipt Prod Data'!L:L,'Quipt Prod Data'!B:B),"")</f>
        <v/>
      </c>
      <c r="E447" s="1" t="str">
        <f>_xlfn.IFNA(_xlfn.XMATCH(Data[[#This Row],[unqid]],'Quipt Prod Data'!L:L,0),"")</f>
        <v/>
      </c>
      <c r="F447" s="1" t="str">
        <f>IF(COUNTIF('Quipt Prod Data'!L:L,Data[[#This Row],[unqid]])=0,"",COUNTIF('Quipt Prod Data'!L:L,Data[[#This Row],[unqid]]))</f>
        <v/>
      </c>
    </row>
    <row r="448" spans="1:6" x14ac:dyDescent="0.3">
      <c r="A448" t="s">
        <v>683</v>
      </c>
      <c r="B448" t="s">
        <v>26</v>
      </c>
      <c r="C448" t="s">
        <v>27</v>
      </c>
      <c r="D448" s="1" t="str">
        <f>_xlfn.IFNA(_xlfn.XLOOKUP(Data[[#This Row],[unqid]],'Quipt Prod Data'!L:L,'Quipt Prod Data'!B:B),"")</f>
        <v/>
      </c>
      <c r="E448" s="1" t="str">
        <f>_xlfn.IFNA(_xlfn.XMATCH(Data[[#This Row],[unqid]],'Quipt Prod Data'!L:L,0),"")</f>
        <v/>
      </c>
      <c r="F448" s="1" t="str">
        <f>IF(COUNTIF('Quipt Prod Data'!L:L,Data[[#This Row],[unqid]])=0,"",COUNTIF('Quipt Prod Data'!L:L,Data[[#This Row],[unqid]]))</f>
        <v/>
      </c>
    </row>
    <row r="449" spans="1:6" x14ac:dyDescent="0.3">
      <c r="A449" t="s">
        <v>272</v>
      </c>
      <c r="B449" t="s">
        <v>34</v>
      </c>
      <c r="C449" t="s">
        <v>27</v>
      </c>
      <c r="D449" s="1" t="str">
        <f>_xlfn.IFNA(_xlfn.XLOOKUP(Data[[#This Row],[unqid]],'Quipt Prod Data'!L:L,'Quipt Prod Data'!B:B),"")</f>
        <v>Portal Quipt-PTCall</v>
      </c>
      <c r="E449" s="1">
        <f>_xlfn.IFNA(_xlfn.XMATCH(Data[[#This Row],[unqid]],'Quipt Prod Data'!L:L,0),"")</f>
        <v>102</v>
      </c>
      <c r="F449" s="1">
        <f>IF(COUNTIF('Quipt Prod Data'!L:L,Data[[#This Row],[unqid]])=0,"",COUNTIF('Quipt Prod Data'!L:L,Data[[#This Row],[unqid]]))</f>
        <v>1</v>
      </c>
    </row>
    <row r="450" spans="1:6" x14ac:dyDescent="0.3">
      <c r="A450" t="s">
        <v>684</v>
      </c>
      <c r="B450" t="s">
        <v>26</v>
      </c>
      <c r="C450" t="s">
        <v>27</v>
      </c>
      <c r="D450" s="1" t="str">
        <f>_xlfn.IFNA(_xlfn.XLOOKUP(Data[[#This Row],[unqid]],'Quipt Prod Data'!L:L,'Quipt Prod Data'!B:B),"")</f>
        <v/>
      </c>
      <c r="E450" s="1" t="str">
        <f>_xlfn.IFNA(_xlfn.XMATCH(Data[[#This Row],[unqid]],'Quipt Prod Data'!L:L,0),"")</f>
        <v/>
      </c>
      <c r="F450" s="1" t="str">
        <f>IF(COUNTIF('Quipt Prod Data'!L:L,Data[[#This Row],[unqid]])=0,"",COUNTIF('Quipt Prod Data'!L:L,Data[[#This Row],[unqid]]))</f>
        <v/>
      </c>
    </row>
    <row r="451" spans="1:6" x14ac:dyDescent="0.3">
      <c r="A451" t="s">
        <v>273</v>
      </c>
      <c r="B451" t="s">
        <v>32</v>
      </c>
      <c r="C451" t="s">
        <v>27</v>
      </c>
      <c r="D451" s="1" t="str">
        <f>_xlfn.IFNA(_xlfn.XLOOKUP(Data[[#This Row],[unqid]],'Quipt Prod Data'!L:L,'Quipt Prod Data'!B:B),"")</f>
        <v>Portal Quipt-PTCall</v>
      </c>
      <c r="E451" s="1">
        <f>_xlfn.IFNA(_xlfn.XMATCH(Data[[#This Row],[unqid]],'Quipt Prod Data'!L:L,0),"")</f>
        <v>103</v>
      </c>
      <c r="F451" s="1">
        <f>IF(COUNTIF('Quipt Prod Data'!L:L,Data[[#This Row],[unqid]])=0,"",COUNTIF('Quipt Prod Data'!L:L,Data[[#This Row],[unqid]]))</f>
        <v>1</v>
      </c>
    </row>
    <row r="452" spans="1:6" x14ac:dyDescent="0.3">
      <c r="A452" t="s">
        <v>260</v>
      </c>
      <c r="B452" t="s">
        <v>26</v>
      </c>
      <c r="C452" t="s">
        <v>27</v>
      </c>
      <c r="D452" s="1" t="str">
        <f>_xlfn.IFNA(_xlfn.XLOOKUP(Data[[#This Row],[unqid]],'Quipt Prod Data'!L:L,'Quipt Prod Data'!B:B),"")</f>
        <v>Portal Quipt-Edocument</v>
      </c>
      <c r="E452" s="1">
        <f>_xlfn.IFNA(_xlfn.XMATCH(Data[[#This Row],[unqid]],'Quipt Prod Data'!L:L,0),"")</f>
        <v>58</v>
      </c>
      <c r="F452" s="1">
        <f>IF(COUNTIF('Quipt Prod Data'!L:L,Data[[#This Row],[unqid]])=0,"",COUNTIF('Quipt Prod Data'!L:L,Data[[#This Row],[unqid]]))</f>
        <v>1</v>
      </c>
    </row>
    <row r="453" spans="1:6" x14ac:dyDescent="0.3">
      <c r="A453" t="s">
        <v>259</v>
      </c>
      <c r="B453" t="s">
        <v>26</v>
      </c>
      <c r="C453" t="s">
        <v>27</v>
      </c>
      <c r="D453" s="1" t="str">
        <f>_xlfn.IFNA(_xlfn.XLOOKUP(Data[[#This Row],[unqid]],'Quipt Prod Data'!L:L,'Quipt Prod Data'!B:B),"")</f>
        <v>Portal Quipt-Edocument</v>
      </c>
      <c r="E453" s="1">
        <f>_xlfn.IFNA(_xlfn.XMATCH(Data[[#This Row],[unqid]],'Quipt Prod Data'!L:L,0),"")</f>
        <v>57</v>
      </c>
      <c r="F453" s="1">
        <f>IF(COUNTIF('Quipt Prod Data'!L:L,Data[[#This Row],[unqid]])=0,"",COUNTIF('Quipt Prod Data'!L:L,Data[[#This Row],[unqid]]))</f>
        <v>1</v>
      </c>
    </row>
    <row r="454" spans="1:6" x14ac:dyDescent="0.3">
      <c r="A454" t="s">
        <v>685</v>
      </c>
      <c r="B454" t="s">
        <v>32</v>
      </c>
      <c r="C454" t="s">
        <v>27</v>
      </c>
      <c r="D454" s="1" t="str">
        <f>_xlfn.IFNA(_xlfn.XLOOKUP(Data[[#This Row],[unqid]],'Quipt Prod Data'!L:L,'Quipt Prod Data'!B:B),"")</f>
        <v/>
      </c>
      <c r="E454" s="1" t="str">
        <f>_xlfn.IFNA(_xlfn.XMATCH(Data[[#This Row],[unqid]],'Quipt Prod Data'!L:L,0),"")</f>
        <v/>
      </c>
      <c r="F454" s="1" t="str">
        <f>IF(COUNTIF('Quipt Prod Data'!L:L,Data[[#This Row],[unqid]])=0,"",COUNTIF('Quipt Prod Data'!L:L,Data[[#This Row],[unqid]]))</f>
        <v/>
      </c>
    </row>
    <row r="455" spans="1:6" x14ac:dyDescent="0.3">
      <c r="A455" t="s">
        <v>686</v>
      </c>
      <c r="B455" t="s">
        <v>26</v>
      </c>
      <c r="C455" t="s">
        <v>27</v>
      </c>
      <c r="D455" s="1" t="str">
        <f>_xlfn.IFNA(_xlfn.XLOOKUP(Data[[#This Row],[unqid]],'Quipt Prod Data'!L:L,'Quipt Prod Data'!B:B),"")</f>
        <v/>
      </c>
      <c r="E455" s="1" t="str">
        <f>_xlfn.IFNA(_xlfn.XMATCH(Data[[#This Row],[unqid]],'Quipt Prod Data'!L:L,0),"")</f>
        <v/>
      </c>
      <c r="F455" s="1" t="str">
        <f>IF(COUNTIF('Quipt Prod Data'!L:L,Data[[#This Row],[unqid]])=0,"",COUNTIF('Quipt Prod Data'!L:L,Data[[#This Row],[unqid]]))</f>
        <v/>
      </c>
    </row>
    <row r="456" spans="1:6" x14ac:dyDescent="0.3">
      <c r="A456" t="s">
        <v>687</v>
      </c>
      <c r="B456" t="s">
        <v>34</v>
      </c>
      <c r="C456" t="s">
        <v>27</v>
      </c>
      <c r="D456" s="1" t="str">
        <f>_xlfn.IFNA(_xlfn.XLOOKUP(Data[[#This Row],[unqid]],'Quipt Prod Data'!L:L,'Quipt Prod Data'!B:B),"")</f>
        <v/>
      </c>
      <c r="E456" s="1" t="str">
        <f>_xlfn.IFNA(_xlfn.XMATCH(Data[[#This Row],[unqid]],'Quipt Prod Data'!L:L,0),"")</f>
        <v/>
      </c>
      <c r="F456" s="1" t="str">
        <f>IF(COUNTIF('Quipt Prod Data'!L:L,Data[[#This Row],[unqid]])=0,"",COUNTIF('Quipt Prod Data'!L:L,Data[[#This Row],[unqid]]))</f>
        <v/>
      </c>
    </row>
    <row r="457" spans="1:6" x14ac:dyDescent="0.3">
      <c r="A457" t="s">
        <v>688</v>
      </c>
      <c r="B457" t="s">
        <v>32</v>
      </c>
      <c r="C457" t="s">
        <v>27</v>
      </c>
      <c r="D457" s="1" t="str">
        <f>_xlfn.IFNA(_xlfn.XLOOKUP(Data[[#This Row],[unqid]],'Quipt Prod Data'!L:L,'Quipt Prod Data'!B:B),"")</f>
        <v/>
      </c>
      <c r="E457" s="1" t="str">
        <f>_xlfn.IFNA(_xlfn.XMATCH(Data[[#This Row],[unqid]],'Quipt Prod Data'!L:L,0),"")</f>
        <v/>
      </c>
      <c r="F457" s="1" t="str">
        <f>IF(COUNTIF('Quipt Prod Data'!L:L,Data[[#This Row],[unqid]])=0,"",COUNTIF('Quipt Prod Data'!L:L,Data[[#This Row],[unqid]]))</f>
        <v/>
      </c>
    </row>
    <row r="458" spans="1:6" x14ac:dyDescent="0.3">
      <c r="A458" t="s">
        <v>258</v>
      </c>
      <c r="B458" t="s">
        <v>26</v>
      </c>
      <c r="C458" t="s">
        <v>27</v>
      </c>
      <c r="D458" s="1" t="str">
        <f>_xlfn.IFNA(_xlfn.XLOOKUP(Data[[#This Row],[unqid]],'Quipt Prod Data'!L:L,'Quipt Prod Data'!B:B),"")</f>
        <v>Portal Quipt-Edocument</v>
      </c>
      <c r="E458" s="1">
        <f>_xlfn.IFNA(_xlfn.XMATCH(Data[[#This Row],[unqid]],'Quipt Prod Data'!L:L,0),"")</f>
        <v>56</v>
      </c>
      <c r="F458" s="1">
        <f>IF(COUNTIF('Quipt Prod Data'!L:L,Data[[#This Row],[unqid]])=0,"",COUNTIF('Quipt Prod Data'!L:L,Data[[#This Row],[unqid]]))</f>
        <v>1</v>
      </c>
    </row>
    <row r="459" spans="1:6" x14ac:dyDescent="0.3">
      <c r="A459" t="s">
        <v>689</v>
      </c>
      <c r="B459" t="s">
        <v>26</v>
      </c>
      <c r="C459" t="s">
        <v>27</v>
      </c>
      <c r="D459" s="1" t="str">
        <f>_xlfn.IFNA(_xlfn.XLOOKUP(Data[[#This Row],[unqid]],'Quipt Prod Data'!L:L,'Quipt Prod Data'!B:B),"")</f>
        <v/>
      </c>
      <c r="E459" s="1" t="str">
        <f>_xlfn.IFNA(_xlfn.XMATCH(Data[[#This Row],[unqid]],'Quipt Prod Data'!L:L,0),"")</f>
        <v/>
      </c>
      <c r="F459" s="1" t="str">
        <f>IF(COUNTIF('Quipt Prod Data'!L:L,Data[[#This Row],[unqid]])=0,"",COUNTIF('Quipt Prod Data'!L:L,Data[[#This Row],[unqid]]))</f>
        <v/>
      </c>
    </row>
    <row r="460" spans="1:6" x14ac:dyDescent="0.3">
      <c r="A460" t="s">
        <v>280</v>
      </c>
      <c r="B460" t="s">
        <v>26</v>
      </c>
      <c r="C460" t="s">
        <v>27</v>
      </c>
      <c r="D460" s="1" t="str">
        <f>_xlfn.IFNA(_xlfn.XLOOKUP(Data[[#This Row],[unqid]],'Quipt Prod Data'!L:L,'Quipt Prod Data'!B:B),"")</f>
        <v>Portal Quipt-PTCall</v>
      </c>
      <c r="E460" s="1">
        <f>_xlfn.IFNA(_xlfn.XMATCH(Data[[#This Row],[unqid]],'Quipt Prod Data'!L:L,0),"")</f>
        <v>110</v>
      </c>
      <c r="F460" s="1">
        <f>IF(COUNTIF('Quipt Prod Data'!L:L,Data[[#This Row],[unqid]])=0,"",COUNTIF('Quipt Prod Data'!L:L,Data[[#This Row],[unqid]]))</f>
        <v>1</v>
      </c>
    </row>
    <row r="461" spans="1:6" x14ac:dyDescent="0.3">
      <c r="A461" t="s">
        <v>690</v>
      </c>
      <c r="B461" t="s">
        <v>26</v>
      </c>
      <c r="C461" t="s">
        <v>27</v>
      </c>
      <c r="D461" s="1" t="str">
        <f>_xlfn.IFNA(_xlfn.XLOOKUP(Data[[#This Row],[unqid]],'Quipt Prod Data'!L:L,'Quipt Prod Data'!B:B),"")</f>
        <v/>
      </c>
      <c r="E461" s="1" t="str">
        <f>_xlfn.IFNA(_xlfn.XMATCH(Data[[#This Row],[unqid]],'Quipt Prod Data'!L:L,0),"")</f>
        <v/>
      </c>
      <c r="F461" s="1" t="str">
        <f>IF(COUNTIF('Quipt Prod Data'!L:L,Data[[#This Row],[unqid]])=0,"",COUNTIF('Quipt Prod Data'!L:L,Data[[#This Row],[unqid]]))</f>
        <v/>
      </c>
    </row>
    <row r="462" spans="1:6" x14ac:dyDescent="0.3">
      <c r="A462" t="s">
        <v>257</v>
      </c>
      <c r="B462" t="s">
        <v>32</v>
      </c>
      <c r="C462" t="s">
        <v>27</v>
      </c>
      <c r="D462" s="1" t="str">
        <f>_xlfn.IFNA(_xlfn.XLOOKUP(Data[[#This Row],[unqid]],'Quipt Prod Data'!L:L,'Quipt Prod Data'!B:B),"")</f>
        <v>Portal Quipt-Edocument</v>
      </c>
      <c r="E462" s="1">
        <f>_xlfn.IFNA(_xlfn.XMATCH(Data[[#This Row],[unqid]],'Quipt Prod Data'!L:L,0),"")</f>
        <v>55</v>
      </c>
      <c r="F462" s="1">
        <f>IF(COUNTIF('Quipt Prod Data'!L:L,Data[[#This Row],[unqid]])=0,"",COUNTIF('Quipt Prod Data'!L:L,Data[[#This Row],[unqid]]))</f>
        <v>1</v>
      </c>
    </row>
    <row r="463" spans="1:6" x14ac:dyDescent="0.3">
      <c r="A463" t="s">
        <v>691</v>
      </c>
      <c r="B463" t="s">
        <v>32</v>
      </c>
      <c r="C463" t="s">
        <v>27</v>
      </c>
      <c r="D463" s="1" t="str">
        <f>_xlfn.IFNA(_xlfn.XLOOKUP(Data[[#This Row],[unqid]],'Quipt Prod Data'!L:L,'Quipt Prod Data'!B:B),"")</f>
        <v/>
      </c>
      <c r="E463" s="1" t="str">
        <f>_xlfn.IFNA(_xlfn.XMATCH(Data[[#This Row],[unqid]],'Quipt Prod Data'!L:L,0),"")</f>
        <v/>
      </c>
      <c r="F463" s="1" t="str">
        <f>IF(COUNTIF('Quipt Prod Data'!L:L,Data[[#This Row],[unqid]])=0,"",COUNTIF('Quipt Prod Data'!L:L,Data[[#This Row],[unqid]]))</f>
        <v/>
      </c>
    </row>
    <row r="464" spans="1:6" x14ac:dyDescent="0.3">
      <c r="A464" t="s">
        <v>285</v>
      </c>
      <c r="B464" t="s">
        <v>31</v>
      </c>
      <c r="C464" t="s">
        <v>27</v>
      </c>
      <c r="D464" s="1" t="str">
        <f>_xlfn.IFNA(_xlfn.XLOOKUP(Data[[#This Row],[unqid]],'Quipt Prod Data'!L:L,'Quipt Prod Data'!B:B),"")</f>
        <v>Portal Quipt-PTCall</v>
      </c>
      <c r="E464" s="1">
        <f>_xlfn.IFNA(_xlfn.XMATCH(Data[[#This Row],[unqid]],'Quipt Prod Data'!L:L,0),"")</f>
        <v>116</v>
      </c>
      <c r="F464" s="1">
        <f>IF(COUNTIF('Quipt Prod Data'!L:L,Data[[#This Row],[unqid]])=0,"",COUNTIF('Quipt Prod Data'!L:L,Data[[#This Row],[unqid]]))</f>
        <v>1</v>
      </c>
    </row>
    <row r="465" spans="1:6" x14ac:dyDescent="0.3">
      <c r="A465" t="s">
        <v>256</v>
      </c>
      <c r="B465" t="s">
        <v>26</v>
      </c>
      <c r="C465" t="s">
        <v>27</v>
      </c>
      <c r="D465" s="1" t="str">
        <f>_xlfn.IFNA(_xlfn.XLOOKUP(Data[[#This Row],[unqid]],'Quipt Prod Data'!L:L,'Quipt Prod Data'!B:B),"")</f>
        <v>Portal Quipt-Edocument</v>
      </c>
      <c r="E465" s="1">
        <f>_xlfn.IFNA(_xlfn.XMATCH(Data[[#This Row],[unqid]],'Quipt Prod Data'!L:L,0),"")</f>
        <v>54</v>
      </c>
      <c r="F465" s="1">
        <f>IF(COUNTIF('Quipt Prod Data'!L:L,Data[[#This Row],[unqid]])=0,"",COUNTIF('Quipt Prod Data'!L:L,Data[[#This Row],[unqid]]))</f>
        <v>1</v>
      </c>
    </row>
    <row r="466" spans="1:6" x14ac:dyDescent="0.3">
      <c r="A466" t="s">
        <v>692</v>
      </c>
      <c r="B466" t="s">
        <v>26</v>
      </c>
      <c r="C466" t="s">
        <v>27</v>
      </c>
      <c r="D466" s="1" t="str">
        <f>_xlfn.IFNA(_xlfn.XLOOKUP(Data[[#This Row],[unqid]],'Quipt Prod Data'!L:L,'Quipt Prod Data'!B:B),"")</f>
        <v/>
      </c>
      <c r="E466" s="1" t="str">
        <f>_xlfn.IFNA(_xlfn.XMATCH(Data[[#This Row],[unqid]],'Quipt Prod Data'!L:L,0),"")</f>
        <v/>
      </c>
      <c r="F466" s="1" t="str">
        <f>IF(COUNTIF('Quipt Prod Data'!L:L,Data[[#This Row],[unqid]])=0,"",COUNTIF('Quipt Prod Data'!L:L,Data[[#This Row],[unqid]]))</f>
        <v/>
      </c>
    </row>
    <row r="467" spans="1:6" x14ac:dyDescent="0.3">
      <c r="A467" t="s">
        <v>693</v>
      </c>
      <c r="B467" t="s">
        <v>32</v>
      </c>
      <c r="C467" t="s">
        <v>27</v>
      </c>
      <c r="D467" s="1" t="str">
        <f>_xlfn.IFNA(_xlfn.XLOOKUP(Data[[#This Row],[unqid]],'Quipt Prod Data'!L:L,'Quipt Prod Data'!B:B),"")</f>
        <v/>
      </c>
      <c r="E467" s="1" t="str">
        <f>_xlfn.IFNA(_xlfn.XMATCH(Data[[#This Row],[unqid]],'Quipt Prod Data'!L:L,0),"")</f>
        <v/>
      </c>
      <c r="F467" s="1" t="str">
        <f>IF(COUNTIF('Quipt Prod Data'!L:L,Data[[#This Row],[unqid]])=0,"",COUNTIF('Quipt Prod Data'!L:L,Data[[#This Row],[unqid]]))</f>
        <v/>
      </c>
    </row>
    <row r="468" spans="1:6" x14ac:dyDescent="0.3">
      <c r="A468" t="s">
        <v>694</v>
      </c>
      <c r="B468" t="s">
        <v>26</v>
      </c>
      <c r="C468" t="s">
        <v>27</v>
      </c>
      <c r="D468" s="1" t="str">
        <f>_xlfn.IFNA(_xlfn.XLOOKUP(Data[[#This Row],[unqid]],'Quipt Prod Data'!L:L,'Quipt Prod Data'!B:B),"")</f>
        <v/>
      </c>
      <c r="E468" s="1" t="str">
        <f>_xlfn.IFNA(_xlfn.XMATCH(Data[[#This Row],[unqid]],'Quipt Prod Data'!L:L,0),"")</f>
        <v/>
      </c>
      <c r="F468" s="1" t="str">
        <f>IF(COUNTIF('Quipt Prod Data'!L:L,Data[[#This Row],[unqid]])=0,"",COUNTIF('Quipt Prod Data'!L:L,Data[[#This Row],[unqid]]))</f>
        <v/>
      </c>
    </row>
    <row r="469" spans="1:6" x14ac:dyDescent="0.3">
      <c r="A469" t="s">
        <v>695</v>
      </c>
      <c r="B469" t="s">
        <v>26</v>
      </c>
      <c r="C469" t="s">
        <v>27</v>
      </c>
      <c r="D469" s="1" t="str">
        <f>_xlfn.IFNA(_xlfn.XLOOKUP(Data[[#This Row],[unqid]],'Quipt Prod Data'!L:L,'Quipt Prod Data'!B:B),"")</f>
        <v/>
      </c>
      <c r="E469" s="1" t="str">
        <f>_xlfn.IFNA(_xlfn.XMATCH(Data[[#This Row],[unqid]],'Quipt Prod Data'!L:L,0),"")</f>
        <v/>
      </c>
      <c r="F469" s="1" t="str">
        <f>IF(COUNTIF('Quipt Prod Data'!L:L,Data[[#This Row],[unqid]])=0,"",COUNTIF('Quipt Prod Data'!L:L,Data[[#This Row],[unqid]]))</f>
        <v/>
      </c>
    </row>
    <row r="470" spans="1:6" x14ac:dyDescent="0.3">
      <c r="A470" t="s">
        <v>696</v>
      </c>
      <c r="B470" t="s">
        <v>26</v>
      </c>
      <c r="C470" t="s">
        <v>27</v>
      </c>
      <c r="D470" s="1" t="str">
        <f>_xlfn.IFNA(_xlfn.XLOOKUP(Data[[#This Row],[unqid]],'Quipt Prod Data'!L:L,'Quipt Prod Data'!B:B),"")</f>
        <v/>
      </c>
      <c r="E470" s="1" t="str">
        <f>_xlfn.IFNA(_xlfn.XMATCH(Data[[#This Row],[unqid]],'Quipt Prod Data'!L:L,0),"")</f>
        <v/>
      </c>
      <c r="F470" s="1" t="str">
        <f>IF(COUNTIF('Quipt Prod Data'!L:L,Data[[#This Row],[unqid]])=0,"",COUNTIF('Quipt Prod Data'!L:L,Data[[#This Row],[unqid]]))</f>
        <v/>
      </c>
    </row>
    <row r="471" spans="1:6" x14ac:dyDescent="0.3">
      <c r="A471" t="s">
        <v>697</v>
      </c>
      <c r="B471" t="s">
        <v>28</v>
      </c>
      <c r="C471" t="s">
        <v>27</v>
      </c>
      <c r="D471" s="1" t="str">
        <f>_xlfn.IFNA(_xlfn.XLOOKUP(Data[[#This Row],[unqid]],'Quipt Prod Data'!L:L,'Quipt Prod Data'!B:B),"")</f>
        <v/>
      </c>
      <c r="E471" s="1" t="str">
        <f>_xlfn.IFNA(_xlfn.XMATCH(Data[[#This Row],[unqid]],'Quipt Prod Data'!L:L,0),"")</f>
        <v/>
      </c>
      <c r="F471" s="1" t="str">
        <f>IF(COUNTIF('Quipt Prod Data'!L:L,Data[[#This Row],[unqid]])=0,"",COUNTIF('Quipt Prod Data'!L:L,Data[[#This Row],[unqid]]))</f>
        <v/>
      </c>
    </row>
    <row r="472" spans="1:6" x14ac:dyDescent="0.3">
      <c r="A472" t="s">
        <v>698</v>
      </c>
      <c r="B472" t="s">
        <v>26</v>
      </c>
      <c r="C472" t="s">
        <v>27</v>
      </c>
      <c r="D472" s="1" t="str">
        <f>_xlfn.IFNA(_xlfn.XLOOKUP(Data[[#This Row],[unqid]],'Quipt Prod Data'!L:L,'Quipt Prod Data'!B:B),"")</f>
        <v/>
      </c>
      <c r="E472" s="1" t="str">
        <f>_xlfn.IFNA(_xlfn.XMATCH(Data[[#This Row],[unqid]],'Quipt Prod Data'!L:L,0),"")</f>
        <v/>
      </c>
      <c r="F472" s="1" t="str">
        <f>IF(COUNTIF('Quipt Prod Data'!L:L,Data[[#This Row],[unqid]])=0,"",COUNTIF('Quipt Prod Data'!L:L,Data[[#This Row],[unqid]]))</f>
        <v/>
      </c>
    </row>
    <row r="473" spans="1:6" x14ac:dyDescent="0.3">
      <c r="A473" t="s">
        <v>255</v>
      </c>
      <c r="B473" t="s">
        <v>26</v>
      </c>
      <c r="C473" t="s">
        <v>27</v>
      </c>
      <c r="D473" s="1" t="str">
        <f>_xlfn.IFNA(_xlfn.XLOOKUP(Data[[#This Row],[unqid]],'Quipt Prod Data'!L:L,'Quipt Prod Data'!B:B),"")</f>
        <v>Portal Quipt-Edocument</v>
      </c>
      <c r="E473" s="1">
        <f>_xlfn.IFNA(_xlfn.XMATCH(Data[[#This Row],[unqid]],'Quipt Prod Data'!L:L,0),"")</f>
        <v>53</v>
      </c>
      <c r="F473" s="1">
        <f>IF(COUNTIF('Quipt Prod Data'!L:L,Data[[#This Row],[unqid]])=0,"",COUNTIF('Quipt Prod Data'!L:L,Data[[#This Row],[unqid]]))</f>
        <v>1</v>
      </c>
    </row>
    <row r="474" spans="1:6" x14ac:dyDescent="0.3">
      <c r="A474" t="s">
        <v>699</v>
      </c>
      <c r="B474" t="s">
        <v>26</v>
      </c>
      <c r="C474" t="s">
        <v>27</v>
      </c>
      <c r="D474" s="1" t="str">
        <f>_xlfn.IFNA(_xlfn.XLOOKUP(Data[[#This Row],[unqid]],'Quipt Prod Data'!L:L,'Quipt Prod Data'!B:B),"")</f>
        <v/>
      </c>
      <c r="E474" s="1" t="str">
        <f>_xlfn.IFNA(_xlfn.XMATCH(Data[[#This Row],[unqid]],'Quipt Prod Data'!L:L,0),"")</f>
        <v/>
      </c>
      <c r="F474" s="1" t="str">
        <f>IF(COUNTIF('Quipt Prod Data'!L:L,Data[[#This Row],[unqid]])=0,"",COUNTIF('Quipt Prod Data'!L:L,Data[[#This Row],[unqid]]))</f>
        <v/>
      </c>
    </row>
    <row r="475" spans="1:6" x14ac:dyDescent="0.3">
      <c r="A475" t="s">
        <v>254</v>
      </c>
      <c r="B475" t="s">
        <v>26</v>
      </c>
      <c r="C475" t="s">
        <v>27</v>
      </c>
      <c r="D475" s="1" t="str">
        <f>_xlfn.IFNA(_xlfn.XLOOKUP(Data[[#This Row],[unqid]],'Quipt Prod Data'!L:L,'Quipt Prod Data'!B:B),"")</f>
        <v>Portal Quipt-Edocument</v>
      </c>
      <c r="E475" s="1">
        <f>_xlfn.IFNA(_xlfn.XMATCH(Data[[#This Row],[unqid]],'Quipt Prod Data'!L:L,0),"")</f>
        <v>52</v>
      </c>
      <c r="F475" s="1">
        <f>IF(COUNTIF('Quipt Prod Data'!L:L,Data[[#This Row],[unqid]])=0,"",COUNTIF('Quipt Prod Data'!L:L,Data[[#This Row],[unqid]]))</f>
        <v>1</v>
      </c>
    </row>
    <row r="476" spans="1:6" x14ac:dyDescent="0.3">
      <c r="A476" t="s">
        <v>216</v>
      </c>
      <c r="B476" t="s">
        <v>34</v>
      </c>
      <c r="C476" t="s">
        <v>27</v>
      </c>
      <c r="D476" s="1" t="str">
        <f>_xlfn.IFNA(_xlfn.XLOOKUP(Data[[#This Row],[unqid]],'Quipt Prod Data'!L:L,'Quipt Prod Data'!B:B),"")</f>
        <v>Portal Quipt All Calls</v>
      </c>
      <c r="E476" s="1">
        <f>_xlfn.IFNA(_xlfn.XMATCH(Data[[#This Row],[unqid]],'Quipt Prod Data'!L:L,0),"")</f>
        <v>4</v>
      </c>
      <c r="F476" s="1">
        <f>IF(COUNTIF('Quipt Prod Data'!L:L,Data[[#This Row],[unqid]])=0,"",COUNTIF('Quipt Prod Data'!L:L,Data[[#This Row],[unqid]]))</f>
        <v>2</v>
      </c>
    </row>
    <row r="477" spans="1:6" x14ac:dyDescent="0.3">
      <c r="A477" t="s">
        <v>700</v>
      </c>
      <c r="B477" t="s">
        <v>32</v>
      </c>
      <c r="C477" t="s">
        <v>27</v>
      </c>
      <c r="D477" s="1" t="str">
        <f>_xlfn.IFNA(_xlfn.XLOOKUP(Data[[#This Row],[unqid]],'Quipt Prod Data'!L:L,'Quipt Prod Data'!B:B),"")</f>
        <v/>
      </c>
      <c r="E477" s="1" t="str">
        <f>_xlfn.IFNA(_xlfn.XMATCH(Data[[#This Row],[unqid]],'Quipt Prod Data'!L:L,0),"")</f>
        <v/>
      </c>
      <c r="F477" s="1" t="str">
        <f>IF(COUNTIF('Quipt Prod Data'!L:L,Data[[#This Row],[unqid]])=0,"",COUNTIF('Quipt Prod Data'!L:L,Data[[#This Row],[unqid]]))</f>
        <v/>
      </c>
    </row>
    <row r="478" spans="1:6" x14ac:dyDescent="0.3">
      <c r="A478" t="s">
        <v>701</v>
      </c>
      <c r="B478" t="s">
        <v>26</v>
      </c>
      <c r="C478" t="s">
        <v>27</v>
      </c>
      <c r="D478" s="1" t="str">
        <f>_xlfn.IFNA(_xlfn.XLOOKUP(Data[[#This Row],[unqid]],'Quipt Prod Data'!L:L,'Quipt Prod Data'!B:B),"")</f>
        <v/>
      </c>
      <c r="E478" s="1" t="str">
        <f>_xlfn.IFNA(_xlfn.XMATCH(Data[[#This Row],[unqid]],'Quipt Prod Data'!L:L,0),"")</f>
        <v/>
      </c>
      <c r="F478" s="1" t="str">
        <f>IF(COUNTIF('Quipt Prod Data'!L:L,Data[[#This Row],[unqid]])=0,"",COUNTIF('Quipt Prod Data'!L:L,Data[[#This Row],[unqid]]))</f>
        <v/>
      </c>
    </row>
    <row r="479" spans="1:6" x14ac:dyDescent="0.3">
      <c r="A479" t="s">
        <v>702</v>
      </c>
      <c r="B479" t="s">
        <v>26</v>
      </c>
      <c r="C479" t="s">
        <v>27</v>
      </c>
      <c r="D479" s="1" t="str">
        <f>_xlfn.IFNA(_xlfn.XLOOKUP(Data[[#This Row],[unqid]],'Quipt Prod Data'!L:L,'Quipt Prod Data'!B:B),"")</f>
        <v/>
      </c>
      <c r="E479" s="1" t="str">
        <f>_xlfn.IFNA(_xlfn.XMATCH(Data[[#This Row],[unqid]],'Quipt Prod Data'!L:L,0),"")</f>
        <v/>
      </c>
      <c r="F479" s="1" t="str">
        <f>IF(COUNTIF('Quipt Prod Data'!L:L,Data[[#This Row],[unqid]])=0,"",COUNTIF('Quipt Prod Data'!L:L,Data[[#This Row],[unqid]]))</f>
        <v/>
      </c>
    </row>
    <row r="480" spans="1:6" x14ac:dyDescent="0.3">
      <c r="A480" t="s">
        <v>253</v>
      </c>
      <c r="B480" t="s">
        <v>26</v>
      </c>
      <c r="C480" t="s">
        <v>27</v>
      </c>
      <c r="D480" s="1" t="str">
        <f>_xlfn.IFNA(_xlfn.XLOOKUP(Data[[#This Row],[unqid]],'Quipt Prod Data'!L:L,'Quipt Prod Data'!B:B),"")</f>
        <v>Portal Quipt-Edocument</v>
      </c>
      <c r="E480" s="1">
        <f>_xlfn.IFNA(_xlfn.XMATCH(Data[[#This Row],[unqid]],'Quipt Prod Data'!L:L,0),"")</f>
        <v>51</v>
      </c>
      <c r="F480" s="1">
        <f>IF(COUNTIF('Quipt Prod Data'!L:L,Data[[#This Row],[unqid]])=0,"",COUNTIF('Quipt Prod Data'!L:L,Data[[#This Row],[unqid]]))</f>
        <v>1</v>
      </c>
    </row>
    <row r="481" spans="1:6" x14ac:dyDescent="0.3">
      <c r="A481" t="s">
        <v>703</v>
      </c>
      <c r="B481" t="s">
        <v>26</v>
      </c>
      <c r="C481" t="s">
        <v>27</v>
      </c>
      <c r="D481" s="1" t="str">
        <f>_xlfn.IFNA(_xlfn.XLOOKUP(Data[[#This Row],[unqid]],'Quipt Prod Data'!L:L,'Quipt Prod Data'!B:B),"")</f>
        <v/>
      </c>
      <c r="E481" s="1" t="str">
        <f>_xlfn.IFNA(_xlfn.XMATCH(Data[[#This Row],[unqid]],'Quipt Prod Data'!L:L,0),"")</f>
        <v/>
      </c>
      <c r="F481" s="1" t="str">
        <f>IF(COUNTIF('Quipt Prod Data'!L:L,Data[[#This Row],[unqid]])=0,"",COUNTIF('Quipt Prod Data'!L:L,Data[[#This Row],[unqid]]))</f>
        <v/>
      </c>
    </row>
    <row r="482" spans="1:6" x14ac:dyDescent="0.3">
      <c r="A482" t="s">
        <v>704</v>
      </c>
      <c r="B482" t="s">
        <v>26</v>
      </c>
      <c r="C482" t="s">
        <v>27</v>
      </c>
      <c r="D482" s="1" t="str">
        <f>_xlfn.IFNA(_xlfn.XLOOKUP(Data[[#This Row],[unqid]],'Quipt Prod Data'!L:L,'Quipt Prod Data'!B:B),"")</f>
        <v/>
      </c>
      <c r="E482" s="1" t="str">
        <f>_xlfn.IFNA(_xlfn.XMATCH(Data[[#This Row],[unqid]],'Quipt Prod Data'!L:L,0),"")</f>
        <v/>
      </c>
      <c r="F482" s="1" t="str">
        <f>IF(COUNTIF('Quipt Prod Data'!L:L,Data[[#This Row],[unqid]])=0,"",COUNTIF('Quipt Prod Data'!L:L,Data[[#This Row],[unqid]]))</f>
        <v/>
      </c>
    </row>
    <row r="483" spans="1:6" x14ac:dyDescent="0.3">
      <c r="A483" t="s">
        <v>252</v>
      </c>
      <c r="B483" t="s">
        <v>41</v>
      </c>
      <c r="C483" t="s">
        <v>27</v>
      </c>
      <c r="D483" s="1" t="str">
        <f>_xlfn.IFNA(_xlfn.XLOOKUP(Data[[#This Row],[unqid]],'Quipt Prod Data'!L:L,'Quipt Prod Data'!B:B),"")</f>
        <v>Portal Quipt-Edocument</v>
      </c>
      <c r="E483" s="1">
        <f>_xlfn.IFNA(_xlfn.XMATCH(Data[[#This Row],[unqid]],'Quipt Prod Data'!L:L,0),"")</f>
        <v>50</v>
      </c>
      <c r="F483" s="1">
        <f>IF(COUNTIF('Quipt Prod Data'!L:L,Data[[#This Row],[unqid]])=0,"",COUNTIF('Quipt Prod Data'!L:L,Data[[#This Row],[unqid]]))</f>
        <v>1</v>
      </c>
    </row>
    <row r="484" spans="1:6" x14ac:dyDescent="0.3">
      <c r="A484" t="s">
        <v>705</v>
      </c>
      <c r="B484" t="s">
        <v>26</v>
      </c>
      <c r="C484" t="s">
        <v>27</v>
      </c>
      <c r="D484" s="1" t="str">
        <f>_xlfn.IFNA(_xlfn.XLOOKUP(Data[[#This Row],[unqid]],'Quipt Prod Data'!L:L,'Quipt Prod Data'!B:B),"")</f>
        <v/>
      </c>
      <c r="E484" s="1" t="str">
        <f>_xlfn.IFNA(_xlfn.XMATCH(Data[[#This Row],[unqid]],'Quipt Prod Data'!L:L,0),"")</f>
        <v/>
      </c>
      <c r="F484" s="1" t="str">
        <f>IF(COUNTIF('Quipt Prod Data'!L:L,Data[[#This Row],[unqid]])=0,"",COUNTIF('Quipt Prod Data'!L:L,Data[[#This Row],[unqid]]))</f>
        <v/>
      </c>
    </row>
    <row r="485" spans="1:6" x14ac:dyDescent="0.3">
      <c r="A485" t="s">
        <v>706</v>
      </c>
      <c r="B485" t="s">
        <v>26</v>
      </c>
      <c r="C485" t="s">
        <v>27</v>
      </c>
      <c r="D485" s="1" t="str">
        <f>_xlfn.IFNA(_xlfn.XLOOKUP(Data[[#This Row],[unqid]],'Quipt Prod Data'!L:L,'Quipt Prod Data'!B:B),"")</f>
        <v/>
      </c>
      <c r="E485" s="1" t="str">
        <f>_xlfn.IFNA(_xlfn.XMATCH(Data[[#This Row],[unqid]],'Quipt Prod Data'!L:L,0),"")</f>
        <v/>
      </c>
      <c r="F485" s="1" t="str">
        <f>IF(COUNTIF('Quipt Prod Data'!L:L,Data[[#This Row],[unqid]])=0,"",COUNTIF('Quipt Prod Data'!L:L,Data[[#This Row],[unqid]]))</f>
        <v/>
      </c>
    </row>
    <row r="486" spans="1:6" x14ac:dyDescent="0.3">
      <c r="A486" t="s">
        <v>707</v>
      </c>
      <c r="B486" t="s">
        <v>32</v>
      </c>
      <c r="C486" t="s">
        <v>27</v>
      </c>
      <c r="D486" s="1" t="str">
        <f>_xlfn.IFNA(_xlfn.XLOOKUP(Data[[#This Row],[unqid]],'Quipt Prod Data'!L:L,'Quipt Prod Data'!B:B),"")</f>
        <v/>
      </c>
      <c r="E486" s="1" t="str">
        <f>_xlfn.IFNA(_xlfn.XMATCH(Data[[#This Row],[unqid]],'Quipt Prod Data'!L:L,0),"")</f>
        <v/>
      </c>
      <c r="F486" s="1" t="str">
        <f>IF(COUNTIF('Quipt Prod Data'!L:L,Data[[#This Row],[unqid]])=0,"",COUNTIF('Quipt Prod Data'!L:L,Data[[#This Row],[unqid]]))</f>
        <v/>
      </c>
    </row>
    <row r="487" spans="1:6" x14ac:dyDescent="0.3">
      <c r="A487" t="s">
        <v>708</v>
      </c>
      <c r="B487" t="s">
        <v>32</v>
      </c>
      <c r="C487" t="s">
        <v>27</v>
      </c>
      <c r="D487" s="1" t="str">
        <f>_xlfn.IFNA(_xlfn.XLOOKUP(Data[[#This Row],[unqid]],'Quipt Prod Data'!L:L,'Quipt Prod Data'!B:B),"")</f>
        <v/>
      </c>
      <c r="E487" s="1" t="str">
        <f>_xlfn.IFNA(_xlfn.XMATCH(Data[[#This Row],[unqid]],'Quipt Prod Data'!L:L,0),"")</f>
        <v/>
      </c>
      <c r="F487" s="1" t="str">
        <f>IF(COUNTIF('Quipt Prod Data'!L:L,Data[[#This Row],[unqid]])=0,"",COUNTIF('Quipt Prod Data'!L:L,Data[[#This Row],[unqid]]))</f>
        <v/>
      </c>
    </row>
    <row r="488" spans="1:6" x14ac:dyDescent="0.3">
      <c r="A488" t="s">
        <v>251</v>
      </c>
      <c r="B488" t="s">
        <v>32</v>
      </c>
      <c r="C488" t="s">
        <v>27</v>
      </c>
      <c r="D488" s="1" t="str">
        <f>_xlfn.IFNA(_xlfn.XLOOKUP(Data[[#This Row],[unqid]],'Quipt Prod Data'!L:L,'Quipt Prod Data'!B:B),"")</f>
        <v>Portal Quipt-Edocument</v>
      </c>
      <c r="E488" s="1">
        <f>_xlfn.IFNA(_xlfn.XMATCH(Data[[#This Row],[unqid]],'Quipt Prod Data'!L:L,0),"")</f>
        <v>49</v>
      </c>
      <c r="F488" s="1">
        <f>IF(COUNTIF('Quipt Prod Data'!L:L,Data[[#This Row],[unqid]])=0,"",COUNTIF('Quipt Prod Data'!L:L,Data[[#This Row],[unqid]]))</f>
        <v>1</v>
      </c>
    </row>
    <row r="489" spans="1:6" x14ac:dyDescent="0.3">
      <c r="A489" t="s">
        <v>250</v>
      </c>
      <c r="B489" t="s">
        <v>41</v>
      </c>
      <c r="C489" t="s">
        <v>27</v>
      </c>
      <c r="D489" s="1" t="str">
        <f>_xlfn.IFNA(_xlfn.XLOOKUP(Data[[#This Row],[unqid]],'Quipt Prod Data'!L:L,'Quipt Prod Data'!B:B),"")</f>
        <v>Portal Quipt-Edocument</v>
      </c>
      <c r="E489" s="1">
        <f>_xlfn.IFNA(_xlfn.XMATCH(Data[[#This Row],[unqid]],'Quipt Prod Data'!L:L,0),"")</f>
        <v>48</v>
      </c>
      <c r="F489" s="1">
        <f>IF(COUNTIF('Quipt Prod Data'!L:L,Data[[#This Row],[unqid]])=0,"",COUNTIF('Quipt Prod Data'!L:L,Data[[#This Row],[unqid]]))</f>
        <v>1</v>
      </c>
    </row>
    <row r="490" spans="1:6" x14ac:dyDescent="0.3">
      <c r="A490" t="s">
        <v>709</v>
      </c>
      <c r="B490" t="s">
        <v>30</v>
      </c>
      <c r="C490" t="s">
        <v>27</v>
      </c>
      <c r="D490" s="1" t="str">
        <f>_xlfn.IFNA(_xlfn.XLOOKUP(Data[[#This Row],[unqid]],'Quipt Prod Data'!L:L,'Quipt Prod Data'!B:B),"")</f>
        <v/>
      </c>
      <c r="E490" s="1" t="str">
        <f>_xlfn.IFNA(_xlfn.XMATCH(Data[[#This Row],[unqid]],'Quipt Prod Data'!L:L,0),"")</f>
        <v/>
      </c>
      <c r="F490" s="1" t="str">
        <f>IF(COUNTIF('Quipt Prod Data'!L:L,Data[[#This Row],[unqid]])=0,"",COUNTIF('Quipt Prod Data'!L:L,Data[[#This Row],[unqid]]))</f>
        <v/>
      </c>
    </row>
    <row r="491" spans="1:6" x14ac:dyDescent="0.3">
      <c r="A491" t="s">
        <v>249</v>
      </c>
      <c r="B491" t="s">
        <v>26</v>
      </c>
      <c r="C491" t="s">
        <v>27</v>
      </c>
      <c r="D491" s="1" t="str">
        <f>_xlfn.IFNA(_xlfn.XLOOKUP(Data[[#This Row],[unqid]],'Quipt Prod Data'!L:L,'Quipt Prod Data'!B:B),"")</f>
        <v>Portal Quipt-Edocument</v>
      </c>
      <c r="E491" s="1">
        <f>_xlfn.IFNA(_xlfn.XMATCH(Data[[#This Row],[unqid]],'Quipt Prod Data'!L:L,0),"")</f>
        <v>47</v>
      </c>
      <c r="F491" s="1">
        <f>IF(COUNTIF('Quipt Prod Data'!L:L,Data[[#This Row],[unqid]])=0,"",COUNTIF('Quipt Prod Data'!L:L,Data[[#This Row],[unqid]]))</f>
        <v>1</v>
      </c>
    </row>
    <row r="492" spans="1:6" x14ac:dyDescent="0.3">
      <c r="A492" t="s">
        <v>710</v>
      </c>
      <c r="B492" t="s">
        <v>26</v>
      </c>
      <c r="C492" t="s">
        <v>27</v>
      </c>
      <c r="D492" s="1" t="str">
        <f>_xlfn.IFNA(_xlfn.XLOOKUP(Data[[#This Row],[unqid]],'Quipt Prod Data'!L:L,'Quipt Prod Data'!B:B),"")</f>
        <v/>
      </c>
      <c r="E492" s="1" t="str">
        <f>_xlfn.IFNA(_xlfn.XMATCH(Data[[#This Row],[unqid]],'Quipt Prod Data'!L:L,0),"")</f>
        <v/>
      </c>
      <c r="F492" s="1" t="str">
        <f>IF(COUNTIF('Quipt Prod Data'!L:L,Data[[#This Row],[unqid]])=0,"",COUNTIF('Quipt Prod Data'!L:L,Data[[#This Row],[unqid]]))</f>
        <v/>
      </c>
    </row>
    <row r="493" spans="1:6" x14ac:dyDescent="0.3">
      <c r="A493" t="s">
        <v>711</v>
      </c>
      <c r="B493" t="s">
        <v>26</v>
      </c>
      <c r="C493" t="s">
        <v>27</v>
      </c>
      <c r="D493" s="1" t="str">
        <f>_xlfn.IFNA(_xlfn.XLOOKUP(Data[[#This Row],[unqid]],'Quipt Prod Data'!L:L,'Quipt Prod Data'!B:B),"")</f>
        <v/>
      </c>
      <c r="E493" s="1" t="str">
        <f>_xlfn.IFNA(_xlfn.XMATCH(Data[[#This Row],[unqid]],'Quipt Prod Data'!L:L,0),"")</f>
        <v/>
      </c>
      <c r="F493" s="1" t="str">
        <f>IF(COUNTIF('Quipt Prod Data'!L:L,Data[[#This Row],[unqid]])=0,"",COUNTIF('Quipt Prod Data'!L:L,Data[[#This Row],[unqid]]))</f>
        <v/>
      </c>
    </row>
    <row r="494" spans="1:6" x14ac:dyDescent="0.3">
      <c r="A494" t="s">
        <v>712</v>
      </c>
      <c r="B494" t="s">
        <v>34</v>
      </c>
      <c r="C494" t="s">
        <v>27</v>
      </c>
      <c r="D494" s="1" t="str">
        <f>_xlfn.IFNA(_xlfn.XLOOKUP(Data[[#This Row],[unqid]],'Quipt Prod Data'!L:L,'Quipt Prod Data'!B:B),"")</f>
        <v/>
      </c>
      <c r="E494" s="1" t="str">
        <f>_xlfn.IFNA(_xlfn.XMATCH(Data[[#This Row],[unqid]],'Quipt Prod Data'!L:L,0),"")</f>
        <v/>
      </c>
      <c r="F494" s="1" t="str">
        <f>IF(COUNTIF('Quipt Prod Data'!L:L,Data[[#This Row],[unqid]])=0,"",COUNTIF('Quipt Prod Data'!L:L,Data[[#This Row],[unqid]]))</f>
        <v/>
      </c>
    </row>
    <row r="495" spans="1:6" x14ac:dyDescent="0.3">
      <c r="A495" t="s">
        <v>248</v>
      </c>
      <c r="B495" t="s">
        <v>26</v>
      </c>
      <c r="C495" t="s">
        <v>27</v>
      </c>
      <c r="D495" s="1" t="str">
        <f>_xlfn.IFNA(_xlfn.XLOOKUP(Data[[#This Row],[unqid]],'Quipt Prod Data'!L:L,'Quipt Prod Data'!B:B),"")</f>
        <v>Portal Quipt-Edocument</v>
      </c>
      <c r="E495" s="1">
        <f>_xlfn.IFNA(_xlfn.XMATCH(Data[[#This Row],[unqid]],'Quipt Prod Data'!L:L,0),"")</f>
        <v>46</v>
      </c>
      <c r="F495" s="1">
        <f>IF(COUNTIF('Quipt Prod Data'!L:L,Data[[#This Row],[unqid]])=0,"",COUNTIF('Quipt Prod Data'!L:L,Data[[#This Row],[unqid]]))</f>
        <v>1</v>
      </c>
    </row>
    <row r="496" spans="1:6" x14ac:dyDescent="0.3">
      <c r="A496" t="s">
        <v>247</v>
      </c>
      <c r="B496" t="s">
        <v>26</v>
      </c>
      <c r="C496" t="s">
        <v>27</v>
      </c>
      <c r="D496" s="1" t="str">
        <f>_xlfn.IFNA(_xlfn.XLOOKUP(Data[[#This Row],[unqid]],'Quipt Prod Data'!L:L,'Quipt Prod Data'!B:B),"")</f>
        <v>Portal Quipt-Edocument</v>
      </c>
      <c r="E496" s="1">
        <f>_xlfn.IFNA(_xlfn.XMATCH(Data[[#This Row],[unqid]],'Quipt Prod Data'!L:L,0),"")</f>
        <v>45</v>
      </c>
      <c r="F496" s="1">
        <f>IF(COUNTIF('Quipt Prod Data'!L:L,Data[[#This Row],[unqid]])=0,"",COUNTIF('Quipt Prod Data'!L:L,Data[[#This Row],[unqid]]))</f>
        <v>1</v>
      </c>
    </row>
    <row r="497" spans="1:6" x14ac:dyDescent="0.3">
      <c r="A497" t="s">
        <v>246</v>
      </c>
      <c r="B497" t="s">
        <v>26</v>
      </c>
      <c r="C497" t="s">
        <v>27</v>
      </c>
      <c r="D497" s="1" t="str">
        <f>_xlfn.IFNA(_xlfn.XLOOKUP(Data[[#This Row],[unqid]],'Quipt Prod Data'!L:L,'Quipt Prod Data'!B:B),"")</f>
        <v>Portal Quipt-Edocument</v>
      </c>
      <c r="E497" s="1">
        <f>_xlfn.IFNA(_xlfn.XMATCH(Data[[#This Row],[unqid]],'Quipt Prod Data'!L:L,0),"")</f>
        <v>44</v>
      </c>
      <c r="F497" s="1">
        <f>IF(COUNTIF('Quipt Prod Data'!L:L,Data[[#This Row],[unqid]])=0,"",COUNTIF('Quipt Prod Data'!L:L,Data[[#This Row],[unqid]]))</f>
        <v>1</v>
      </c>
    </row>
    <row r="498" spans="1:6" x14ac:dyDescent="0.3">
      <c r="A498" t="s">
        <v>713</v>
      </c>
      <c r="B498" t="s">
        <v>26</v>
      </c>
      <c r="C498" t="s">
        <v>27</v>
      </c>
      <c r="D498" s="1" t="str">
        <f>_xlfn.IFNA(_xlfn.XLOOKUP(Data[[#This Row],[unqid]],'Quipt Prod Data'!L:L,'Quipt Prod Data'!B:B),"")</f>
        <v/>
      </c>
      <c r="E498" s="1" t="str">
        <f>_xlfn.IFNA(_xlfn.XMATCH(Data[[#This Row],[unqid]],'Quipt Prod Data'!L:L,0),"")</f>
        <v/>
      </c>
      <c r="F498" s="1" t="str">
        <f>IF(COUNTIF('Quipt Prod Data'!L:L,Data[[#This Row],[unqid]])=0,"",COUNTIF('Quipt Prod Data'!L:L,Data[[#This Row],[unqid]]))</f>
        <v/>
      </c>
    </row>
    <row r="499" spans="1:6" x14ac:dyDescent="0.3">
      <c r="A499" t="s">
        <v>714</v>
      </c>
      <c r="B499" t="s">
        <v>41</v>
      </c>
      <c r="C499" t="s">
        <v>27</v>
      </c>
      <c r="D499" s="1" t="str">
        <f>_xlfn.IFNA(_xlfn.XLOOKUP(Data[[#This Row],[unqid]],'Quipt Prod Data'!L:L,'Quipt Prod Data'!B:B),"")</f>
        <v/>
      </c>
      <c r="E499" s="1" t="str">
        <f>_xlfn.IFNA(_xlfn.XMATCH(Data[[#This Row],[unqid]],'Quipt Prod Data'!L:L,0),"")</f>
        <v/>
      </c>
      <c r="F499" s="1" t="str">
        <f>IF(COUNTIF('Quipt Prod Data'!L:L,Data[[#This Row],[unqid]])=0,"",COUNTIF('Quipt Prod Data'!L:L,Data[[#This Row],[unqid]]))</f>
        <v/>
      </c>
    </row>
    <row r="500" spans="1:6" x14ac:dyDescent="0.3">
      <c r="A500" t="s">
        <v>715</v>
      </c>
      <c r="B500" t="s">
        <v>26</v>
      </c>
      <c r="C500" t="s">
        <v>27</v>
      </c>
      <c r="D500" s="1" t="str">
        <f>_xlfn.IFNA(_xlfn.XLOOKUP(Data[[#This Row],[unqid]],'Quipt Prod Data'!L:L,'Quipt Prod Data'!B:B),"")</f>
        <v/>
      </c>
      <c r="E500" s="1" t="str">
        <f>_xlfn.IFNA(_xlfn.XMATCH(Data[[#This Row],[unqid]],'Quipt Prod Data'!L:L,0),"")</f>
        <v/>
      </c>
      <c r="F500" s="1" t="str">
        <f>IF(COUNTIF('Quipt Prod Data'!L:L,Data[[#This Row],[unqid]])=0,"",COUNTIF('Quipt Prod Data'!L:L,Data[[#This Row],[unqid]]))</f>
        <v/>
      </c>
    </row>
    <row r="501" spans="1:6" x14ac:dyDescent="0.3">
      <c r="A501" t="s">
        <v>716</v>
      </c>
      <c r="B501" t="s">
        <v>26</v>
      </c>
      <c r="C501" t="s">
        <v>27</v>
      </c>
      <c r="D501" s="1" t="str">
        <f>_xlfn.IFNA(_xlfn.XLOOKUP(Data[[#This Row],[unqid]],'Quipt Prod Data'!L:L,'Quipt Prod Data'!B:B),"")</f>
        <v/>
      </c>
      <c r="E501" s="1" t="str">
        <f>_xlfn.IFNA(_xlfn.XMATCH(Data[[#This Row],[unqid]],'Quipt Prod Data'!L:L,0),"")</f>
        <v/>
      </c>
      <c r="F501" s="1" t="str">
        <f>IF(COUNTIF('Quipt Prod Data'!L:L,Data[[#This Row],[unqid]])=0,"",COUNTIF('Quipt Prod Data'!L:L,Data[[#This Row],[unqid]]))</f>
        <v/>
      </c>
    </row>
    <row r="502" spans="1:6" x14ac:dyDescent="0.3">
      <c r="A502" t="s">
        <v>717</v>
      </c>
      <c r="B502" t="s">
        <v>32</v>
      </c>
      <c r="C502" t="s">
        <v>27</v>
      </c>
      <c r="D502" s="1" t="str">
        <f>_xlfn.IFNA(_xlfn.XLOOKUP(Data[[#This Row],[unqid]],'Quipt Prod Data'!L:L,'Quipt Prod Data'!B:B),"")</f>
        <v/>
      </c>
      <c r="E502" s="1" t="str">
        <f>_xlfn.IFNA(_xlfn.XMATCH(Data[[#This Row],[unqid]],'Quipt Prod Data'!L:L,0),"")</f>
        <v/>
      </c>
      <c r="F502" s="1" t="str">
        <f>IF(COUNTIF('Quipt Prod Data'!L:L,Data[[#This Row],[unqid]])=0,"",COUNTIF('Quipt Prod Data'!L:L,Data[[#This Row],[unqid]]))</f>
        <v/>
      </c>
    </row>
    <row r="503" spans="1:6" x14ac:dyDescent="0.3">
      <c r="A503" t="s">
        <v>718</v>
      </c>
      <c r="B503" t="s">
        <v>26</v>
      </c>
      <c r="C503" t="s">
        <v>27</v>
      </c>
      <c r="D503" s="1" t="str">
        <f>_xlfn.IFNA(_xlfn.XLOOKUP(Data[[#This Row],[unqid]],'Quipt Prod Data'!L:L,'Quipt Prod Data'!B:B),"")</f>
        <v/>
      </c>
      <c r="E503" s="1" t="str">
        <f>_xlfn.IFNA(_xlfn.XMATCH(Data[[#This Row],[unqid]],'Quipt Prod Data'!L:L,0),"")</f>
        <v/>
      </c>
      <c r="F503" s="1" t="str">
        <f>IF(COUNTIF('Quipt Prod Data'!L:L,Data[[#This Row],[unqid]])=0,"",COUNTIF('Quipt Prod Data'!L:L,Data[[#This Row],[unqid]]))</f>
        <v/>
      </c>
    </row>
    <row r="504" spans="1:6" x14ac:dyDescent="0.3">
      <c r="A504" t="s">
        <v>245</v>
      </c>
      <c r="B504" t="s">
        <v>26</v>
      </c>
      <c r="C504" t="s">
        <v>27</v>
      </c>
      <c r="D504" s="1" t="str">
        <f>_xlfn.IFNA(_xlfn.XLOOKUP(Data[[#This Row],[unqid]],'Quipt Prod Data'!L:L,'Quipt Prod Data'!B:B),"")</f>
        <v>Portal Quipt-Edocument</v>
      </c>
      <c r="E504" s="1">
        <f>_xlfn.IFNA(_xlfn.XMATCH(Data[[#This Row],[unqid]],'Quipt Prod Data'!L:L,0),"")</f>
        <v>43</v>
      </c>
      <c r="F504" s="1">
        <f>IF(COUNTIF('Quipt Prod Data'!L:L,Data[[#This Row],[unqid]])=0,"",COUNTIF('Quipt Prod Data'!L:L,Data[[#This Row],[unqid]]))</f>
        <v>1</v>
      </c>
    </row>
    <row r="505" spans="1:6" x14ac:dyDescent="0.3">
      <c r="A505" t="s">
        <v>719</v>
      </c>
      <c r="B505" t="s">
        <v>26</v>
      </c>
      <c r="C505" t="s">
        <v>27</v>
      </c>
      <c r="D505" s="1" t="str">
        <f>_xlfn.IFNA(_xlfn.XLOOKUP(Data[[#This Row],[unqid]],'Quipt Prod Data'!L:L,'Quipt Prod Data'!B:B),"")</f>
        <v/>
      </c>
      <c r="E505" s="1" t="str">
        <f>_xlfn.IFNA(_xlfn.XMATCH(Data[[#This Row],[unqid]],'Quipt Prod Data'!L:L,0),"")</f>
        <v/>
      </c>
      <c r="F505" s="1" t="str">
        <f>IF(COUNTIF('Quipt Prod Data'!L:L,Data[[#This Row],[unqid]])=0,"",COUNTIF('Quipt Prod Data'!L:L,Data[[#This Row],[unqid]]))</f>
        <v/>
      </c>
    </row>
    <row r="506" spans="1:6" x14ac:dyDescent="0.3">
      <c r="A506" t="s">
        <v>720</v>
      </c>
      <c r="B506" t="s">
        <v>26</v>
      </c>
      <c r="C506" t="s">
        <v>27</v>
      </c>
      <c r="D506" s="1" t="str">
        <f>_xlfn.IFNA(_xlfn.XLOOKUP(Data[[#This Row],[unqid]],'Quipt Prod Data'!L:L,'Quipt Prod Data'!B:B),"")</f>
        <v/>
      </c>
      <c r="E506" s="1" t="str">
        <f>_xlfn.IFNA(_xlfn.XMATCH(Data[[#This Row],[unqid]],'Quipt Prod Data'!L:L,0),"")</f>
        <v/>
      </c>
      <c r="F506" s="1" t="str">
        <f>IF(COUNTIF('Quipt Prod Data'!L:L,Data[[#This Row],[unqid]])=0,"",COUNTIF('Quipt Prod Data'!L:L,Data[[#This Row],[unqid]]))</f>
        <v/>
      </c>
    </row>
    <row r="507" spans="1:6" x14ac:dyDescent="0.3">
      <c r="A507" t="s">
        <v>721</v>
      </c>
      <c r="B507" t="s">
        <v>26</v>
      </c>
      <c r="C507" t="s">
        <v>27</v>
      </c>
      <c r="D507" s="1" t="str">
        <f>_xlfn.IFNA(_xlfn.XLOOKUP(Data[[#This Row],[unqid]],'Quipt Prod Data'!L:L,'Quipt Prod Data'!B:B),"")</f>
        <v/>
      </c>
      <c r="E507" s="1" t="str">
        <f>_xlfn.IFNA(_xlfn.XMATCH(Data[[#This Row],[unqid]],'Quipt Prod Data'!L:L,0),"")</f>
        <v/>
      </c>
      <c r="F507" s="1" t="str">
        <f>IF(COUNTIF('Quipt Prod Data'!L:L,Data[[#This Row],[unqid]])=0,"",COUNTIF('Quipt Prod Data'!L:L,Data[[#This Row],[unqid]]))</f>
        <v/>
      </c>
    </row>
    <row r="508" spans="1:6" x14ac:dyDescent="0.3">
      <c r="A508" t="s">
        <v>722</v>
      </c>
      <c r="B508" t="s">
        <v>26</v>
      </c>
      <c r="C508" t="s">
        <v>27</v>
      </c>
      <c r="D508" s="1" t="str">
        <f>_xlfn.IFNA(_xlfn.XLOOKUP(Data[[#This Row],[unqid]],'Quipt Prod Data'!L:L,'Quipt Prod Data'!B:B),"")</f>
        <v/>
      </c>
      <c r="E508" s="1" t="str">
        <f>_xlfn.IFNA(_xlfn.XMATCH(Data[[#This Row],[unqid]],'Quipt Prod Data'!L:L,0),"")</f>
        <v/>
      </c>
      <c r="F508" s="1" t="str">
        <f>IF(COUNTIF('Quipt Prod Data'!L:L,Data[[#This Row],[unqid]])=0,"",COUNTIF('Quipt Prod Data'!L:L,Data[[#This Row],[unqid]]))</f>
        <v/>
      </c>
    </row>
    <row r="509" spans="1:6" x14ac:dyDescent="0.3">
      <c r="A509" t="s">
        <v>723</v>
      </c>
      <c r="B509" t="s">
        <v>26</v>
      </c>
      <c r="C509" t="s">
        <v>27</v>
      </c>
      <c r="D509" s="1" t="str">
        <f>_xlfn.IFNA(_xlfn.XLOOKUP(Data[[#This Row],[unqid]],'Quipt Prod Data'!L:L,'Quipt Prod Data'!B:B),"")</f>
        <v/>
      </c>
      <c r="E509" s="1" t="str">
        <f>_xlfn.IFNA(_xlfn.XMATCH(Data[[#This Row],[unqid]],'Quipt Prod Data'!L:L,0),"")</f>
        <v/>
      </c>
      <c r="F509" s="1" t="str">
        <f>IF(COUNTIF('Quipt Prod Data'!L:L,Data[[#This Row],[unqid]])=0,"",COUNTIF('Quipt Prod Data'!L:L,Data[[#This Row],[unqid]]))</f>
        <v/>
      </c>
    </row>
    <row r="510" spans="1:6" x14ac:dyDescent="0.3">
      <c r="A510" t="s">
        <v>724</v>
      </c>
      <c r="B510" t="s">
        <v>26</v>
      </c>
      <c r="C510" t="s">
        <v>27</v>
      </c>
      <c r="D510" s="1" t="str">
        <f>_xlfn.IFNA(_xlfn.XLOOKUP(Data[[#This Row],[unqid]],'Quipt Prod Data'!L:L,'Quipt Prod Data'!B:B),"")</f>
        <v/>
      </c>
      <c r="E510" s="1" t="str">
        <f>_xlfn.IFNA(_xlfn.XMATCH(Data[[#This Row],[unqid]],'Quipt Prod Data'!L:L,0),"")</f>
        <v/>
      </c>
      <c r="F510" s="1" t="str">
        <f>IF(COUNTIF('Quipt Prod Data'!L:L,Data[[#This Row],[unqid]])=0,"",COUNTIF('Quipt Prod Data'!L:L,Data[[#This Row],[unqid]]))</f>
        <v/>
      </c>
    </row>
    <row r="511" spans="1:6" x14ac:dyDescent="0.3">
      <c r="A511" t="s">
        <v>725</v>
      </c>
      <c r="B511" t="s">
        <v>26</v>
      </c>
      <c r="C511" t="s">
        <v>27</v>
      </c>
      <c r="D511" s="1" t="str">
        <f>_xlfn.IFNA(_xlfn.XLOOKUP(Data[[#This Row],[unqid]],'Quipt Prod Data'!L:L,'Quipt Prod Data'!B:B),"")</f>
        <v/>
      </c>
      <c r="E511" s="1" t="str">
        <f>_xlfn.IFNA(_xlfn.XMATCH(Data[[#This Row],[unqid]],'Quipt Prod Data'!L:L,0),"")</f>
        <v/>
      </c>
      <c r="F511" s="1" t="str">
        <f>IF(COUNTIF('Quipt Prod Data'!L:L,Data[[#This Row],[unqid]])=0,"",COUNTIF('Quipt Prod Data'!L:L,Data[[#This Row],[unqid]]))</f>
        <v/>
      </c>
    </row>
    <row r="512" spans="1:6" x14ac:dyDescent="0.3">
      <c r="A512" t="s">
        <v>726</v>
      </c>
      <c r="B512" t="s">
        <v>32</v>
      </c>
      <c r="C512" t="s">
        <v>27</v>
      </c>
      <c r="D512" s="1" t="str">
        <f>_xlfn.IFNA(_xlfn.XLOOKUP(Data[[#This Row],[unqid]],'Quipt Prod Data'!L:L,'Quipt Prod Data'!B:B),"")</f>
        <v/>
      </c>
      <c r="E512" s="1" t="str">
        <f>_xlfn.IFNA(_xlfn.XMATCH(Data[[#This Row],[unqid]],'Quipt Prod Data'!L:L,0),"")</f>
        <v/>
      </c>
      <c r="F512" s="1" t="str">
        <f>IF(COUNTIF('Quipt Prod Data'!L:L,Data[[#This Row],[unqid]])=0,"",COUNTIF('Quipt Prod Data'!L:L,Data[[#This Row],[unqid]]))</f>
        <v/>
      </c>
    </row>
    <row r="513" spans="1:6" x14ac:dyDescent="0.3">
      <c r="A513" t="s">
        <v>727</v>
      </c>
      <c r="B513" t="s">
        <v>26</v>
      </c>
      <c r="C513" t="s">
        <v>27</v>
      </c>
      <c r="D513" s="1" t="str">
        <f>_xlfn.IFNA(_xlfn.XLOOKUP(Data[[#This Row],[unqid]],'Quipt Prod Data'!L:L,'Quipt Prod Data'!B:B),"")</f>
        <v/>
      </c>
      <c r="E513" s="1" t="str">
        <f>_xlfn.IFNA(_xlfn.XMATCH(Data[[#This Row],[unqid]],'Quipt Prod Data'!L:L,0),"")</f>
        <v/>
      </c>
      <c r="F513" s="1" t="str">
        <f>IF(COUNTIF('Quipt Prod Data'!L:L,Data[[#This Row],[unqid]])=0,"",COUNTIF('Quipt Prod Data'!L:L,Data[[#This Row],[unqid]]))</f>
        <v/>
      </c>
    </row>
    <row r="514" spans="1:6" x14ac:dyDescent="0.3">
      <c r="A514" t="s">
        <v>728</v>
      </c>
      <c r="B514" t="s">
        <v>32</v>
      </c>
      <c r="C514" t="s">
        <v>27</v>
      </c>
      <c r="D514" s="1" t="str">
        <f>_xlfn.IFNA(_xlfn.XLOOKUP(Data[[#This Row],[unqid]],'Quipt Prod Data'!L:L,'Quipt Prod Data'!B:B),"")</f>
        <v/>
      </c>
      <c r="E514" s="1" t="str">
        <f>_xlfn.IFNA(_xlfn.XMATCH(Data[[#This Row],[unqid]],'Quipt Prod Data'!L:L,0),"")</f>
        <v/>
      </c>
      <c r="F514" s="1" t="str">
        <f>IF(COUNTIF('Quipt Prod Data'!L:L,Data[[#This Row],[unqid]])=0,"",COUNTIF('Quipt Prod Data'!L:L,Data[[#This Row],[unqid]]))</f>
        <v/>
      </c>
    </row>
    <row r="515" spans="1:6" x14ac:dyDescent="0.3">
      <c r="A515" t="s">
        <v>729</v>
      </c>
      <c r="B515" t="s">
        <v>32</v>
      </c>
      <c r="C515" t="s">
        <v>27</v>
      </c>
      <c r="D515" s="1" t="str">
        <f>_xlfn.IFNA(_xlfn.XLOOKUP(Data[[#This Row],[unqid]],'Quipt Prod Data'!L:L,'Quipt Prod Data'!B:B),"")</f>
        <v/>
      </c>
      <c r="E515" s="1" t="str">
        <f>_xlfn.IFNA(_xlfn.XMATCH(Data[[#This Row],[unqid]],'Quipt Prod Data'!L:L,0),"")</f>
        <v/>
      </c>
      <c r="F515" s="1" t="str">
        <f>IF(COUNTIF('Quipt Prod Data'!L:L,Data[[#This Row],[unqid]])=0,"",COUNTIF('Quipt Prod Data'!L:L,Data[[#This Row],[unqid]]))</f>
        <v/>
      </c>
    </row>
    <row r="516" spans="1:6" x14ac:dyDescent="0.3">
      <c r="A516" t="s">
        <v>730</v>
      </c>
      <c r="B516" t="s">
        <v>26</v>
      </c>
      <c r="C516" t="s">
        <v>27</v>
      </c>
      <c r="D516" s="1" t="str">
        <f>_xlfn.IFNA(_xlfn.XLOOKUP(Data[[#This Row],[unqid]],'Quipt Prod Data'!L:L,'Quipt Prod Data'!B:B),"")</f>
        <v/>
      </c>
      <c r="E516" s="1" t="str">
        <f>_xlfn.IFNA(_xlfn.XMATCH(Data[[#This Row],[unqid]],'Quipt Prod Data'!L:L,0),"")</f>
        <v/>
      </c>
      <c r="F516" s="1" t="str">
        <f>IF(COUNTIF('Quipt Prod Data'!L:L,Data[[#This Row],[unqid]])=0,"",COUNTIF('Quipt Prod Data'!L:L,Data[[#This Row],[unqid]]))</f>
        <v/>
      </c>
    </row>
    <row r="517" spans="1:6" x14ac:dyDescent="0.3">
      <c r="A517" t="s">
        <v>731</v>
      </c>
      <c r="B517" t="s">
        <v>32</v>
      </c>
      <c r="C517" t="s">
        <v>27</v>
      </c>
      <c r="D517" s="1" t="str">
        <f>_xlfn.IFNA(_xlfn.XLOOKUP(Data[[#This Row],[unqid]],'Quipt Prod Data'!L:L,'Quipt Prod Data'!B:B),"")</f>
        <v/>
      </c>
      <c r="E517" s="1" t="str">
        <f>_xlfn.IFNA(_xlfn.XMATCH(Data[[#This Row],[unqid]],'Quipt Prod Data'!L:L,0),"")</f>
        <v/>
      </c>
      <c r="F517" s="1" t="str">
        <f>IF(COUNTIF('Quipt Prod Data'!L:L,Data[[#This Row],[unqid]])=0,"",COUNTIF('Quipt Prod Data'!L:L,Data[[#This Row],[unqid]]))</f>
        <v/>
      </c>
    </row>
    <row r="518" spans="1:6" x14ac:dyDescent="0.3">
      <c r="A518" t="s">
        <v>732</v>
      </c>
      <c r="B518" t="s">
        <v>32</v>
      </c>
      <c r="C518" t="s">
        <v>27</v>
      </c>
      <c r="D518" s="1" t="str">
        <f>_xlfn.IFNA(_xlfn.XLOOKUP(Data[[#This Row],[unqid]],'Quipt Prod Data'!L:L,'Quipt Prod Data'!B:B),"")</f>
        <v/>
      </c>
      <c r="E518" s="1" t="str">
        <f>_xlfn.IFNA(_xlfn.XMATCH(Data[[#This Row],[unqid]],'Quipt Prod Data'!L:L,0),"")</f>
        <v/>
      </c>
      <c r="F518" s="1" t="str">
        <f>IF(COUNTIF('Quipt Prod Data'!L:L,Data[[#This Row],[unqid]])=0,"",COUNTIF('Quipt Prod Data'!L:L,Data[[#This Row],[unqid]]))</f>
        <v/>
      </c>
    </row>
    <row r="519" spans="1:6" x14ac:dyDescent="0.3">
      <c r="A519" t="s">
        <v>733</v>
      </c>
      <c r="B519" t="s">
        <v>26</v>
      </c>
      <c r="C519" t="s">
        <v>27</v>
      </c>
      <c r="D519" s="1" t="str">
        <f>_xlfn.IFNA(_xlfn.XLOOKUP(Data[[#This Row],[unqid]],'Quipt Prod Data'!L:L,'Quipt Prod Data'!B:B),"")</f>
        <v/>
      </c>
      <c r="E519" s="1" t="str">
        <f>_xlfn.IFNA(_xlfn.XMATCH(Data[[#This Row],[unqid]],'Quipt Prod Data'!L:L,0),"")</f>
        <v/>
      </c>
      <c r="F519" s="1" t="str">
        <f>IF(COUNTIF('Quipt Prod Data'!L:L,Data[[#This Row],[unqid]])=0,"",COUNTIF('Quipt Prod Data'!L:L,Data[[#This Row],[unqid]]))</f>
        <v/>
      </c>
    </row>
    <row r="520" spans="1:6" x14ac:dyDescent="0.3">
      <c r="A520" t="s">
        <v>734</v>
      </c>
      <c r="B520" t="s">
        <v>32</v>
      </c>
      <c r="C520" t="s">
        <v>27</v>
      </c>
      <c r="D520" s="1" t="str">
        <f>_xlfn.IFNA(_xlfn.XLOOKUP(Data[[#This Row],[unqid]],'Quipt Prod Data'!L:L,'Quipt Prod Data'!B:B),"")</f>
        <v/>
      </c>
      <c r="E520" s="1" t="str">
        <f>_xlfn.IFNA(_xlfn.XMATCH(Data[[#This Row],[unqid]],'Quipt Prod Data'!L:L,0),"")</f>
        <v/>
      </c>
      <c r="F520" s="1" t="str">
        <f>IF(COUNTIF('Quipt Prod Data'!L:L,Data[[#This Row],[unqid]])=0,"",COUNTIF('Quipt Prod Data'!L:L,Data[[#This Row],[unqid]]))</f>
        <v/>
      </c>
    </row>
    <row r="521" spans="1:6" x14ac:dyDescent="0.3">
      <c r="A521" t="s">
        <v>735</v>
      </c>
      <c r="B521" t="s">
        <v>26</v>
      </c>
      <c r="C521" t="s">
        <v>27</v>
      </c>
      <c r="D521" s="1" t="str">
        <f>_xlfn.IFNA(_xlfn.XLOOKUP(Data[[#This Row],[unqid]],'Quipt Prod Data'!L:L,'Quipt Prod Data'!B:B),"")</f>
        <v/>
      </c>
      <c r="E521" s="1" t="str">
        <f>_xlfn.IFNA(_xlfn.XMATCH(Data[[#This Row],[unqid]],'Quipt Prod Data'!L:L,0),"")</f>
        <v/>
      </c>
      <c r="F521" s="1" t="str">
        <f>IF(COUNTIF('Quipt Prod Data'!L:L,Data[[#This Row],[unqid]])=0,"",COUNTIF('Quipt Prod Data'!L:L,Data[[#This Row],[unqid]]))</f>
        <v/>
      </c>
    </row>
    <row r="522" spans="1:6" x14ac:dyDescent="0.3">
      <c r="A522" t="s">
        <v>736</v>
      </c>
      <c r="B522" t="s">
        <v>34</v>
      </c>
      <c r="C522" t="s">
        <v>27</v>
      </c>
      <c r="D522" s="1" t="str">
        <f>_xlfn.IFNA(_xlfn.XLOOKUP(Data[[#This Row],[unqid]],'Quipt Prod Data'!L:L,'Quipt Prod Data'!B:B),"")</f>
        <v/>
      </c>
      <c r="E522" s="1" t="str">
        <f>_xlfn.IFNA(_xlfn.XMATCH(Data[[#This Row],[unqid]],'Quipt Prod Data'!L:L,0),"")</f>
        <v/>
      </c>
      <c r="F522" s="1" t="str">
        <f>IF(COUNTIF('Quipt Prod Data'!L:L,Data[[#This Row],[unqid]])=0,"",COUNTIF('Quipt Prod Data'!L:L,Data[[#This Row],[unqid]]))</f>
        <v/>
      </c>
    </row>
    <row r="523" spans="1:6" x14ac:dyDescent="0.3">
      <c r="A523" t="s">
        <v>737</v>
      </c>
      <c r="B523" t="s">
        <v>32</v>
      </c>
      <c r="C523" t="s">
        <v>27</v>
      </c>
      <c r="D523" s="1" t="str">
        <f>_xlfn.IFNA(_xlfn.XLOOKUP(Data[[#This Row],[unqid]],'Quipt Prod Data'!L:L,'Quipt Prod Data'!B:B),"")</f>
        <v/>
      </c>
      <c r="E523" s="1" t="str">
        <f>_xlfn.IFNA(_xlfn.XMATCH(Data[[#This Row],[unqid]],'Quipt Prod Data'!L:L,0),"")</f>
        <v/>
      </c>
      <c r="F523" s="1" t="str">
        <f>IF(COUNTIF('Quipt Prod Data'!L:L,Data[[#This Row],[unqid]])=0,"",COUNTIF('Quipt Prod Data'!L:L,Data[[#This Row],[unqid]]))</f>
        <v/>
      </c>
    </row>
    <row r="524" spans="1:6" x14ac:dyDescent="0.3">
      <c r="A524" t="s">
        <v>738</v>
      </c>
      <c r="B524" t="s">
        <v>32</v>
      </c>
      <c r="C524" t="s">
        <v>27</v>
      </c>
      <c r="D524" s="1" t="str">
        <f>_xlfn.IFNA(_xlfn.XLOOKUP(Data[[#This Row],[unqid]],'Quipt Prod Data'!L:L,'Quipt Prod Data'!B:B),"")</f>
        <v/>
      </c>
      <c r="E524" s="1" t="str">
        <f>_xlfn.IFNA(_xlfn.XMATCH(Data[[#This Row],[unqid]],'Quipt Prod Data'!L:L,0),"")</f>
        <v/>
      </c>
      <c r="F524" s="1" t="str">
        <f>IF(COUNTIF('Quipt Prod Data'!L:L,Data[[#This Row],[unqid]])=0,"",COUNTIF('Quipt Prod Data'!L:L,Data[[#This Row],[unqid]]))</f>
        <v/>
      </c>
    </row>
    <row r="525" spans="1:6" x14ac:dyDescent="0.3">
      <c r="A525" t="s">
        <v>739</v>
      </c>
      <c r="B525" t="s">
        <v>32</v>
      </c>
      <c r="C525" t="s">
        <v>27</v>
      </c>
      <c r="D525" s="1" t="str">
        <f>_xlfn.IFNA(_xlfn.XLOOKUP(Data[[#This Row],[unqid]],'Quipt Prod Data'!L:L,'Quipt Prod Data'!B:B),"")</f>
        <v/>
      </c>
      <c r="E525" s="1" t="str">
        <f>_xlfn.IFNA(_xlfn.XMATCH(Data[[#This Row],[unqid]],'Quipt Prod Data'!L:L,0),"")</f>
        <v/>
      </c>
      <c r="F525" s="1" t="str">
        <f>IF(COUNTIF('Quipt Prod Data'!L:L,Data[[#This Row],[unqid]])=0,"",COUNTIF('Quipt Prod Data'!L:L,Data[[#This Row],[unqid]]))</f>
        <v/>
      </c>
    </row>
    <row r="526" spans="1:6" x14ac:dyDescent="0.3">
      <c r="A526" t="s">
        <v>740</v>
      </c>
      <c r="B526" t="s">
        <v>32</v>
      </c>
      <c r="C526" t="s">
        <v>27</v>
      </c>
      <c r="D526" s="1" t="str">
        <f>_xlfn.IFNA(_xlfn.XLOOKUP(Data[[#This Row],[unqid]],'Quipt Prod Data'!L:L,'Quipt Prod Data'!B:B),"")</f>
        <v/>
      </c>
      <c r="E526" s="1" t="str">
        <f>_xlfn.IFNA(_xlfn.XMATCH(Data[[#This Row],[unqid]],'Quipt Prod Data'!L:L,0),"")</f>
        <v/>
      </c>
      <c r="F526" s="1" t="str">
        <f>IF(COUNTIF('Quipt Prod Data'!L:L,Data[[#This Row],[unqid]])=0,"",COUNTIF('Quipt Prod Data'!L:L,Data[[#This Row],[unqid]]))</f>
        <v/>
      </c>
    </row>
    <row r="527" spans="1:6" x14ac:dyDescent="0.3">
      <c r="A527" t="s">
        <v>741</v>
      </c>
      <c r="B527" t="s">
        <v>26</v>
      </c>
      <c r="C527" t="s">
        <v>27</v>
      </c>
      <c r="D527" s="1" t="str">
        <f>_xlfn.IFNA(_xlfn.XLOOKUP(Data[[#This Row],[unqid]],'Quipt Prod Data'!L:L,'Quipt Prod Data'!B:B),"")</f>
        <v/>
      </c>
      <c r="E527" s="1" t="str">
        <f>_xlfn.IFNA(_xlfn.XMATCH(Data[[#This Row],[unqid]],'Quipt Prod Data'!L:L,0),"")</f>
        <v/>
      </c>
      <c r="F527" s="1" t="str">
        <f>IF(COUNTIF('Quipt Prod Data'!L:L,Data[[#This Row],[unqid]])=0,"",COUNTIF('Quipt Prod Data'!L:L,Data[[#This Row],[unqid]]))</f>
        <v/>
      </c>
    </row>
    <row r="528" spans="1:6" x14ac:dyDescent="0.3">
      <c r="A528" t="s">
        <v>742</v>
      </c>
      <c r="B528" t="s">
        <v>32</v>
      </c>
      <c r="C528" t="s">
        <v>27</v>
      </c>
      <c r="D528" s="1" t="str">
        <f>_xlfn.IFNA(_xlfn.XLOOKUP(Data[[#This Row],[unqid]],'Quipt Prod Data'!L:L,'Quipt Prod Data'!B:B),"")</f>
        <v/>
      </c>
      <c r="E528" s="1" t="str">
        <f>_xlfn.IFNA(_xlfn.XMATCH(Data[[#This Row],[unqid]],'Quipt Prod Data'!L:L,0),"")</f>
        <v/>
      </c>
      <c r="F528" s="1" t="str">
        <f>IF(COUNTIF('Quipt Prod Data'!L:L,Data[[#This Row],[unqid]])=0,"",COUNTIF('Quipt Prod Data'!L:L,Data[[#This Row],[unqid]]))</f>
        <v/>
      </c>
    </row>
    <row r="529" spans="1:6" x14ac:dyDescent="0.3">
      <c r="A529" t="s">
        <v>743</v>
      </c>
      <c r="B529" t="s">
        <v>32</v>
      </c>
      <c r="C529" t="s">
        <v>27</v>
      </c>
      <c r="D529" s="1" t="str">
        <f>_xlfn.IFNA(_xlfn.XLOOKUP(Data[[#This Row],[unqid]],'Quipt Prod Data'!L:L,'Quipt Prod Data'!B:B),"")</f>
        <v/>
      </c>
      <c r="E529" s="1" t="str">
        <f>_xlfn.IFNA(_xlfn.XMATCH(Data[[#This Row],[unqid]],'Quipt Prod Data'!L:L,0),"")</f>
        <v/>
      </c>
      <c r="F529" s="1" t="str">
        <f>IF(COUNTIF('Quipt Prod Data'!L:L,Data[[#This Row],[unqid]])=0,"",COUNTIF('Quipt Prod Data'!L:L,Data[[#This Row],[unqid]]))</f>
        <v/>
      </c>
    </row>
    <row r="530" spans="1:6" x14ac:dyDescent="0.3">
      <c r="A530" t="s">
        <v>744</v>
      </c>
      <c r="B530" t="s">
        <v>32</v>
      </c>
      <c r="C530" t="s">
        <v>27</v>
      </c>
      <c r="D530" s="1" t="str">
        <f>_xlfn.IFNA(_xlfn.XLOOKUP(Data[[#This Row],[unqid]],'Quipt Prod Data'!L:L,'Quipt Prod Data'!B:B),"")</f>
        <v/>
      </c>
      <c r="E530" s="1" t="str">
        <f>_xlfn.IFNA(_xlfn.XMATCH(Data[[#This Row],[unqid]],'Quipt Prod Data'!L:L,0),"")</f>
        <v/>
      </c>
      <c r="F530" s="1" t="str">
        <f>IF(COUNTIF('Quipt Prod Data'!L:L,Data[[#This Row],[unqid]])=0,"",COUNTIF('Quipt Prod Data'!L:L,Data[[#This Row],[unqid]]))</f>
        <v/>
      </c>
    </row>
    <row r="531" spans="1:6" x14ac:dyDescent="0.3">
      <c r="A531" t="s">
        <v>745</v>
      </c>
      <c r="B531" t="s">
        <v>26</v>
      </c>
      <c r="C531" t="s">
        <v>27</v>
      </c>
      <c r="D531" s="1" t="str">
        <f>_xlfn.IFNA(_xlfn.XLOOKUP(Data[[#This Row],[unqid]],'Quipt Prod Data'!L:L,'Quipt Prod Data'!B:B),"")</f>
        <v/>
      </c>
      <c r="E531" s="1" t="str">
        <f>_xlfn.IFNA(_xlfn.XMATCH(Data[[#This Row],[unqid]],'Quipt Prod Data'!L:L,0),"")</f>
        <v/>
      </c>
      <c r="F531" s="1" t="str">
        <f>IF(COUNTIF('Quipt Prod Data'!L:L,Data[[#This Row],[unqid]])=0,"",COUNTIF('Quipt Prod Data'!L:L,Data[[#This Row],[unqid]]))</f>
        <v/>
      </c>
    </row>
    <row r="532" spans="1:6" x14ac:dyDescent="0.3">
      <c r="A532" t="s">
        <v>746</v>
      </c>
      <c r="B532" t="s">
        <v>26</v>
      </c>
      <c r="C532" t="s">
        <v>27</v>
      </c>
      <c r="D532" s="1" t="str">
        <f>_xlfn.IFNA(_xlfn.XLOOKUP(Data[[#This Row],[unqid]],'Quipt Prod Data'!L:L,'Quipt Prod Data'!B:B),"")</f>
        <v/>
      </c>
      <c r="E532" s="1" t="str">
        <f>_xlfn.IFNA(_xlfn.XMATCH(Data[[#This Row],[unqid]],'Quipt Prod Data'!L:L,0),"")</f>
        <v/>
      </c>
      <c r="F532" s="1" t="str">
        <f>IF(COUNTIF('Quipt Prod Data'!L:L,Data[[#This Row],[unqid]])=0,"",COUNTIF('Quipt Prod Data'!L:L,Data[[#This Row],[unqid]]))</f>
        <v/>
      </c>
    </row>
    <row r="533" spans="1:6" x14ac:dyDescent="0.3">
      <c r="A533" t="s">
        <v>747</v>
      </c>
      <c r="B533" t="s">
        <v>26</v>
      </c>
      <c r="C533" t="s">
        <v>27</v>
      </c>
      <c r="D533" s="1" t="str">
        <f>_xlfn.IFNA(_xlfn.XLOOKUP(Data[[#This Row],[unqid]],'Quipt Prod Data'!L:L,'Quipt Prod Data'!B:B),"")</f>
        <v/>
      </c>
      <c r="E533" s="1" t="str">
        <f>_xlfn.IFNA(_xlfn.XMATCH(Data[[#This Row],[unqid]],'Quipt Prod Data'!L:L,0),"")</f>
        <v/>
      </c>
      <c r="F533" s="1" t="str">
        <f>IF(COUNTIF('Quipt Prod Data'!L:L,Data[[#This Row],[unqid]])=0,"",COUNTIF('Quipt Prod Data'!L:L,Data[[#This Row],[unqid]]))</f>
        <v/>
      </c>
    </row>
    <row r="534" spans="1:6" x14ac:dyDescent="0.3">
      <c r="A534" t="s">
        <v>748</v>
      </c>
      <c r="B534" t="s">
        <v>32</v>
      </c>
      <c r="C534" t="s">
        <v>27</v>
      </c>
      <c r="D534" s="1" t="str">
        <f>_xlfn.IFNA(_xlfn.XLOOKUP(Data[[#This Row],[unqid]],'Quipt Prod Data'!L:L,'Quipt Prod Data'!B:B),"")</f>
        <v/>
      </c>
      <c r="E534" s="1" t="str">
        <f>_xlfn.IFNA(_xlfn.XMATCH(Data[[#This Row],[unqid]],'Quipt Prod Data'!L:L,0),"")</f>
        <v/>
      </c>
      <c r="F534" s="1" t="str">
        <f>IF(COUNTIF('Quipt Prod Data'!L:L,Data[[#This Row],[unqid]])=0,"",COUNTIF('Quipt Prod Data'!L:L,Data[[#This Row],[unqid]]))</f>
        <v/>
      </c>
    </row>
    <row r="535" spans="1:6" x14ac:dyDescent="0.3">
      <c r="A535" t="s">
        <v>749</v>
      </c>
      <c r="B535" t="s">
        <v>26</v>
      </c>
      <c r="C535" t="s">
        <v>27</v>
      </c>
      <c r="D535" s="1" t="str">
        <f>_xlfn.IFNA(_xlfn.XLOOKUP(Data[[#This Row],[unqid]],'Quipt Prod Data'!L:L,'Quipt Prod Data'!B:B),"")</f>
        <v/>
      </c>
      <c r="E535" s="1" t="str">
        <f>_xlfn.IFNA(_xlfn.XMATCH(Data[[#This Row],[unqid]],'Quipt Prod Data'!L:L,0),"")</f>
        <v/>
      </c>
      <c r="F535" s="1" t="str">
        <f>IF(COUNTIF('Quipt Prod Data'!L:L,Data[[#This Row],[unqid]])=0,"",COUNTIF('Quipt Prod Data'!L:L,Data[[#This Row],[unqid]]))</f>
        <v/>
      </c>
    </row>
    <row r="536" spans="1:6" x14ac:dyDescent="0.3">
      <c r="A536" t="s">
        <v>750</v>
      </c>
      <c r="B536" t="s">
        <v>42</v>
      </c>
      <c r="C536" t="s">
        <v>43</v>
      </c>
      <c r="D536" s="1" t="str">
        <f>_xlfn.IFNA(_xlfn.XLOOKUP(Data[[#This Row],[unqid]],'Quipt Prod Data'!L:L,'Quipt Prod Data'!B:B),"")</f>
        <v/>
      </c>
      <c r="E536" s="1" t="str">
        <f>_xlfn.IFNA(_xlfn.XMATCH(Data[[#This Row],[unqid]],'Quipt Prod Data'!L:L,0),"")</f>
        <v/>
      </c>
      <c r="F536" s="1" t="str">
        <f>IF(COUNTIF('Quipt Prod Data'!L:L,Data[[#This Row],[unqid]])=0,"",COUNTIF('Quipt Prod Data'!L:L,Data[[#This Row],[unqid]]))</f>
        <v/>
      </c>
    </row>
    <row r="537" spans="1:6" x14ac:dyDescent="0.3">
      <c r="A537" t="s">
        <v>751</v>
      </c>
      <c r="B537" t="s">
        <v>41</v>
      </c>
      <c r="C537" t="s">
        <v>44</v>
      </c>
      <c r="D537" s="1" t="str">
        <f>_xlfn.IFNA(_xlfn.XLOOKUP(Data[[#This Row],[unqid]],'Quipt Prod Data'!L:L,'Quipt Prod Data'!B:B),"")</f>
        <v/>
      </c>
      <c r="E537" s="1" t="str">
        <f>_xlfn.IFNA(_xlfn.XMATCH(Data[[#This Row],[unqid]],'Quipt Prod Data'!L:L,0),"")</f>
        <v/>
      </c>
      <c r="F537" s="1" t="str">
        <f>IF(COUNTIF('Quipt Prod Data'!L:L,Data[[#This Row],[unqid]])=0,"",COUNTIF('Quipt Prod Data'!L:L,Data[[#This Row],[unqid]]))</f>
        <v/>
      </c>
    </row>
    <row r="538" spans="1:6" x14ac:dyDescent="0.3">
      <c r="A538" t="s">
        <v>752</v>
      </c>
      <c r="B538" t="s">
        <v>41</v>
      </c>
      <c r="C538" t="s">
        <v>44</v>
      </c>
      <c r="D538" s="1" t="str">
        <f>_xlfn.IFNA(_xlfn.XLOOKUP(Data[[#This Row],[unqid]],'Quipt Prod Data'!L:L,'Quipt Prod Data'!B:B),"")</f>
        <v/>
      </c>
      <c r="E538" s="1" t="str">
        <f>_xlfn.IFNA(_xlfn.XMATCH(Data[[#This Row],[unqid]],'Quipt Prod Data'!L:L,0),"")</f>
        <v/>
      </c>
      <c r="F538" s="1" t="str">
        <f>IF(COUNTIF('Quipt Prod Data'!L:L,Data[[#This Row],[unqid]])=0,"",COUNTIF('Quipt Prod Data'!L:L,Data[[#This Row],[unqid]]))</f>
        <v/>
      </c>
    </row>
    <row r="539" spans="1:6" x14ac:dyDescent="0.3">
      <c r="A539" t="s">
        <v>753</v>
      </c>
      <c r="B539" t="s">
        <v>41</v>
      </c>
      <c r="C539" t="s">
        <v>44</v>
      </c>
      <c r="D539" s="1" t="str">
        <f>_xlfn.IFNA(_xlfn.XLOOKUP(Data[[#This Row],[unqid]],'Quipt Prod Data'!L:L,'Quipt Prod Data'!B:B),"")</f>
        <v/>
      </c>
      <c r="E539" s="1" t="str">
        <f>_xlfn.IFNA(_xlfn.XMATCH(Data[[#This Row],[unqid]],'Quipt Prod Data'!L:L,0),"")</f>
        <v/>
      </c>
      <c r="F539" s="1" t="str">
        <f>IF(COUNTIF('Quipt Prod Data'!L:L,Data[[#This Row],[unqid]])=0,"",COUNTIF('Quipt Prod Data'!L:L,Data[[#This Row],[unqid]]))</f>
        <v/>
      </c>
    </row>
    <row r="540" spans="1:6" x14ac:dyDescent="0.3">
      <c r="A540" t="s">
        <v>754</v>
      </c>
      <c r="B540" t="s">
        <v>41</v>
      </c>
      <c r="C540" t="s">
        <v>44</v>
      </c>
      <c r="D540" s="1" t="str">
        <f>_xlfn.IFNA(_xlfn.XLOOKUP(Data[[#This Row],[unqid]],'Quipt Prod Data'!L:L,'Quipt Prod Data'!B:B),"")</f>
        <v/>
      </c>
      <c r="E540" s="1" t="str">
        <f>_xlfn.IFNA(_xlfn.XMATCH(Data[[#This Row],[unqid]],'Quipt Prod Data'!L:L,0),"")</f>
        <v/>
      </c>
      <c r="F540" s="1" t="str">
        <f>IF(COUNTIF('Quipt Prod Data'!L:L,Data[[#This Row],[unqid]])=0,"",COUNTIF('Quipt Prod Data'!L:L,Data[[#This Row],[unqid]]))</f>
        <v/>
      </c>
    </row>
    <row r="541" spans="1:6" x14ac:dyDescent="0.3">
      <c r="A541" t="s">
        <v>755</v>
      </c>
      <c r="B541" t="s">
        <v>41</v>
      </c>
      <c r="C541" t="s">
        <v>44</v>
      </c>
      <c r="D541" s="1" t="str">
        <f>_xlfn.IFNA(_xlfn.XLOOKUP(Data[[#This Row],[unqid]],'Quipt Prod Data'!L:L,'Quipt Prod Data'!B:B),"")</f>
        <v/>
      </c>
      <c r="E541" s="1" t="str">
        <f>_xlfn.IFNA(_xlfn.XMATCH(Data[[#This Row],[unqid]],'Quipt Prod Data'!L:L,0),"")</f>
        <v/>
      </c>
      <c r="F541" s="1" t="str">
        <f>IF(COUNTIF('Quipt Prod Data'!L:L,Data[[#This Row],[unqid]])=0,"",COUNTIF('Quipt Prod Data'!L:L,Data[[#This Row],[unqid]]))</f>
        <v/>
      </c>
    </row>
    <row r="542" spans="1:6" x14ac:dyDescent="0.3">
      <c r="A542" t="s">
        <v>756</v>
      </c>
      <c r="B542" t="s">
        <v>33</v>
      </c>
      <c r="C542" t="s">
        <v>27</v>
      </c>
      <c r="D542" s="1" t="str">
        <f>_xlfn.IFNA(_xlfn.XLOOKUP(Data[[#This Row],[unqid]],'Quipt Prod Data'!L:L,'Quipt Prod Data'!B:B),"")</f>
        <v/>
      </c>
      <c r="E542" s="1" t="str">
        <f>_xlfn.IFNA(_xlfn.XMATCH(Data[[#This Row],[unqid]],'Quipt Prod Data'!L:L,0),"")</f>
        <v/>
      </c>
      <c r="F542" s="1" t="str">
        <f>IF(COUNTIF('Quipt Prod Data'!L:L,Data[[#This Row],[unqid]])=0,"",COUNTIF('Quipt Prod Data'!L:L,Data[[#This Row],[unqid]]))</f>
        <v/>
      </c>
    </row>
    <row r="543" spans="1:6" x14ac:dyDescent="0.3">
      <c r="A543" t="s">
        <v>757</v>
      </c>
      <c r="B543" t="s">
        <v>32</v>
      </c>
      <c r="C543" t="s">
        <v>45</v>
      </c>
      <c r="D543" s="1" t="str">
        <f>_xlfn.IFNA(_xlfn.XLOOKUP(Data[[#This Row],[unqid]],'Quipt Prod Data'!L:L,'Quipt Prod Data'!B:B),"")</f>
        <v/>
      </c>
      <c r="E543" s="1" t="str">
        <f>_xlfn.IFNA(_xlfn.XMATCH(Data[[#This Row],[unqid]],'Quipt Prod Data'!L:L,0),"")</f>
        <v/>
      </c>
      <c r="F543" s="1" t="str">
        <f>IF(COUNTIF('Quipt Prod Data'!L:L,Data[[#This Row],[unqid]])=0,"",COUNTIF('Quipt Prod Data'!L:L,Data[[#This Row],[unqid]]))</f>
        <v/>
      </c>
    </row>
    <row r="544" spans="1:6" x14ac:dyDescent="0.3">
      <c r="A544" t="s">
        <v>758</v>
      </c>
      <c r="B544" t="s">
        <v>32</v>
      </c>
      <c r="C544" t="s">
        <v>45</v>
      </c>
      <c r="D544" s="1" t="str">
        <f>_xlfn.IFNA(_xlfn.XLOOKUP(Data[[#This Row],[unqid]],'Quipt Prod Data'!L:L,'Quipt Prod Data'!B:B),"")</f>
        <v/>
      </c>
      <c r="E544" s="1" t="str">
        <f>_xlfn.IFNA(_xlfn.XMATCH(Data[[#This Row],[unqid]],'Quipt Prod Data'!L:L,0),"")</f>
        <v/>
      </c>
      <c r="F544" s="1" t="str">
        <f>IF(COUNTIF('Quipt Prod Data'!L:L,Data[[#This Row],[unqid]])=0,"",COUNTIF('Quipt Prod Data'!L:L,Data[[#This Row],[unqid]]))</f>
        <v/>
      </c>
    </row>
    <row r="545" spans="1:6" x14ac:dyDescent="0.3">
      <c r="A545" t="s">
        <v>759</v>
      </c>
      <c r="B545" t="s">
        <v>41</v>
      </c>
      <c r="C545" t="s">
        <v>46</v>
      </c>
      <c r="D545" s="1" t="str">
        <f>_xlfn.IFNA(_xlfn.XLOOKUP(Data[[#This Row],[unqid]],'Quipt Prod Data'!L:L,'Quipt Prod Data'!B:B),"")</f>
        <v/>
      </c>
      <c r="E545" s="1" t="str">
        <f>_xlfn.IFNA(_xlfn.XMATCH(Data[[#This Row],[unqid]],'Quipt Prod Data'!L:L,0),"")</f>
        <v/>
      </c>
      <c r="F545" s="1" t="str">
        <f>IF(COUNTIF('Quipt Prod Data'!L:L,Data[[#This Row],[unqid]])=0,"",COUNTIF('Quipt Prod Data'!L:L,Data[[#This Row],[unqid]]))</f>
        <v/>
      </c>
    </row>
    <row r="546" spans="1:6" x14ac:dyDescent="0.3">
      <c r="A546" t="s">
        <v>760</v>
      </c>
      <c r="B546" t="s">
        <v>41</v>
      </c>
      <c r="C546" t="s">
        <v>44</v>
      </c>
      <c r="D546" s="1" t="str">
        <f>_xlfn.IFNA(_xlfn.XLOOKUP(Data[[#This Row],[unqid]],'Quipt Prod Data'!L:L,'Quipt Prod Data'!B:B),"")</f>
        <v/>
      </c>
      <c r="E546" s="1" t="str">
        <f>_xlfn.IFNA(_xlfn.XMATCH(Data[[#This Row],[unqid]],'Quipt Prod Data'!L:L,0),"")</f>
        <v/>
      </c>
      <c r="F546" s="1" t="str">
        <f>IF(COUNTIF('Quipt Prod Data'!L:L,Data[[#This Row],[unqid]])=0,"",COUNTIF('Quipt Prod Data'!L:L,Data[[#This Row],[unqid]]))</f>
        <v/>
      </c>
    </row>
    <row r="547" spans="1:6" x14ac:dyDescent="0.3">
      <c r="A547" t="s">
        <v>761</v>
      </c>
      <c r="B547" t="s">
        <v>41</v>
      </c>
      <c r="C547" t="s">
        <v>44</v>
      </c>
      <c r="D547" s="1" t="str">
        <f>_xlfn.IFNA(_xlfn.XLOOKUP(Data[[#This Row],[unqid]],'Quipt Prod Data'!L:L,'Quipt Prod Data'!B:B),"")</f>
        <v/>
      </c>
      <c r="E547" s="1" t="str">
        <f>_xlfn.IFNA(_xlfn.XMATCH(Data[[#This Row],[unqid]],'Quipt Prod Data'!L:L,0),"")</f>
        <v/>
      </c>
      <c r="F547" s="1" t="str">
        <f>IF(COUNTIF('Quipt Prod Data'!L:L,Data[[#This Row],[unqid]])=0,"",COUNTIF('Quipt Prod Data'!L:L,Data[[#This Row],[unqid]]))</f>
        <v/>
      </c>
    </row>
    <row r="548" spans="1:6" x14ac:dyDescent="0.3">
      <c r="A548" t="s">
        <v>762</v>
      </c>
      <c r="B548" t="s">
        <v>41</v>
      </c>
      <c r="C548" t="s">
        <v>46</v>
      </c>
      <c r="D548" s="1" t="str">
        <f>_xlfn.IFNA(_xlfn.XLOOKUP(Data[[#This Row],[unqid]],'Quipt Prod Data'!L:L,'Quipt Prod Data'!B:B),"")</f>
        <v/>
      </c>
      <c r="E548" s="1" t="str">
        <f>_xlfn.IFNA(_xlfn.XMATCH(Data[[#This Row],[unqid]],'Quipt Prod Data'!L:L,0),"")</f>
        <v/>
      </c>
      <c r="F548" s="1" t="str">
        <f>IF(COUNTIF('Quipt Prod Data'!L:L,Data[[#This Row],[unqid]])=0,"",COUNTIF('Quipt Prod Data'!L:L,Data[[#This Row],[unqid]]))</f>
        <v/>
      </c>
    </row>
    <row r="549" spans="1:6" x14ac:dyDescent="0.3">
      <c r="A549" t="s">
        <v>763</v>
      </c>
      <c r="B549" t="s">
        <v>42</v>
      </c>
      <c r="C549" t="s">
        <v>43</v>
      </c>
      <c r="D549" s="1" t="str">
        <f>_xlfn.IFNA(_xlfn.XLOOKUP(Data[[#This Row],[unqid]],'Quipt Prod Data'!L:L,'Quipt Prod Data'!B:B),"")</f>
        <v/>
      </c>
      <c r="E549" s="1" t="str">
        <f>_xlfn.IFNA(_xlfn.XMATCH(Data[[#This Row],[unqid]],'Quipt Prod Data'!L:L,0),"")</f>
        <v/>
      </c>
      <c r="F549" s="1" t="str">
        <f>IF(COUNTIF('Quipt Prod Data'!L:L,Data[[#This Row],[unqid]])=0,"",COUNTIF('Quipt Prod Data'!L:L,Data[[#This Row],[unqid]]))</f>
        <v/>
      </c>
    </row>
    <row r="550" spans="1:6" x14ac:dyDescent="0.3">
      <c r="A550" t="s">
        <v>764</v>
      </c>
      <c r="B550" t="s">
        <v>41</v>
      </c>
      <c r="C550" t="s">
        <v>44</v>
      </c>
      <c r="D550" s="1" t="str">
        <f>_xlfn.IFNA(_xlfn.XLOOKUP(Data[[#This Row],[unqid]],'Quipt Prod Data'!L:L,'Quipt Prod Data'!B:B),"")</f>
        <v/>
      </c>
      <c r="E550" s="1" t="str">
        <f>_xlfn.IFNA(_xlfn.XMATCH(Data[[#This Row],[unqid]],'Quipt Prod Data'!L:L,0),"")</f>
        <v/>
      </c>
      <c r="F550" s="1" t="str">
        <f>IF(COUNTIF('Quipt Prod Data'!L:L,Data[[#This Row],[unqid]])=0,"",COUNTIF('Quipt Prod Data'!L:L,Data[[#This Row],[unqid]]))</f>
        <v/>
      </c>
    </row>
    <row r="551" spans="1:6" x14ac:dyDescent="0.3">
      <c r="A551" t="s">
        <v>765</v>
      </c>
      <c r="B551" t="s">
        <v>47</v>
      </c>
      <c r="C551" t="s">
        <v>44</v>
      </c>
      <c r="D551" s="1" t="str">
        <f>_xlfn.IFNA(_xlfn.XLOOKUP(Data[[#This Row],[unqid]],'Quipt Prod Data'!L:L,'Quipt Prod Data'!B:B),"")</f>
        <v/>
      </c>
      <c r="E551" s="1" t="str">
        <f>_xlfn.IFNA(_xlfn.XMATCH(Data[[#This Row],[unqid]],'Quipt Prod Data'!L:L,0),"")</f>
        <v/>
      </c>
      <c r="F551" s="1" t="str">
        <f>IF(COUNTIF('Quipt Prod Data'!L:L,Data[[#This Row],[unqid]])=0,"",COUNTIF('Quipt Prod Data'!L:L,Data[[#This Row],[unqid]]))</f>
        <v/>
      </c>
    </row>
    <row r="552" spans="1:6" x14ac:dyDescent="0.3">
      <c r="A552" t="s">
        <v>766</v>
      </c>
      <c r="B552" t="s">
        <v>41</v>
      </c>
      <c r="C552" t="s">
        <v>44</v>
      </c>
      <c r="D552" s="1" t="str">
        <f>_xlfn.IFNA(_xlfn.XLOOKUP(Data[[#This Row],[unqid]],'Quipt Prod Data'!L:L,'Quipt Prod Data'!B:B),"")</f>
        <v/>
      </c>
      <c r="E552" s="1" t="str">
        <f>_xlfn.IFNA(_xlfn.XMATCH(Data[[#This Row],[unqid]],'Quipt Prod Data'!L:L,0),"")</f>
        <v/>
      </c>
      <c r="F552" s="1" t="str">
        <f>IF(COUNTIF('Quipt Prod Data'!L:L,Data[[#This Row],[unqid]])=0,"",COUNTIF('Quipt Prod Data'!L:L,Data[[#This Row],[unqid]]))</f>
        <v/>
      </c>
    </row>
    <row r="553" spans="1:6" x14ac:dyDescent="0.3">
      <c r="A553" t="s">
        <v>767</v>
      </c>
      <c r="B553" t="s">
        <v>41</v>
      </c>
      <c r="C553" t="s">
        <v>44</v>
      </c>
      <c r="D553" s="1" t="str">
        <f>_xlfn.IFNA(_xlfn.XLOOKUP(Data[[#This Row],[unqid]],'Quipt Prod Data'!L:L,'Quipt Prod Data'!B:B),"")</f>
        <v/>
      </c>
      <c r="E553" s="1" t="str">
        <f>_xlfn.IFNA(_xlfn.XMATCH(Data[[#This Row],[unqid]],'Quipt Prod Data'!L:L,0),"")</f>
        <v/>
      </c>
      <c r="F553" s="1" t="str">
        <f>IF(COUNTIF('Quipt Prod Data'!L:L,Data[[#This Row],[unqid]])=0,"",COUNTIF('Quipt Prod Data'!L:L,Data[[#This Row],[unqid]]))</f>
        <v/>
      </c>
    </row>
    <row r="554" spans="1:6" x14ac:dyDescent="0.3">
      <c r="A554" t="s">
        <v>768</v>
      </c>
      <c r="B554" t="s">
        <v>38</v>
      </c>
      <c r="C554" t="s">
        <v>27</v>
      </c>
      <c r="D554" s="1" t="str">
        <f>_xlfn.IFNA(_xlfn.XLOOKUP(Data[[#This Row],[unqid]],'Quipt Prod Data'!L:L,'Quipt Prod Data'!B:B),"")</f>
        <v/>
      </c>
      <c r="E554" s="1" t="str">
        <f>_xlfn.IFNA(_xlfn.XMATCH(Data[[#This Row],[unqid]],'Quipt Prod Data'!L:L,0),"")</f>
        <v/>
      </c>
      <c r="F554" s="1" t="str">
        <f>IF(COUNTIF('Quipt Prod Data'!L:L,Data[[#This Row],[unqid]])=0,"",COUNTIF('Quipt Prod Data'!L:L,Data[[#This Row],[unqid]]))</f>
        <v/>
      </c>
    </row>
    <row r="555" spans="1:6" x14ac:dyDescent="0.3">
      <c r="A555" t="s">
        <v>769</v>
      </c>
      <c r="B555" t="s">
        <v>32</v>
      </c>
      <c r="C555" t="s">
        <v>45</v>
      </c>
      <c r="D555" s="1" t="str">
        <f>_xlfn.IFNA(_xlfn.XLOOKUP(Data[[#This Row],[unqid]],'Quipt Prod Data'!L:L,'Quipt Prod Data'!B:B),"")</f>
        <v/>
      </c>
      <c r="E555" s="1" t="str">
        <f>_xlfn.IFNA(_xlfn.XMATCH(Data[[#This Row],[unqid]],'Quipt Prod Data'!L:L,0),"")</f>
        <v/>
      </c>
      <c r="F555" s="1" t="str">
        <f>IF(COUNTIF('Quipt Prod Data'!L:L,Data[[#This Row],[unqid]])=0,"",COUNTIF('Quipt Prod Data'!L:L,Data[[#This Row],[unqid]]))</f>
        <v/>
      </c>
    </row>
    <row r="556" spans="1:6" x14ac:dyDescent="0.3">
      <c r="A556" t="s">
        <v>770</v>
      </c>
      <c r="B556" t="s">
        <v>41</v>
      </c>
      <c r="C556" t="s">
        <v>44</v>
      </c>
      <c r="D556" s="1" t="str">
        <f>_xlfn.IFNA(_xlfn.XLOOKUP(Data[[#This Row],[unqid]],'Quipt Prod Data'!L:L,'Quipt Prod Data'!B:B),"")</f>
        <v/>
      </c>
      <c r="E556" s="1" t="str">
        <f>_xlfn.IFNA(_xlfn.XMATCH(Data[[#This Row],[unqid]],'Quipt Prod Data'!L:L,0),"")</f>
        <v/>
      </c>
      <c r="F556" s="1" t="str">
        <f>IF(COUNTIF('Quipt Prod Data'!L:L,Data[[#This Row],[unqid]])=0,"",COUNTIF('Quipt Prod Data'!L:L,Data[[#This Row],[unqid]]))</f>
        <v/>
      </c>
    </row>
    <row r="557" spans="1:6" x14ac:dyDescent="0.3">
      <c r="A557" t="s">
        <v>771</v>
      </c>
      <c r="B557" t="s">
        <v>41</v>
      </c>
      <c r="C557" t="s">
        <v>44</v>
      </c>
      <c r="D557" s="1" t="str">
        <f>_xlfn.IFNA(_xlfn.XLOOKUP(Data[[#This Row],[unqid]],'Quipt Prod Data'!L:L,'Quipt Prod Data'!B:B),"")</f>
        <v/>
      </c>
      <c r="E557" s="1" t="str">
        <f>_xlfn.IFNA(_xlfn.XMATCH(Data[[#This Row],[unqid]],'Quipt Prod Data'!L:L,0),"")</f>
        <v/>
      </c>
      <c r="F557" s="1" t="str">
        <f>IF(COUNTIF('Quipt Prod Data'!L:L,Data[[#This Row],[unqid]])=0,"",COUNTIF('Quipt Prod Data'!L:L,Data[[#This Row],[unqid]]))</f>
        <v/>
      </c>
    </row>
    <row r="558" spans="1:6" x14ac:dyDescent="0.3">
      <c r="A558" t="s">
        <v>772</v>
      </c>
      <c r="B558" t="s">
        <v>41</v>
      </c>
      <c r="C558" t="s">
        <v>44</v>
      </c>
      <c r="D558" s="1" t="str">
        <f>_xlfn.IFNA(_xlfn.XLOOKUP(Data[[#This Row],[unqid]],'Quipt Prod Data'!L:L,'Quipt Prod Data'!B:B),"")</f>
        <v/>
      </c>
      <c r="E558" s="1" t="str">
        <f>_xlfn.IFNA(_xlfn.XMATCH(Data[[#This Row],[unqid]],'Quipt Prod Data'!L:L,0),"")</f>
        <v/>
      </c>
      <c r="F558" s="1" t="str">
        <f>IF(COUNTIF('Quipt Prod Data'!L:L,Data[[#This Row],[unqid]])=0,"",COUNTIF('Quipt Prod Data'!L:L,Data[[#This Row],[unqid]]))</f>
        <v/>
      </c>
    </row>
    <row r="559" spans="1:6" x14ac:dyDescent="0.3">
      <c r="A559" t="s">
        <v>773</v>
      </c>
      <c r="B559" t="s">
        <v>41</v>
      </c>
      <c r="C559" t="s">
        <v>44</v>
      </c>
      <c r="D559" s="1" t="str">
        <f>_xlfn.IFNA(_xlfn.XLOOKUP(Data[[#This Row],[unqid]],'Quipt Prod Data'!L:L,'Quipt Prod Data'!B:B),"")</f>
        <v/>
      </c>
      <c r="E559" s="1" t="str">
        <f>_xlfn.IFNA(_xlfn.XMATCH(Data[[#This Row],[unqid]],'Quipt Prod Data'!L:L,0),"")</f>
        <v/>
      </c>
      <c r="F559" s="1" t="str">
        <f>IF(COUNTIF('Quipt Prod Data'!L:L,Data[[#This Row],[unqid]])=0,"",COUNTIF('Quipt Prod Data'!L:L,Data[[#This Row],[unqid]]))</f>
        <v/>
      </c>
    </row>
    <row r="560" spans="1:6" x14ac:dyDescent="0.3">
      <c r="A560" t="s">
        <v>774</v>
      </c>
      <c r="B560" t="s">
        <v>41</v>
      </c>
      <c r="C560" t="s">
        <v>45</v>
      </c>
      <c r="D560" s="1" t="str">
        <f>_xlfn.IFNA(_xlfn.XLOOKUP(Data[[#This Row],[unqid]],'Quipt Prod Data'!L:L,'Quipt Prod Data'!B:B),"")</f>
        <v/>
      </c>
      <c r="E560" s="1" t="str">
        <f>_xlfn.IFNA(_xlfn.XMATCH(Data[[#This Row],[unqid]],'Quipt Prod Data'!L:L,0),"")</f>
        <v/>
      </c>
      <c r="F560" s="1" t="str">
        <f>IF(COUNTIF('Quipt Prod Data'!L:L,Data[[#This Row],[unqid]])=0,"",COUNTIF('Quipt Prod Data'!L:L,Data[[#This Row],[unqid]]))</f>
        <v/>
      </c>
    </row>
    <row r="561" spans="1:6" x14ac:dyDescent="0.3">
      <c r="A561" t="s">
        <v>775</v>
      </c>
      <c r="B561" t="s">
        <v>41</v>
      </c>
      <c r="C561" t="s">
        <v>44</v>
      </c>
      <c r="D561" s="1" t="str">
        <f>_xlfn.IFNA(_xlfn.XLOOKUP(Data[[#This Row],[unqid]],'Quipt Prod Data'!L:L,'Quipt Prod Data'!B:B),"")</f>
        <v/>
      </c>
      <c r="E561" s="1" t="str">
        <f>_xlfn.IFNA(_xlfn.XMATCH(Data[[#This Row],[unqid]],'Quipt Prod Data'!L:L,0),"")</f>
        <v/>
      </c>
      <c r="F561" s="1" t="str">
        <f>IF(COUNTIF('Quipt Prod Data'!L:L,Data[[#This Row],[unqid]])=0,"",COUNTIF('Quipt Prod Data'!L:L,Data[[#This Row],[unqid]]))</f>
        <v/>
      </c>
    </row>
    <row r="562" spans="1:6" x14ac:dyDescent="0.3">
      <c r="A562" t="s">
        <v>776</v>
      </c>
      <c r="B562" t="s">
        <v>33</v>
      </c>
      <c r="C562" t="s">
        <v>27</v>
      </c>
      <c r="D562" s="1" t="str">
        <f>_xlfn.IFNA(_xlfn.XLOOKUP(Data[[#This Row],[unqid]],'Quipt Prod Data'!L:L,'Quipt Prod Data'!B:B),"")</f>
        <v/>
      </c>
      <c r="E562" s="1" t="str">
        <f>_xlfn.IFNA(_xlfn.XMATCH(Data[[#This Row],[unqid]],'Quipt Prod Data'!L:L,0),"")</f>
        <v/>
      </c>
      <c r="F562" s="1" t="str">
        <f>IF(COUNTIF('Quipt Prod Data'!L:L,Data[[#This Row],[unqid]])=0,"",COUNTIF('Quipt Prod Data'!L:L,Data[[#This Row],[unqid]]))</f>
        <v/>
      </c>
    </row>
    <row r="563" spans="1:6" x14ac:dyDescent="0.3">
      <c r="A563" t="s">
        <v>777</v>
      </c>
      <c r="B563" t="s">
        <v>32</v>
      </c>
      <c r="C563" t="s">
        <v>45</v>
      </c>
      <c r="D563" s="1" t="str">
        <f>_xlfn.IFNA(_xlfn.XLOOKUP(Data[[#This Row],[unqid]],'Quipt Prod Data'!L:L,'Quipt Prod Data'!B:B),"")</f>
        <v/>
      </c>
      <c r="E563" s="1" t="str">
        <f>_xlfn.IFNA(_xlfn.XMATCH(Data[[#This Row],[unqid]],'Quipt Prod Data'!L:L,0),"")</f>
        <v/>
      </c>
      <c r="F563" s="1" t="str">
        <f>IF(COUNTIF('Quipt Prod Data'!L:L,Data[[#This Row],[unqid]])=0,"",COUNTIF('Quipt Prod Data'!L:L,Data[[#This Row],[unqid]]))</f>
        <v/>
      </c>
    </row>
    <row r="564" spans="1:6" x14ac:dyDescent="0.3">
      <c r="A564" t="s">
        <v>778</v>
      </c>
      <c r="B564" t="s">
        <v>41</v>
      </c>
      <c r="C564" t="s">
        <v>44</v>
      </c>
      <c r="D564" s="1" t="str">
        <f>_xlfn.IFNA(_xlfn.XLOOKUP(Data[[#This Row],[unqid]],'Quipt Prod Data'!L:L,'Quipt Prod Data'!B:B),"")</f>
        <v/>
      </c>
      <c r="E564" s="1" t="str">
        <f>_xlfn.IFNA(_xlfn.XMATCH(Data[[#This Row],[unqid]],'Quipt Prod Data'!L:L,0),"")</f>
        <v/>
      </c>
      <c r="F564" s="1" t="str">
        <f>IF(COUNTIF('Quipt Prod Data'!L:L,Data[[#This Row],[unqid]])=0,"",COUNTIF('Quipt Prod Data'!L:L,Data[[#This Row],[unqid]]))</f>
        <v/>
      </c>
    </row>
    <row r="565" spans="1:6" x14ac:dyDescent="0.3">
      <c r="A565" t="s">
        <v>779</v>
      </c>
      <c r="B565" t="s">
        <v>32</v>
      </c>
      <c r="C565" t="s">
        <v>45</v>
      </c>
      <c r="D565" s="1" t="str">
        <f>_xlfn.IFNA(_xlfn.XLOOKUP(Data[[#This Row],[unqid]],'Quipt Prod Data'!L:L,'Quipt Prod Data'!B:B),"")</f>
        <v/>
      </c>
      <c r="E565" s="1" t="str">
        <f>_xlfn.IFNA(_xlfn.XMATCH(Data[[#This Row],[unqid]],'Quipt Prod Data'!L:L,0),"")</f>
        <v/>
      </c>
      <c r="F565" s="1" t="str">
        <f>IF(COUNTIF('Quipt Prod Data'!L:L,Data[[#This Row],[unqid]])=0,"",COUNTIF('Quipt Prod Data'!L:L,Data[[#This Row],[unqid]]))</f>
        <v/>
      </c>
    </row>
    <row r="566" spans="1:6" x14ac:dyDescent="0.3">
      <c r="A566" t="s">
        <v>780</v>
      </c>
      <c r="B566" t="s">
        <v>32</v>
      </c>
      <c r="C566" t="s">
        <v>45</v>
      </c>
      <c r="D566" s="1" t="str">
        <f>_xlfn.IFNA(_xlfn.XLOOKUP(Data[[#This Row],[unqid]],'Quipt Prod Data'!L:L,'Quipt Prod Data'!B:B),"")</f>
        <v/>
      </c>
      <c r="E566" s="1" t="str">
        <f>_xlfn.IFNA(_xlfn.XMATCH(Data[[#This Row],[unqid]],'Quipt Prod Data'!L:L,0),"")</f>
        <v/>
      </c>
      <c r="F566" s="1" t="str">
        <f>IF(COUNTIF('Quipt Prod Data'!L:L,Data[[#This Row],[unqid]])=0,"",COUNTIF('Quipt Prod Data'!L:L,Data[[#This Row],[unqid]]))</f>
        <v/>
      </c>
    </row>
    <row r="567" spans="1:6" x14ac:dyDescent="0.3">
      <c r="A567" t="s">
        <v>781</v>
      </c>
      <c r="B567" t="s">
        <v>41</v>
      </c>
      <c r="C567" t="s">
        <v>44</v>
      </c>
      <c r="D567" s="1" t="str">
        <f>_xlfn.IFNA(_xlfn.XLOOKUP(Data[[#This Row],[unqid]],'Quipt Prod Data'!L:L,'Quipt Prod Data'!B:B),"")</f>
        <v/>
      </c>
      <c r="E567" s="1" t="str">
        <f>_xlfn.IFNA(_xlfn.XMATCH(Data[[#This Row],[unqid]],'Quipt Prod Data'!L:L,0),"")</f>
        <v/>
      </c>
      <c r="F567" s="1" t="str">
        <f>IF(COUNTIF('Quipt Prod Data'!L:L,Data[[#This Row],[unqid]])=0,"",COUNTIF('Quipt Prod Data'!L:L,Data[[#This Row],[unqid]]))</f>
        <v/>
      </c>
    </row>
    <row r="568" spans="1:6" x14ac:dyDescent="0.3">
      <c r="A568" t="s">
        <v>782</v>
      </c>
      <c r="B568" t="s">
        <v>32</v>
      </c>
      <c r="C568" t="s">
        <v>45</v>
      </c>
      <c r="D568" s="1" t="str">
        <f>_xlfn.IFNA(_xlfn.XLOOKUP(Data[[#This Row],[unqid]],'Quipt Prod Data'!L:L,'Quipt Prod Data'!B:B),"")</f>
        <v/>
      </c>
      <c r="E568" s="1" t="str">
        <f>_xlfn.IFNA(_xlfn.XMATCH(Data[[#This Row],[unqid]],'Quipt Prod Data'!L:L,0),"")</f>
        <v/>
      </c>
      <c r="F568" s="1" t="str">
        <f>IF(COUNTIF('Quipt Prod Data'!L:L,Data[[#This Row],[unqid]])=0,"",COUNTIF('Quipt Prod Data'!L:L,Data[[#This Row],[unqid]]))</f>
        <v/>
      </c>
    </row>
    <row r="569" spans="1:6" x14ac:dyDescent="0.3">
      <c r="A569" t="s">
        <v>783</v>
      </c>
      <c r="B569" t="s">
        <v>41</v>
      </c>
      <c r="C569" t="s">
        <v>48</v>
      </c>
      <c r="D569" s="1" t="str">
        <f>_xlfn.IFNA(_xlfn.XLOOKUP(Data[[#This Row],[unqid]],'Quipt Prod Data'!L:L,'Quipt Prod Data'!B:B),"")</f>
        <v/>
      </c>
      <c r="E569" s="1" t="str">
        <f>_xlfn.IFNA(_xlfn.XMATCH(Data[[#This Row],[unqid]],'Quipt Prod Data'!L:L,0),"")</f>
        <v/>
      </c>
      <c r="F569" s="1" t="str">
        <f>IF(COUNTIF('Quipt Prod Data'!L:L,Data[[#This Row],[unqid]])=0,"",COUNTIF('Quipt Prod Data'!L:L,Data[[#This Row],[unqid]]))</f>
        <v/>
      </c>
    </row>
    <row r="570" spans="1:6" x14ac:dyDescent="0.3">
      <c r="A570" t="s">
        <v>784</v>
      </c>
      <c r="B570" t="s">
        <v>41</v>
      </c>
      <c r="C570" t="s">
        <v>44</v>
      </c>
      <c r="D570" s="1" t="str">
        <f>_xlfn.IFNA(_xlfn.XLOOKUP(Data[[#This Row],[unqid]],'Quipt Prod Data'!L:L,'Quipt Prod Data'!B:B),"")</f>
        <v/>
      </c>
      <c r="E570" s="1" t="str">
        <f>_xlfn.IFNA(_xlfn.XMATCH(Data[[#This Row],[unqid]],'Quipt Prod Data'!L:L,0),"")</f>
        <v/>
      </c>
      <c r="F570" s="1" t="str">
        <f>IF(COUNTIF('Quipt Prod Data'!L:L,Data[[#This Row],[unqid]])=0,"",COUNTIF('Quipt Prod Data'!L:L,Data[[#This Row],[unqid]]))</f>
        <v/>
      </c>
    </row>
    <row r="571" spans="1:6" x14ac:dyDescent="0.3">
      <c r="A571" t="s">
        <v>785</v>
      </c>
      <c r="B571" t="s">
        <v>32</v>
      </c>
      <c r="C571" t="s">
        <v>45</v>
      </c>
      <c r="D571" s="1" t="str">
        <f>_xlfn.IFNA(_xlfn.XLOOKUP(Data[[#This Row],[unqid]],'Quipt Prod Data'!L:L,'Quipt Prod Data'!B:B),"")</f>
        <v/>
      </c>
      <c r="E571" s="1" t="str">
        <f>_xlfn.IFNA(_xlfn.XMATCH(Data[[#This Row],[unqid]],'Quipt Prod Data'!L:L,0),"")</f>
        <v/>
      </c>
      <c r="F571" s="1" t="str">
        <f>IF(COUNTIF('Quipt Prod Data'!L:L,Data[[#This Row],[unqid]])=0,"",COUNTIF('Quipt Prod Data'!L:L,Data[[#This Row],[unqid]]))</f>
        <v/>
      </c>
    </row>
    <row r="572" spans="1:6" x14ac:dyDescent="0.3">
      <c r="A572" t="s">
        <v>786</v>
      </c>
      <c r="B572" t="s">
        <v>49</v>
      </c>
      <c r="C572" t="s">
        <v>46</v>
      </c>
      <c r="D572" s="1" t="str">
        <f>_xlfn.IFNA(_xlfn.XLOOKUP(Data[[#This Row],[unqid]],'Quipt Prod Data'!L:L,'Quipt Prod Data'!B:B),"")</f>
        <v/>
      </c>
      <c r="E572" s="1" t="str">
        <f>_xlfn.IFNA(_xlfn.XMATCH(Data[[#This Row],[unqid]],'Quipt Prod Data'!L:L,0),"")</f>
        <v/>
      </c>
      <c r="F572" s="1" t="str">
        <f>IF(COUNTIF('Quipt Prod Data'!L:L,Data[[#This Row],[unqid]])=0,"",COUNTIF('Quipt Prod Data'!L:L,Data[[#This Row],[unqid]]))</f>
        <v/>
      </c>
    </row>
    <row r="573" spans="1:6" x14ac:dyDescent="0.3">
      <c r="A573" t="s">
        <v>787</v>
      </c>
      <c r="B573" t="s">
        <v>41</v>
      </c>
      <c r="C573" t="s">
        <v>44</v>
      </c>
      <c r="D573" s="1" t="str">
        <f>_xlfn.IFNA(_xlfn.XLOOKUP(Data[[#This Row],[unqid]],'Quipt Prod Data'!L:L,'Quipt Prod Data'!B:B),"")</f>
        <v/>
      </c>
      <c r="E573" s="1" t="str">
        <f>_xlfn.IFNA(_xlfn.XMATCH(Data[[#This Row],[unqid]],'Quipt Prod Data'!L:L,0),"")</f>
        <v/>
      </c>
      <c r="F573" s="1" t="str">
        <f>IF(COUNTIF('Quipt Prod Data'!L:L,Data[[#This Row],[unqid]])=0,"",COUNTIF('Quipt Prod Data'!L:L,Data[[#This Row],[unqid]]))</f>
        <v/>
      </c>
    </row>
    <row r="574" spans="1:6" x14ac:dyDescent="0.3">
      <c r="A574" t="s">
        <v>788</v>
      </c>
      <c r="B574" t="s">
        <v>41</v>
      </c>
      <c r="C574" t="s">
        <v>44</v>
      </c>
      <c r="D574" s="1" t="str">
        <f>_xlfn.IFNA(_xlfn.XLOOKUP(Data[[#This Row],[unqid]],'Quipt Prod Data'!L:L,'Quipt Prod Data'!B:B),"")</f>
        <v/>
      </c>
      <c r="E574" s="1" t="str">
        <f>_xlfn.IFNA(_xlfn.XMATCH(Data[[#This Row],[unqid]],'Quipt Prod Data'!L:L,0),"")</f>
        <v/>
      </c>
      <c r="F574" s="1" t="str">
        <f>IF(COUNTIF('Quipt Prod Data'!L:L,Data[[#This Row],[unqid]])=0,"",COUNTIF('Quipt Prod Data'!L:L,Data[[#This Row],[unqid]]))</f>
        <v/>
      </c>
    </row>
    <row r="575" spans="1:6" x14ac:dyDescent="0.3">
      <c r="A575" t="s">
        <v>789</v>
      </c>
      <c r="B575" t="s">
        <v>50</v>
      </c>
      <c r="C575" t="s">
        <v>27</v>
      </c>
      <c r="D575" s="1" t="str">
        <f>_xlfn.IFNA(_xlfn.XLOOKUP(Data[[#This Row],[unqid]],'Quipt Prod Data'!L:L,'Quipt Prod Data'!B:B),"")</f>
        <v/>
      </c>
      <c r="E575" s="1" t="str">
        <f>_xlfn.IFNA(_xlfn.XMATCH(Data[[#This Row],[unqid]],'Quipt Prod Data'!L:L,0),"")</f>
        <v/>
      </c>
      <c r="F575" s="1" t="str">
        <f>IF(COUNTIF('Quipt Prod Data'!L:L,Data[[#This Row],[unqid]])=0,"",COUNTIF('Quipt Prod Data'!L:L,Data[[#This Row],[unqid]]))</f>
        <v/>
      </c>
    </row>
    <row r="576" spans="1:6" x14ac:dyDescent="0.3">
      <c r="A576" t="s">
        <v>790</v>
      </c>
      <c r="B576" t="s">
        <v>41</v>
      </c>
      <c r="C576" t="s">
        <v>44</v>
      </c>
      <c r="D576" s="1" t="str">
        <f>_xlfn.IFNA(_xlfn.XLOOKUP(Data[[#This Row],[unqid]],'Quipt Prod Data'!L:L,'Quipt Prod Data'!B:B),"")</f>
        <v/>
      </c>
      <c r="E576" s="1" t="str">
        <f>_xlfn.IFNA(_xlfn.XMATCH(Data[[#This Row],[unqid]],'Quipt Prod Data'!L:L,0),"")</f>
        <v/>
      </c>
      <c r="F576" s="1" t="str">
        <f>IF(COUNTIF('Quipt Prod Data'!L:L,Data[[#This Row],[unqid]])=0,"",COUNTIF('Quipt Prod Data'!L:L,Data[[#This Row],[unqid]]))</f>
        <v/>
      </c>
    </row>
    <row r="577" spans="1:6" x14ac:dyDescent="0.3">
      <c r="A577" t="s">
        <v>791</v>
      </c>
      <c r="B577" t="s">
        <v>41</v>
      </c>
      <c r="C577" t="s">
        <v>44</v>
      </c>
      <c r="D577" s="1" t="str">
        <f>_xlfn.IFNA(_xlfn.XLOOKUP(Data[[#This Row],[unqid]],'Quipt Prod Data'!L:L,'Quipt Prod Data'!B:B),"")</f>
        <v/>
      </c>
      <c r="E577" s="1" t="str">
        <f>_xlfn.IFNA(_xlfn.XMATCH(Data[[#This Row],[unqid]],'Quipt Prod Data'!L:L,0),"")</f>
        <v/>
      </c>
      <c r="F577" s="1" t="str">
        <f>IF(COUNTIF('Quipt Prod Data'!L:L,Data[[#This Row],[unqid]])=0,"",COUNTIF('Quipt Prod Data'!L:L,Data[[#This Row],[unqid]]))</f>
        <v/>
      </c>
    </row>
    <row r="578" spans="1:6" x14ac:dyDescent="0.3">
      <c r="A578" t="s">
        <v>792</v>
      </c>
      <c r="B578" t="s">
        <v>41</v>
      </c>
      <c r="C578" t="s">
        <v>44</v>
      </c>
      <c r="D578" s="1" t="str">
        <f>_xlfn.IFNA(_xlfn.XLOOKUP(Data[[#This Row],[unqid]],'Quipt Prod Data'!L:L,'Quipt Prod Data'!B:B),"")</f>
        <v/>
      </c>
      <c r="E578" s="1" t="str">
        <f>_xlfn.IFNA(_xlfn.XMATCH(Data[[#This Row],[unqid]],'Quipt Prod Data'!L:L,0),"")</f>
        <v/>
      </c>
      <c r="F578" s="1" t="str">
        <f>IF(COUNTIF('Quipt Prod Data'!L:L,Data[[#This Row],[unqid]])=0,"",COUNTIF('Quipt Prod Data'!L:L,Data[[#This Row],[unqid]]))</f>
        <v/>
      </c>
    </row>
    <row r="579" spans="1:6" x14ac:dyDescent="0.3">
      <c r="A579" t="s">
        <v>793</v>
      </c>
      <c r="B579" t="s">
        <v>41</v>
      </c>
      <c r="C579" t="s">
        <v>44</v>
      </c>
      <c r="D579" s="1" t="str">
        <f>_xlfn.IFNA(_xlfn.XLOOKUP(Data[[#This Row],[unqid]],'Quipt Prod Data'!L:L,'Quipt Prod Data'!B:B),"")</f>
        <v/>
      </c>
      <c r="E579" s="1" t="str">
        <f>_xlfn.IFNA(_xlfn.XMATCH(Data[[#This Row],[unqid]],'Quipt Prod Data'!L:L,0),"")</f>
        <v/>
      </c>
      <c r="F579" s="1" t="str">
        <f>IF(COUNTIF('Quipt Prod Data'!L:L,Data[[#This Row],[unqid]])=0,"",COUNTIF('Quipt Prod Data'!L:L,Data[[#This Row],[unqid]]))</f>
        <v/>
      </c>
    </row>
    <row r="580" spans="1:6" x14ac:dyDescent="0.3">
      <c r="A580" t="s">
        <v>794</v>
      </c>
      <c r="B580" t="s">
        <v>41</v>
      </c>
      <c r="C580" t="s">
        <v>44</v>
      </c>
      <c r="D580" s="1" t="str">
        <f>_xlfn.IFNA(_xlfn.XLOOKUP(Data[[#This Row],[unqid]],'Quipt Prod Data'!L:L,'Quipt Prod Data'!B:B),"")</f>
        <v/>
      </c>
      <c r="E580" s="1" t="str">
        <f>_xlfn.IFNA(_xlfn.XMATCH(Data[[#This Row],[unqid]],'Quipt Prod Data'!L:L,0),"")</f>
        <v/>
      </c>
      <c r="F580" s="1" t="str">
        <f>IF(COUNTIF('Quipt Prod Data'!L:L,Data[[#This Row],[unqid]])=0,"",COUNTIF('Quipt Prod Data'!L:L,Data[[#This Row],[unqid]]))</f>
        <v/>
      </c>
    </row>
    <row r="581" spans="1:6" x14ac:dyDescent="0.3">
      <c r="A581" t="s">
        <v>795</v>
      </c>
      <c r="B581" t="s">
        <v>34</v>
      </c>
      <c r="C581" t="s">
        <v>45</v>
      </c>
      <c r="D581" s="1" t="str">
        <f>_xlfn.IFNA(_xlfn.XLOOKUP(Data[[#This Row],[unqid]],'Quipt Prod Data'!L:L,'Quipt Prod Data'!B:B),"")</f>
        <v/>
      </c>
      <c r="E581" s="1" t="str">
        <f>_xlfn.IFNA(_xlfn.XMATCH(Data[[#This Row],[unqid]],'Quipt Prod Data'!L:L,0),"")</f>
        <v/>
      </c>
      <c r="F581" s="1" t="str">
        <f>IF(COUNTIF('Quipt Prod Data'!L:L,Data[[#This Row],[unqid]])=0,"",COUNTIF('Quipt Prod Data'!L:L,Data[[#This Row],[unqid]]))</f>
        <v/>
      </c>
    </row>
    <row r="582" spans="1:6" x14ac:dyDescent="0.3">
      <c r="A582" t="s">
        <v>796</v>
      </c>
      <c r="B582" t="s">
        <v>34</v>
      </c>
      <c r="C582" t="s">
        <v>27</v>
      </c>
      <c r="D582" s="1" t="str">
        <f>_xlfn.IFNA(_xlfn.XLOOKUP(Data[[#This Row],[unqid]],'Quipt Prod Data'!L:L,'Quipt Prod Data'!B:B),"")</f>
        <v/>
      </c>
      <c r="E582" s="1" t="str">
        <f>_xlfn.IFNA(_xlfn.XMATCH(Data[[#This Row],[unqid]],'Quipt Prod Data'!L:L,0),"")</f>
        <v/>
      </c>
      <c r="F582" s="1" t="str">
        <f>IF(COUNTIF('Quipt Prod Data'!L:L,Data[[#This Row],[unqid]])=0,"",COUNTIF('Quipt Prod Data'!L:L,Data[[#This Row],[unqid]]))</f>
        <v/>
      </c>
    </row>
    <row r="583" spans="1:6" x14ac:dyDescent="0.3">
      <c r="A583" t="s">
        <v>797</v>
      </c>
      <c r="B583" t="s">
        <v>49</v>
      </c>
      <c r="C583" t="s">
        <v>46</v>
      </c>
      <c r="D583" s="1" t="str">
        <f>_xlfn.IFNA(_xlfn.XLOOKUP(Data[[#This Row],[unqid]],'Quipt Prod Data'!L:L,'Quipt Prod Data'!B:B),"")</f>
        <v/>
      </c>
      <c r="E583" s="1" t="str">
        <f>_xlfn.IFNA(_xlfn.XMATCH(Data[[#This Row],[unqid]],'Quipt Prod Data'!L:L,0),"")</f>
        <v/>
      </c>
      <c r="F583" s="1" t="str">
        <f>IF(COUNTIF('Quipt Prod Data'!L:L,Data[[#This Row],[unqid]])=0,"",COUNTIF('Quipt Prod Data'!L:L,Data[[#This Row],[unqid]]))</f>
        <v/>
      </c>
    </row>
    <row r="584" spans="1:6" x14ac:dyDescent="0.3">
      <c r="A584" t="s">
        <v>798</v>
      </c>
      <c r="B584" t="s">
        <v>41</v>
      </c>
      <c r="C584" t="s">
        <v>44</v>
      </c>
      <c r="D584" s="1" t="str">
        <f>_xlfn.IFNA(_xlfn.XLOOKUP(Data[[#This Row],[unqid]],'Quipt Prod Data'!L:L,'Quipt Prod Data'!B:B),"")</f>
        <v/>
      </c>
      <c r="E584" s="1" t="str">
        <f>_xlfn.IFNA(_xlfn.XMATCH(Data[[#This Row],[unqid]],'Quipt Prod Data'!L:L,0),"")</f>
        <v/>
      </c>
      <c r="F584" s="1" t="str">
        <f>IF(COUNTIF('Quipt Prod Data'!L:L,Data[[#This Row],[unqid]])=0,"",COUNTIF('Quipt Prod Data'!L:L,Data[[#This Row],[unqid]]))</f>
        <v/>
      </c>
    </row>
    <row r="585" spans="1:6" x14ac:dyDescent="0.3">
      <c r="A585" t="s">
        <v>799</v>
      </c>
      <c r="B585" t="s">
        <v>41</v>
      </c>
      <c r="C585" t="s">
        <v>44</v>
      </c>
      <c r="D585" s="1" t="str">
        <f>_xlfn.IFNA(_xlfn.XLOOKUP(Data[[#This Row],[unqid]],'Quipt Prod Data'!L:L,'Quipt Prod Data'!B:B),"")</f>
        <v/>
      </c>
      <c r="E585" s="1" t="str">
        <f>_xlfn.IFNA(_xlfn.XMATCH(Data[[#This Row],[unqid]],'Quipt Prod Data'!L:L,0),"")</f>
        <v/>
      </c>
      <c r="F585" s="1" t="str">
        <f>IF(COUNTIF('Quipt Prod Data'!L:L,Data[[#This Row],[unqid]])=0,"",COUNTIF('Quipt Prod Data'!L:L,Data[[#This Row],[unqid]]))</f>
        <v/>
      </c>
    </row>
    <row r="586" spans="1:6" x14ac:dyDescent="0.3">
      <c r="A586" t="s">
        <v>800</v>
      </c>
      <c r="B586" t="s">
        <v>26</v>
      </c>
      <c r="C586" t="s">
        <v>43</v>
      </c>
      <c r="D586" s="1" t="str">
        <f>_xlfn.IFNA(_xlfn.XLOOKUP(Data[[#This Row],[unqid]],'Quipt Prod Data'!L:L,'Quipt Prod Data'!B:B),"")</f>
        <v/>
      </c>
      <c r="E586" s="1" t="str">
        <f>_xlfn.IFNA(_xlfn.XMATCH(Data[[#This Row],[unqid]],'Quipt Prod Data'!L:L,0),"")</f>
        <v/>
      </c>
      <c r="F586" s="1" t="str">
        <f>IF(COUNTIF('Quipt Prod Data'!L:L,Data[[#This Row],[unqid]])=0,"",COUNTIF('Quipt Prod Data'!L:L,Data[[#This Row],[unqid]]))</f>
        <v/>
      </c>
    </row>
    <row r="587" spans="1:6" x14ac:dyDescent="0.3">
      <c r="A587" t="s">
        <v>801</v>
      </c>
      <c r="B587" t="s">
        <v>31</v>
      </c>
      <c r="C587" t="s">
        <v>27</v>
      </c>
      <c r="D587" s="1" t="str">
        <f>_xlfn.IFNA(_xlfn.XLOOKUP(Data[[#This Row],[unqid]],'Quipt Prod Data'!L:L,'Quipt Prod Data'!B:B),"")</f>
        <v/>
      </c>
      <c r="E587" s="1" t="str">
        <f>_xlfn.IFNA(_xlfn.XMATCH(Data[[#This Row],[unqid]],'Quipt Prod Data'!L:L,0),"")</f>
        <v/>
      </c>
      <c r="F587" s="1" t="str">
        <f>IF(COUNTIF('Quipt Prod Data'!L:L,Data[[#This Row],[unqid]])=0,"",COUNTIF('Quipt Prod Data'!L:L,Data[[#This Row],[unqid]]))</f>
        <v/>
      </c>
    </row>
    <row r="588" spans="1:6" x14ac:dyDescent="0.3">
      <c r="A588" t="s">
        <v>802</v>
      </c>
      <c r="B588" t="s">
        <v>51</v>
      </c>
      <c r="C588" t="s">
        <v>43</v>
      </c>
      <c r="D588" s="1" t="str">
        <f>_xlfn.IFNA(_xlfn.XLOOKUP(Data[[#This Row],[unqid]],'Quipt Prod Data'!L:L,'Quipt Prod Data'!B:B),"")</f>
        <v/>
      </c>
      <c r="E588" s="1" t="str">
        <f>_xlfn.IFNA(_xlfn.XMATCH(Data[[#This Row],[unqid]],'Quipt Prod Data'!L:L,0),"")</f>
        <v/>
      </c>
      <c r="F588" s="1" t="str">
        <f>IF(COUNTIF('Quipt Prod Data'!L:L,Data[[#This Row],[unqid]])=0,"",COUNTIF('Quipt Prod Data'!L:L,Data[[#This Row],[unqid]]))</f>
        <v/>
      </c>
    </row>
    <row r="589" spans="1:6" x14ac:dyDescent="0.3">
      <c r="A589" t="s">
        <v>803</v>
      </c>
      <c r="B589" t="s">
        <v>42</v>
      </c>
      <c r="C589" t="s">
        <v>43</v>
      </c>
      <c r="D589" s="1" t="str">
        <f>_xlfn.IFNA(_xlfn.XLOOKUP(Data[[#This Row],[unqid]],'Quipt Prod Data'!L:L,'Quipt Prod Data'!B:B),"")</f>
        <v/>
      </c>
      <c r="E589" s="1" t="str">
        <f>_xlfn.IFNA(_xlfn.XMATCH(Data[[#This Row],[unqid]],'Quipt Prod Data'!L:L,0),"")</f>
        <v/>
      </c>
      <c r="F589" s="1" t="str">
        <f>IF(COUNTIF('Quipt Prod Data'!L:L,Data[[#This Row],[unqid]])=0,"",COUNTIF('Quipt Prod Data'!L:L,Data[[#This Row],[unqid]]))</f>
        <v/>
      </c>
    </row>
    <row r="590" spans="1:6" x14ac:dyDescent="0.3">
      <c r="A590" t="s">
        <v>804</v>
      </c>
      <c r="B590" t="s">
        <v>41</v>
      </c>
      <c r="C590" t="s">
        <v>48</v>
      </c>
      <c r="D590" s="1" t="str">
        <f>_xlfn.IFNA(_xlfn.XLOOKUP(Data[[#This Row],[unqid]],'Quipt Prod Data'!L:L,'Quipt Prod Data'!B:B),"")</f>
        <v/>
      </c>
      <c r="E590" s="1" t="str">
        <f>_xlfn.IFNA(_xlfn.XMATCH(Data[[#This Row],[unqid]],'Quipt Prod Data'!L:L,0),"")</f>
        <v/>
      </c>
      <c r="F590" s="1" t="str">
        <f>IF(COUNTIF('Quipt Prod Data'!L:L,Data[[#This Row],[unqid]])=0,"",COUNTIF('Quipt Prod Data'!L:L,Data[[#This Row],[unqid]]))</f>
        <v/>
      </c>
    </row>
    <row r="591" spans="1:6" x14ac:dyDescent="0.3">
      <c r="A591" t="s">
        <v>805</v>
      </c>
      <c r="B591" t="s">
        <v>32</v>
      </c>
      <c r="C591" t="s">
        <v>45</v>
      </c>
      <c r="D591" s="1" t="str">
        <f>_xlfn.IFNA(_xlfn.XLOOKUP(Data[[#This Row],[unqid]],'Quipt Prod Data'!L:L,'Quipt Prod Data'!B:B),"")</f>
        <v/>
      </c>
      <c r="E591" s="1" t="str">
        <f>_xlfn.IFNA(_xlfn.XMATCH(Data[[#This Row],[unqid]],'Quipt Prod Data'!L:L,0),"")</f>
        <v/>
      </c>
      <c r="F591" s="1" t="str">
        <f>IF(COUNTIF('Quipt Prod Data'!L:L,Data[[#This Row],[unqid]])=0,"",COUNTIF('Quipt Prod Data'!L:L,Data[[#This Row],[unqid]]))</f>
        <v/>
      </c>
    </row>
    <row r="592" spans="1:6" x14ac:dyDescent="0.3">
      <c r="A592" t="s">
        <v>806</v>
      </c>
      <c r="B592" t="s">
        <v>28</v>
      </c>
      <c r="C592" t="s">
        <v>27</v>
      </c>
      <c r="D592" s="1" t="str">
        <f>_xlfn.IFNA(_xlfn.XLOOKUP(Data[[#This Row],[unqid]],'Quipt Prod Data'!L:L,'Quipt Prod Data'!B:B),"")</f>
        <v/>
      </c>
      <c r="E592" s="1" t="str">
        <f>_xlfn.IFNA(_xlfn.XMATCH(Data[[#This Row],[unqid]],'Quipt Prod Data'!L:L,0),"")</f>
        <v/>
      </c>
      <c r="F592" s="1" t="str">
        <f>IF(COUNTIF('Quipt Prod Data'!L:L,Data[[#This Row],[unqid]])=0,"",COUNTIF('Quipt Prod Data'!L:L,Data[[#This Row],[unqid]]))</f>
        <v/>
      </c>
    </row>
    <row r="593" spans="1:6" x14ac:dyDescent="0.3">
      <c r="A593" t="s">
        <v>807</v>
      </c>
      <c r="B593" t="s">
        <v>41</v>
      </c>
      <c r="C593" t="s">
        <v>44</v>
      </c>
      <c r="D593" s="1" t="str">
        <f>_xlfn.IFNA(_xlfn.XLOOKUP(Data[[#This Row],[unqid]],'Quipt Prod Data'!L:L,'Quipt Prod Data'!B:B),"")</f>
        <v/>
      </c>
      <c r="E593" s="1" t="str">
        <f>_xlfn.IFNA(_xlfn.XMATCH(Data[[#This Row],[unqid]],'Quipt Prod Data'!L:L,0),"")</f>
        <v/>
      </c>
      <c r="F593" s="1" t="str">
        <f>IF(COUNTIF('Quipt Prod Data'!L:L,Data[[#This Row],[unqid]])=0,"",COUNTIF('Quipt Prod Data'!L:L,Data[[#This Row],[unqid]]))</f>
        <v/>
      </c>
    </row>
    <row r="594" spans="1:6" x14ac:dyDescent="0.3">
      <c r="A594" t="s">
        <v>808</v>
      </c>
      <c r="B594" t="s">
        <v>50</v>
      </c>
      <c r="C594" t="s">
        <v>27</v>
      </c>
      <c r="D594" s="1" t="str">
        <f>_xlfn.IFNA(_xlfn.XLOOKUP(Data[[#This Row],[unqid]],'Quipt Prod Data'!L:L,'Quipt Prod Data'!B:B),"")</f>
        <v/>
      </c>
      <c r="E594" s="1" t="str">
        <f>_xlfn.IFNA(_xlfn.XMATCH(Data[[#This Row],[unqid]],'Quipt Prod Data'!L:L,0),"")</f>
        <v/>
      </c>
      <c r="F594" s="1" t="str">
        <f>IF(COUNTIF('Quipt Prod Data'!L:L,Data[[#This Row],[unqid]])=0,"",COUNTIF('Quipt Prod Data'!L:L,Data[[#This Row],[unqid]]))</f>
        <v/>
      </c>
    </row>
    <row r="595" spans="1:6" x14ac:dyDescent="0.3">
      <c r="A595" t="s">
        <v>809</v>
      </c>
      <c r="B595" t="s">
        <v>42</v>
      </c>
      <c r="C595" t="s">
        <v>43</v>
      </c>
      <c r="D595" s="1" t="str">
        <f>_xlfn.IFNA(_xlfn.XLOOKUP(Data[[#This Row],[unqid]],'Quipt Prod Data'!L:L,'Quipt Prod Data'!B:B),"")</f>
        <v/>
      </c>
      <c r="E595" s="1" t="str">
        <f>_xlfn.IFNA(_xlfn.XMATCH(Data[[#This Row],[unqid]],'Quipt Prod Data'!L:L,0),"")</f>
        <v/>
      </c>
      <c r="F595" s="1" t="str">
        <f>IF(COUNTIF('Quipt Prod Data'!L:L,Data[[#This Row],[unqid]])=0,"",COUNTIF('Quipt Prod Data'!L:L,Data[[#This Row],[unqid]]))</f>
        <v/>
      </c>
    </row>
    <row r="596" spans="1:6" x14ac:dyDescent="0.3">
      <c r="A596" t="s">
        <v>810</v>
      </c>
      <c r="B596" t="s">
        <v>41</v>
      </c>
      <c r="C596" t="s">
        <v>44</v>
      </c>
      <c r="D596" s="1" t="str">
        <f>_xlfn.IFNA(_xlfn.XLOOKUP(Data[[#This Row],[unqid]],'Quipt Prod Data'!L:L,'Quipt Prod Data'!B:B),"")</f>
        <v/>
      </c>
      <c r="E596" s="1" t="str">
        <f>_xlfn.IFNA(_xlfn.XMATCH(Data[[#This Row],[unqid]],'Quipt Prod Data'!L:L,0),"")</f>
        <v/>
      </c>
      <c r="F596" s="1" t="str">
        <f>IF(COUNTIF('Quipt Prod Data'!L:L,Data[[#This Row],[unqid]])=0,"",COUNTIF('Quipt Prod Data'!L:L,Data[[#This Row],[unqid]]))</f>
        <v/>
      </c>
    </row>
    <row r="597" spans="1:6" x14ac:dyDescent="0.3">
      <c r="A597" t="s">
        <v>811</v>
      </c>
      <c r="B597" t="s">
        <v>32</v>
      </c>
      <c r="C597" t="s">
        <v>43</v>
      </c>
      <c r="D597" s="1" t="str">
        <f>_xlfn.IFNA(_xlfn.XLOOKUP(Data[[#This Row],[unqid]],'Quipt Prod Data'!L:L,'Quipt Prod Data'!B:B),"")</f>
        <v/>
      </c>
      <c r="E597" s="1" t="str">
        <f>_xlfn.IFNA(_xlfn.XMATCH(Data[[#This Row],[unqid]],'Quipt Prod Data'!L:L,0),"")</f>
        <v/>
      </c>
      <c r="F597" s="1" t="str">
        <f>IF(COUNTIF('Quipt Prod Data'!L:L,Data[[#This Row],[unqid]])=0,"",COUNTIF('Quipt Prod Data'!L:L,Data[[#This Row],[unqid]]))</f>
        <v/>
      </c>
    </row>
    <row r="598" spans="1:6" x14ac:dyDescent="0.3">
      <c r="A598" t="s">
        <v>812</v>
      </c>
      <c r="B598" t="s">
        <v>41</v>
      </c>
      <c r="C598" t="s">
        <v>48</v>
      </c>
      <c r="D598" s="1" t="str">
        <f>_xlfn.IFNA(_xlfn.XLOOKUP(Data[[#This Row],[unqid]],'Quipt Prod Data'!L:L,'Quipt Prod Data'!B:B),"")</f>
        <v/>
      </c>
      <c r="E598" s="1" t="str">
        <f>_xlfn.IFNA(_xlfn.XMATCH(Data[[#This Row],[unqid]],'Quipt Prod Data'!L:L,0),"")</f>
        <v/>
      </c>
      <c r="F598" s="1" t="str">
        <f>IF(COUNTIF('Quipt Prod Data'!L:L,Data[[#This Row],[unqid]])=0,"",COUNTIF('Quipt Prod Data'!L:L,Data[[#This Row],[unqid]]))</f>
        <v/>
      </c>
    </row>
    <row r="599" spans="1:6" x14ac:dyDescent="0.3">
      <c r="A599" t="s">
        <v>813</v>
      </c>
      <c r="B599" t="s">
        <v>42</v>
      </c>
      <c r="C599" t="s">
        <v>43</v>
      </c>
      <c r="D599" s="1" t="str">
        <f>_xlfn.IFNA(_xlfn.XLOOKUP(Data[[#This Row],[unqid]],'Quipt Prod Data'!L:L,'Quipt Prod Data'!B:B),"")</f>
        <v/>
      </c>
      <c r="E599" s="1" t="str">
        <f>_xlfn.IFNA(_xlfn.XMATCH(Data[[#This Row],[unqid]],'Quipt Prod Data'!L:L,0),"")</f>
        <v/>
      </c>
      <c r="F599" s="1" t="str">
        <f>IF(COUNTIF('Quipt Prod Data'!L:L,Data[[#This Row],[unqid]])=0,"",COUNTIF('Quipt Prod Data'!L:L,Data[[#This Row],[unqid]]))</f>
        <v/>
      </c>
    </row>
    <row r="600" spans="1:6" x14ac:dyDescent="0.3">
      <c r="A600" t="s">
        <v>814</v>
      </c>
      <c r="B600" t="s">
        <v>32</v>
      </c>
      <c r="C600" t="s">
        <v>45</v>
      </c>
      <c r="D600" s="1" t="str">
        <f>_xlfn.IFNA(_xlfn.XLOOKUP(Data[[#This Row],[unqid]],'Quipt Prod Data'!L:L,'Quipt Prod Data'!B:B),"")</f>
        <v/>
      </c>
      <c r="E600" s="1" t="str">
        <f>_xlfn.IFNA(_xlfn.XMATCH(Data[[#This Row],[unqid]],'Quipt Prod Data'!L:L,0),"")</f>
        <v/>
      </c>
      <c r="F600" s="1" t="str">
        <f>IF(COUNTIF('Quipt Prod Data'!L:L,Data[[#This Row],[unqid]])=0,"",COUNTIF('Quipt Prod Data'!L:L,Data[[#This Row],[unqid]]))</f>
        <v/>
      </c>
    </row>
    <row r="601" spans="1:6" x14ac:dyDescent="0.3">
      <c r="A601" t="s">
        <v>815</v>
      </c>
      <c r="B601" t="s">
        <v>49</v>
      </c>
      <c r="C601" t="s">
        <v>46</v>
      </c>
      <c r="D601" s="1" t="str">
        <f>_xlfn.IFNA(_xlfn.XLOOKUP(Data[[#This Row],[unqid]],'Quipt Prod Data'!L:L,'Quipt Prod Data'!B:B),"")</f>
        <v/>
      </c>
      <c r="E601" s="1" t="str">
        <f>_xlfn.IFNA(_xlfn.XMATCH(Data[[#This Row],[unqid]],'Quipt Prod Data'!L:L,0),"")</f>
        <v/>
      </c>
      <c r="F601" s="1" t="str">
        <f>IF(COUNTIF('Quipt Prod Data'!L:L,Data[[#This Row],[unqid]])=0,"",COUNTIF('Quipt Prod Data'!L:L,Data[[#This Row],[unqid]]))</f>
        <v/>
      </c>
    </row>
    <row r="602" spans="1:6" x14ac:dyDescent="0.3">
      <c r="A602" t="s">
        <v>816</v>
      </c>
      <c r="B602" t="s">
        <v>32</v>
      </c>
      <c r="C602" t="s">
        <v>45</v>
      </c>
      <c r="D602" s="1" t="str">
        <f>_xlfn.IFNA(_xlfn.XLOOKUP(Data[[#This Row],[unqid]],'Quipt Prod Data'!L:L,'Quipt Prod Data'!B:B),"")</f>
        <v/>
      </c>
      <c r="E602" s="1" t="str">
        <f>_xlfn.IFNA(_xlfn.XMATCH(Data[[#This Row],[unqid]],'Quipt Prod Data'!L:L,0),"")</f>
        <v/>
      </c>
      <c r="F602" s="1" t="str">
        <f>IF(COUNTIF('Quipt Prod Data'!L:L,Data[[#This Row],[unqid]])=0,"",COUNTIF('Quipt Prod Data'!L:L,Data[[#This Row],[unqid]]))</f>
        <v/>
      </c>
    </row>
    <row r="603" spans="1:6" x14ac:dyDescent="0.3">
      <c r="A603" t="s">
        <v>817</v>
      </c>
      <c r="B603" t="s">
        <v>32</v>
      </c>
      <c r="C603" t="s">
        <v>27</v>
      </c>
      <c r="D603" s="1" t="str">
        <f>_xlfn.IFNA(_xlfn.XLOOKUP(Data[[#This Row],[unqid]],'Quipt Prod Data'!L:L,'Quipt Prod Data'!B:B),"")</f>
        <v/>
      </c>
      <c r="E603" s="1" t="str">
        <f>_xlfn.IFNA(_xlfn.XMATCH(Data[[#This Row],[unqid]],'Quipt Prod Data'!L:L,0),"")</f>
        <v/>
      </c>
      <c r="F603" s="1" t="str">
        <f>IF(COUNTIF('Quipt Prod Data'!L:L,Data[[#This Row],[unqid]])=0,"",COUNTIF('Quipt Prod Data'!L:L,Data[[#This Row],[unqid]]))</f>
        <v/>
      </c>
    </row>
    <row r="604" spans="1:6" x14ac:dyDescent="0.3">
      <c r="A604" t="s">
        <v>818</v>
      </c>
      <c r="B604" t="s">
        <v>41</v>
      </c>
      <c r="C604" t="s">
        <v>44</v>
      </c>
      <c r="D604" s="1" t="str">
        <f>_xlfn.IFNA(_xlfn.XLOOKUP(Data[[#This Row],[unqid]],'Quipt Prod Data'!L:L,'Quipt Prod Data'!B:B),"")</f>
        <v/>
      </c>
      <c r="E604" s="1" t="str">
        <f>_xlfn.IFNA(_xlfn.XMATCH(Data[[#This Row],[unqid]],'Quipt Prod Data'!L:L,0),"")</f>
        <v/>
      </c>
      <c r="F604" s="1" t="str">
        <f>IF(COUNTIF('Quipt Prod Data'!L:L,Data[[#This Row],[unqid]])=0,"",COUNTIF('Quipt Prod Data'!L:L,Data[[#This Row],[unqid]]))</f>
        <v/>
      </c>
    </row>
    <row r="605" spans="1:6" x14ac:dyDescent="0.3">
      <c r="A605" t="s">
        <v>819</v>
      </c>
      <c r="B605" t="s">
        <v>32</v>
      </c>
      <c r="C605" t="s">
        <v>45</v>
      </c>
      <c r="D605" s="1" t="str">
        <f>_xlfn.IFNA(_xlfn.XLOOKUP(Data[[#This Row],[unqid]],'Quipt Prod Data'!L:L,'Quipt Prod Data'!B:B),"")</f>
        <v/>
      </c>
      <c r="E605" s="1" t="str">
        <f>_xlfn.IFNA(_xlfn.XMATCH(Data[[#This Row],[unqid]],'Quipt Prod Data'!L:L,0),"")</f>
        <v/>
      </c>
      <c r="F605" s="1" t="str">
        <f>IF(COUNTIF('Quipt Prod Data'!L:L,Data[[#This Row],[unqid]])=0,"",COUNTIF('Quipt Prod Data'!L:L,Data[[#This Row],[unqid]]))</f>
        <v/>
      </c>
    </row>
    <row r="606" spans="1:6" x14ac:dyDescent="0.3">
      <c r="A606" t="s">
        <v>820</v>
      </c>
      <c r="B606" t="s">
        <v>42</v>
      </c>
      <c r="C606" t="s">
        <v>43</v>
      </c>
      <c r="D606" s="1" t="str">
        <f>_xlfn.IFNA(_xlfn.XLOOKUP(Data[[#This Row],[unqid]],'Quipt Prod Data'!L:L,'Quipt Prod Data'!B:B),"")</f>
        <v/>
      </c>
      <c r="E606" s="1" t="str">
        <f>_xlfn.IFNA(_xlfn.XMATCH(Data[[#This Row],[unqid]],'Quipt Prod Data'!L:L,0),"")</f>
        <v/>
      </c>
      <c r="F606" s="1" t="str">
        <f>IF(COUNTIF('Quipt Prod Data'!L:L,Data[[#This Row],[unqid]])=0,"",COUNTIF('Quipt Prod Data'!L:L,Data[[#This Row],[unqid]]))</f>
        <v/>
      </c>
    </row>
    <row r="607" spans="1:6" x14ac:dyDescent="0.3">
      <c r="A607" t="s">
        <v>821</v>
      </c>
      <c r="B607" t="s">
        <v>41</v>
      </c>
      <c r="C607" t="s">
        <v>44</v>
      </c>
      <c r="D607" s="1" t="str">
        <f>_xlfn.IFNA(_xlfn.XLOOKUP(Data[[#This Row],[unqid]],'Quipt Prod Data'!L:L,'Quipt Prod Data'!B:B),"")</f>
        <v/>
      </c>
      <c r="E607" s="1" t="str">
        <f>_xlfn.IFNA(_xlfn.XMATCH(Data[[#This Row],[unqid]],'Quipt Prod Data'!L:L,0),"")</f>
        <v/>
      </c>
      <c r="F607" s="1" t="str">
        <f>IF(COUNTIF('Quipt Prod Data'!L:L,Data[[#This Row],[unqid]])=0,"",COUNTIF('Quipt Prod Data'!L:L,Data[[#This Row],[unqid]]))</f>
        <v/>
      </c>
    </row>
    <row r="608" spans="1:6" x14ac:dyDescent="0.3">
      <c r="A608" t="s">
        <v>822</v>
      </c>
      <c r="B608" t="s">
        <v>34</v>
      </c>
      <c r="C608" t="s">
        <v>43</v>
      </c>
      <c r="D608" s="1" t="str">
        <f>_xlfn.IFNA(_xlfn.XLOOKUP(Data[[#This Row],[unqid]],'Quipt Prod Data'!L:L,'Quipt Prod Data'!B:B),"")</f>
        <v/>
      </c>
      <c r="E608" s="1" t="str">
        <f>_xlfn.IFNA(_xlfn.XMATCH(Data[[#This Row],[unqid]],'Quipt Prod Data'!L:L,0),"")</f>
        <v/>
      </c>
      <c r="F608" s="1" t="str">
        <f>IF(COUNTIF('Quipt Prod Data'!L:L,Data[[#This Row],[unqid]])=0,"",COUNTIF('Quipt Prod Data'!L:L,Data[[#This Row],[unqid]]))</f>
        <v/>
      </c>
    </row>
    <row r="609" spans="1:6" x14ac:dyDescent="0.3">
      <c r="A609" t="s">
        <v>823</v>
      </c>
      <c r="B609" t="s">
        <v>41</v>
      </c>
      <c r="C609" t="s">
        <v>44</v>
      </c>
      <c r="D609" s="1" t="str">
        <f>_xlfn.IFNA(_xlfn.XLOOKUP(Data[[#This Row],[unqid]],'Quipt Prod Data'!L:L,'Quipt Prod Data'!B:B),"")</f>
        <v/>
      </c>
      <c r="E609" s="1" t="str">
        <f>_xlfn.IFNA(_xlfn.XMATCH(Data[[#This Row],[unqid]],'Quipt Prod Data'!L:L,0),"")</f>
        <v/>
      </c>
      <c r="F609" s="1" t="str">
        <f>IF(COUNTIF('Quipt Prod Data'!L:L,Data[[#This Row],[unqid]])=0,"",COUNTIF('Quipt Prod Data'!L:L,Data[[#This Row],[unqid]]))</f>
        <v/>
      </c>
    </row>
    <row r="610" spans="1:6" x14ac:dyDescent="0.3">
      <c r="A610" t="s">
        <v>824</v>
      </c>
      <c r="B610" t="s">
        <v>42</v>
      </c>
      <c r="C610" t="s">
        <v>43</v>
      </c>
      <c r="D610" s="1" t="str">
        <f>_xlfn.IFNA(_xlfn.XLOOKUP(Data[[#This Row],[unqid]],'Quipt Prod Data'!L:L,'Quipt Prod Data'!B:B),"")</f>
        <v/>
      </c>
      <c r="E610" s="1" t="str">
        <f>_xlfn.IFNA(_xlfn.XMATCH(Data[[#This Row],[unqid]],'Quipt Prod Data'!L:L,0),"")</f>
        <v/>
      </c>
      <c r="F610" s="1" t="str">
        <f>IF(COUNTIF('Quipt Prod Data'!L:L,Data[[#This Row],[unqid]])=0,"",COUNTIF('Quipt Prod Data'!L:L,Data[[#This Row],[unqid]]))</f>
        <v/>
      </c>
    </row>
    <row r="611" spans="1:6" x14ac:dyDescent="0.3">
      <c r="A611" t="s">
        <v>825</v>
      </c>
      <c r="B611" t="s">
        <v>41</v>
      </c>
      <c r="C611" t="s">
        <v>44</v>
      </c>
      <c r="D611" s="1" t="str">
        <f>_xlfn.IFNA(_xlfn.XLOOKUP(Data[[#This Row],[unqid]],'Quipt Prod Data'!L:L,'Quipt Prod Data'!B:B),"")</f>
        <v/>
      </c>
      <c r="E611" s="1" t="str">
        <f>_xlfn.IFNA(_xlfn.XMATCH(Data[[#This Row],[unqid]],'Quipt Prod Data'!L:L,0),"")</f>
        <v/>
      </c>
      <c r="F611" s="1" t="str">
        <f>IF(COUNTIF('Quipt Prod Data'!L:L,Data[[#This Row],[unqid]])=0,"",COUNTIF('Quipt Prod Data'!L:L,Data[[#This Row],[unqid]]))</f>
        <v/>
      </c>
    </row>
    <row r="612" spans="1:6" x14ac:dyDescent="0.3">
      <c r="A612" t="s">
        <v>826</v>
      </c>
      <c r="B612" t="s">
        <v>49</v>
      </c>
      <c r="C612" t="s">
        <v>46</v>
      </c>
      <c r="D612" s="1" t="str">
        <f>_xlfn.IFNA(_xlfn.XLOOKUP(Data[[#This Row],[unqid]],'Quipt Prod Data'!L:L,'Quipt Prod Data'!B:B),"")</f>
        <v/>
      </c>
      <c r="E612" s="1" t="str">
        <f>_xlfn.IFNA(_xlfn.XMATCH(Data[[#This Row],[unqid]],'Quipt Prod Data'!L:L,0),"")</f>
        <v/>
      </c>
      <c r="F612" s="1" t="str">
        <f>IF(COUNTIF('Quipt Prod Data'!L:L,Data[[#This Row],[unqid]])=0,"",COUNTIF('Quipt Prod Data'!L:L,Data[[#This Row],[unqid]]))</f>
        <v/>
      </c>
    </row>
    <row r="613" spans="1:6" x14ac:dyDescent="0.3">
      <c r="A613" t="s">
        <v>827</v>
      </c>
      <c r="B613" t="s">
        <v>41</v>
      </c>
      <c r="C613" t="s">
        <v>27</v>
      </c>
      <c r="D613" s="1" t="str">
        <f>_xlfn.IFNA(_xlfn.XLOOKUP(Data[[#This Row],[unqid]],'Quipt Prod Data'!L:L,'Quipt Prod Data'!B:B),"")</f>
        <v/>
      </c>
      <c r="E613" s="1" t="str">
        <f>_xlfn.IFNA(_xlfn.XMATCH(Data[[#This Row],[unqid]],'Quipt Prod Data'!L:L,0),"")</f>
        <v/>
      </c>
      <c r="F613" s="1" t="str">
        <f>IF(COUNTIF('Quipt Prod Data'!L:L,Data[[#This Row],[unqid]])=0,"",COUNTIF('Quipt Prod Data'!L:L,Data[[#This Row],[unqid]]))</f>
        <v/>
      </c>
    </row>
    <row r="614" spans="1:6" x14ac:dyDescent="0.3">
      <c r="A614" t="s">
        <v>828</v>
      </c>
      <c r="B614" t="s">
        <v>42</v>
      </c>
      <c r="C614" t="s">
        <v>43</v>
      </c>
      <c r="D614" s="1" t="str">
        <f>_xlfn.IFNA(_xlfn.XLOOKUP(Data[[#This Row],[unqid]],'Quipt Prod Data'!L:L,'Quipt Prod Data'!B:B),"")</f>
        <v/>
      </c>
      <c r="E614" s="1" t="str">
        <f>_xlfn.IFNA(_xlfn.XMATCH(Data[[#This Row],[unqid]],'Quipt Prod Data'!L:L,0),"")</f>
        <v/>
      </c>
      <c r="F614" s="1" t="str">
        <f>IF(COUNTIF('Quipt Prod Data'!L:L,Data[[#This Row],[unqid]])=0,"",COUNTIF('Quipt Prod Data'!L:L,Data[[#This Row],[unqid]]))</f>
        <v/>
      </c>
    </row>
    <row r="615" spans="1:6" x14ac:dyDescent="0.3">
      <c r="A615" t="s">
        <v>829</v>
      </c>
      <c r="B615" t="s">
        <v>41</v>
      </c>
      <c r="C615" t="s">
        <v>44</v>
      </c>
      <c r="D615" s="1" t="str">
        <f>_xlfn.IFNA(_xlfn.XLOOKUP(Data[[#This Row],[unqid]],'Quipt Prod Data'!L:L,'Quipt Prod Data'!B:B),"")</f>
        <v/>
      </c>
      <c r="E615" s="1" t="str">
        <f>_xlfn.IFNA(_xlfn.XMATCH(Data[[#This Row],[unqid]],'Quipt Prod Data'!L:L,0),"")</f>
        <v/>
      </c>
      <c r="F615" s="1" t="str">
        <f>IF(COUNTIF('Quipt Prod Data'!L:L,Data[[#This Row],[unqid]])=0,"",COUNTIF('Quipt Prod Data'!L:L,Data[[#This Row],[unqid]]))</f>
        <v/>
      </c>
    </row>
    <row r="616" spans="1:6" x14ac:dyDescent="0.3">
      <c r="A616" t="s">
        <v>830</v>
      </c>
      <c r="B616" t="s">
        <v>41</v>
      </c>
      <c r="C616" t="s">
        <v>48</v>
      </c>
      <c r="D616" s="1" t="str">
        <f>_xlfn.IFNA(_xlfn.XLOOKUP(Data[[#This Row],[unqid]],'Quipt Prod Data'!L:L,'Quipt Prod Data'!B:B),"")</f>
        <v/>
      </c>
      <c r="E616" s="1" t="str">
        <f>_xlfn.IFNA(_xlfn.XMATCH(Data[[#This Row],[unqid]],'Quipt Prod Data'!L:L,0),"")</f>
        <v/>
      </c>
      <c r="F616" s="1" t="str">
        <f>IF(COUNTIF('Quipt Prod Data'!L:L,Data[[#This Row],[unqid]])=0,"",COUNTIF('Quipt Prod Data'!L:L,Data[[#This Row],[unqid]]))</f>
        <v/>
      </c>
    </row>
    <row r="617" spans="1:6" x14ac:dyDescent="0.3">
      <c r="A617" t="s">
        <v>831</v>
      </c>
      <c r="B617" t="s">
        <v>34</v>
      </c>
      <c r="C617" t="s">
        <v>43</v>
      </c>
      <c r="D617" s="1" t="str">
        <f>_xlfn.IFNA(_xlfn.XLOOKUP(Data[[#This Row],[unqid]],'Quipt Prod Data'!L:L,'Quipt Prod Data'!B:B),"")</f>
        <v/>
      </c>
      <c r="E617" s="1" t="str">
        <f>_xlfn.IFNA(_xlfn.XMATCH(Data[[#This Row],[unqid]],'Quipt Prod Data'!L:L,0),"")</f>
        <v/>
      </c>
      <c r="F617" s="1" t="str">
        <f>IF(COUNTIF('Quipt Prod Data'!L:L,Data[[#This Row],[unqid]])=0,"",COUNTIF('Quipt Prod Data'!L:L,Data[[#This Row],[unqid]]))</f>
        <v/>
      </c>
    </row>
    <row r="618" spans="1:6" x14ac:dyDescent="0.3">
      <c r="A618" t="s">
        <v>832</v>
      </c>
      <c r="B618" t="s">
        <v>42</v>
      </c>
      <c r="C618" t="s">
        <v>43</v>
      </c>
      <c r="D618" s="1" t="str">
        <f>_xlfn.IFNA(_xlfn.XLOOKUP(Data[[#This Row],[unqid]],'Quipt Prod Data'!L:L,'Quipt Prod Data'!B:B),"")</f>
        <v/>
      </c>
      <c r="E618" s="1" t="str">
        <f>_xlfn.IFNA(_xlfn.XMATCH(Data[[#This Row],[unqid]],'Quipt Prod Data'!L:L,0),"")</f>
        <v/>
      </c>
      <c r="F618" s="1" t="str">
        <f>IF(COUNTIF('Quipt Prod Data'!L:L,Data[[#This Row],[unqid]])=0,"",COUNTIF('Quipt Prod Data'!L:L,Data[[#This Row],[unqid]]))</f>
        <v/>
      </c>
    </row>
    <row r="619" spans="1:6" x14ac:dyDescent="0.3">
      <c r="A619" t="s">
        <v>833</v>
      </c>
      <c r="B619" t="s">
        <v>41</v>
      </c>
      <c r="C619" t="s">
        <v>48</v>
      </c>
      <c r="D619" s="1" t="str">
        <f>_xlfn.IFNA(_xlfn.XLOOKUP(Data[[#This Row],[unqid]],'Quipt Prod Data'!L:L,'Quipt Prod Data'!B:B),"")</f>
        <v/>
      </c>
      <c r="E619" s="1" t="str">
        <f>_xlfn.IFNA(_xlfn.XMATCH(Data[[#This Row],[unqid]],'Quipt Prod Data'!L:L,0),"")</f>
        <v/>
      </c>
      <c r="F619" s="1" t="str">
        <f>IF(COUNTIF('Quipt Prod Data'!L:L,Data[[#This Row],[unqid]])=0,"",COUNTIF('Quipt Prod Data'!L:L,Data[[#This Row],[unqid]]))</f>
        <v/>
      </c>
    </row>
    <row r="620" spans="1:6" x14ac:dyDescent="0.3">
      <c r="A620" t="s">
        <v>834</v>
      </c>
      <c r="B620" t="s">
        <v>41</v>
      </c>
      <c r="C620" t="s">
        <v>48</v>
      </c>
      <c r="D620" s="1" t="str">
        <f>_xlfn.IFNA(_xlfn.XLOOKUP(Data[[#This Row],[unqid]],'Quipt Prod Data'!L:L,'Quipt Prod Data'!B:B),"")</f>
        <v/>
      </c>
      <c r="E620" s="1" t="str">
        <f>_xlfn.IFNA(_xlfn.XMATCH(Data[[#This Row],[unqid]],'Quipt Prod Data'!L:L,0),"")</f>
        <v/>
      </c>
      <c r="F620" s="1" t="str">
        <f>IF(COUNTIF('Quipt Prod Data'!L:L,Data[[#This Row],[unqid]])=0,"",COUNTIF('Quipt Prod Data'!L:L,Data[[#This Row],[unqid]]))</f>
        <v/>
      </c>
    </row>
    <row r="621" spans="1:6" x14ac:dyDescent="0.3">
      <c r="A621" t="s">
        <v>835</v>
      </c>
      <c r="B621" t="s">
        <v>32</v>
      </c>
      <c r="C621" t="s">
        <v>45</v>
      </c>
      <c r="D621" s="1" t="str">
        <f>_xlfn.IFNA(_xlfn.XLOOKUP(Data[[#This Row],[unqid]],'Quipt Prod Data'!L:L,'Quipt Prod Data'!B:B),"")</f>
        <v/>
      </c>
      <c r="E621" s="1" t="str">
        <f>_xlfn.IFNA(_xlfn.XMATCH(Data[[#This Row],[unqid]],'Quipt Prod Data'!L:L,0),"")</f>
        <v/>
      </c>
      <c r="F621" s="1" t="str">
        <f>IF(COUNTIF('Quipt Prod Data'!L:L,Data[[#This Row],[unqid]])=0,"",COUNTIF('Quipt Prod Data'!L:L,Data[[#This Row],[unqid]]))</f>
        <v/>
      </c>
    </row>
    <row r="622" spans="1:6" x14ac:dyDescent="0.3">
      <c r="A622" t="s">
        <v>836</v>
      </c>
      <c r="B622" t="s">
        <v>41</v>
      </c>
      <c r="C622" t="s">
        <v>44</v>
      </c>
      <c r="D622" s="1" t="str">
        <f>_xlfn.IFNA(_xlfn.XLOOKUP(Data[[#This Row],[unqid]],'Quipt Prod Data'!L:L,'Quipt Prod Data'!B:B),"")</f>
        <v/>
      </c>
      <c r="E622" s="1" t="str">
        <f>_xlfn.IFNA(_xlfn.XMATCH(Data[[#This Row],[unqid]],'Quipt Prod Data'!L:L,0),"")</f>
        <v/>
      </c>
      <c r="F622" s="1" t="str">
        <f>IF(COUNTIF('Quipt Prod Data'!L:L,Data[[#This Row],[unqid]])=0,"",COUNTIF('Quipt Prod Data'!L:L,Data[[#This Row],[unqid]]))</f>
        <v/>
      </c>
    </row>
    <row r="623" spans="1:6" x14ac:dyDescent="0.3">
      <c r="A623" t="s">
        <v>837</v>
      </c>
      <c r="B623" t="s">
        <v>32</v>
      </c>
      <c r="C623" t="s">
        <v>45</v>
      </c>
      <c r="D623" s="1" t="str">
        <f>_xlfn.IFNA(_xlfn.XLOOKUP(Data[[#This Row],[unqid]],'Quipt Prod Data'!L:L,'Quipt Prod Data'!B:B),"")</f>
        <v/>
      </c>
      <c r="E623" s="1" t="str">
        <f>_xlfn.IFNA(_xlfn.XMATCH(Data[[#This Row],[unqid]],'Quipt Prod Data'!L:L,0),"")</f>
        <v/>
      </c>
      <c r="F623" s="1" t="str">
        <f>IF(COUNTIF('Quipt Prod Data'!L:L,Data[[#This Row],[unqid]])=0,"",COUNTIF('Quipt Prod Data'!L:L,Data[[#This Row],[unqid]]))</f>
        <v/>
      </c>
    </row>
    <row r="624" spans="1:6" x14ac:dyDescent="0.3">
      <c r="A624" t="s">
        <v>838</v>
      </c>
      <c r="B624" t="s">
        <v>42</v>
      </c>
      <c r="C624" t="s">
        <v>43</v>
      </c>
      <c r="D624" s="1" t="str">
        <f>_xlfn.IFNA(_xlfn.XLOOKUP(Data[[#This Row],[unqid]],'Quipt Prod Data'!L:L,'Quipt Prod Data'!B:B),"")</f>
        <v/>
      </c>
      <c r="E624" s="1" t="str">
        <f>_xlfn.IFNA(_xlfn.XMATCH(Data[[#This Row],[unqid]],'Quipt Prod Data'!L:L,0),"")</f>
        <v/>
      </c>
      <c r="F624" s="1" t="str">
        <f>IF(COUNTIF('Quipt Prod Data'!L:L,Data[[#This Row],[unqid]])=0,"",COUNTIF('Quipt Prod Data'!L:L,Data[[#This Row],[unqid]]))</f>
        <v/>
      </c>
    </row>
    <row r="625" spans="1:6" x14ac:dyDescent="0.3">
      <c r="A625" t="s">
        <v>839</v>
      </c>
      <c r="B625" t="s">
        <v>41</v>
      </c>
      <c r="C625" t="s">
        <v>44</v>
      </c>
      <c r="D625" s="1" t="str">
        <f>_xlfn.IFNA(_xlfn.XLOOKUP(Data[[#This Row],[unqid]],'Quipt Prod Data'!L:L,'Quipt Prod Data'!B:B),"")</f>
        <v/>
      </c>
      <c r="E625" s="1" t="str">
        <f>_xlfn.IFNA(_xlfn.XMATCH(Data[[#This Row],[unqid]],'Quipt Prod Data'!L:L,0),"")</f>
        <v/>
      </c>
      <c r="F625" s="1" t="str">
        <f>IF(COUNTIF('Quipt Prod Data'!L:L,Data[[#This Row],[unqid]])=0,"",COUNTIF('Quipt Prod Data'!L:L,Data[[#This Row],[unqid]]))</f>
        <v/>
      </c>
    </row>
    <row r="626" spans="1:6" x14ac:dyDescent="0.3">
      <c r="A626" t="s">
        <v>840</v>
      </c>
      <c r="B626" t="s">
        <v>42</v>
      </c>
      <c r="C626" t="s">
        <v>46</v>
      </c>
      <c r="D626" s="1" t="str">
        <f>_xlfn.IFNA(_xlfn.XLOOKUP(Data[[#This Row],[unqid]],'Quipt Prod Data'!L:L,'Quipt Prod Data'!B:B),"")</f>
        <v/>
      </c>
      <c r="E626" s="1" t="str">
        <f>_xlfn.IFNA(_xlfn.XMATCH(Data[[#This Row],[unqid]],'Quipt Prod Data'!L:L,0),"")</f>
        <v/>
      </c>
      <c r="F626" s="1" t="str">
        <f>IF(COUNTIF('Quipt Prod Data'!L:L,Data[[#This Row],[unqid]])=0,"",COUNTIF('Quipt Prod Data'!L:L,Data[[#This Row],[unqid]]))</f>
        <v/>
      </c>
    </row>
    <row r="627" spans="1:6" x14ac:dyDescent="0.3">
      <c r="A627" t="s">
        <v>841</v>
      </c>
      <c r="B627" t="s">
        <v>32</v>
      </c>
      <c r="C627" t="s">
        <v>27</v>
      </c>
      <c r="D627" s="1" t="str">
        <f>_xlfn.IFNA(_xlfn.XLOOKUP(Data[[#This Row],[unqid]],'Quipt Prod Data'!L:L,'Quipt Prod Data'!B:B),"")</f>
        <v/>
      </c>
      <c r="E627" s="1" t="str">
        <f>_xlfn.IFNA(_xlfn.XMATCH(Data[[#This Row],[unqid]],'Quipt Prod Data'!L:L,0),"")</f>
        <v/>
      </c>
      <c r="F627" s="1" t="str">
        <f>IF(COUNTIF('Quipt Prod Data'!L:L,Data[[#This Row],[unqid]])=0,"",COUNTIF('Quipt Prod Data'!L:L,Data[[#This Row],[unqid]]))</f>
        <v/>
      </c>
    </row>
    <row r="628" spans="1:6" x14ac:dyDescent="0.3">
      <c r="A628" t="s">
        <v>842</v>
      </c>
      <c r="B628" t="s">
        <v>41</v>
      </c>
      <c r="C628" t="s">
        <v>48</v>
      </c>
      <c r="D628" s="1" t="str">
        <f>_xlfn.IFNA(_xlfn.XLOOKUP(Data[[#This Row],[unqid]],'Quipt Prod Data'!L:L,'Quipt Prod Data'!B:B),"")</f>
        <v/>
      </c>
      <c r="E628" s="1" t="str">
        <f>_xlfn.IFNA(_xlfn.XMATCH(Data[[#This Row],[unqid]],'Quipt Prod Data'!L:L,0),"")</f>
        <v/>
      </c>
      <c r="F628" s="1" t="str">
        <f>IF(COUNTIF('Quipt Prod Data'!L:L,Data[[#This Row],[unqid]])=0,"",COUNTIF('Quipt Prod Data'!L:L,Data[[#This Row],[unqid]]))</f>
        <v/>
      </c>
    </row>
    <row r="629" spans="1:6" x14ac:dyDescent="0.3">
      <c r="A629" t="s">
        <v>843</v>
      </c>
      <c r="B629" t="s">
        <v>41</v>
      </c>
      <c r="C629" t="s">
        <v>43</v>
      </c>
      <c r="D629" s="1" t="str">
        <f>_xlfn.IFNA(_xlfn.XLOOKUP(Data[[#This Row],[unqid]],'Quipt Prod Data'!L:L,'Quipt Prod Data'!B:B),"")</f>
        <v/>
      </c>
      <c r="E629" s="1" t="str">
        <f>_xlfn.IFNA(_xlfn.XMATCH(Data[[#This Row],[unqid]],'Quipt Prod Data'!L:L,0),"")</f>
        <v/>
      </c>
      <c r="F629" s="1" t="str">
        <f>IF(COUNTIF('Quipt Prod Data'!L:L,Data[[#This Row],[unqid]])=0,"",COUNTIF('Quipt Prod Data'!L:L,Data[[#This Row],[unqid]]))</f>
        <v/>
      </c>
    </row>
    <row r="630" spans="1:6" x14ac:dyDescent="0.3">
      <c r="A630" t="s">
        <v>844</v>
      </c>
      <c r="B630" t="s">
        <v>31</v>
      </c>
      <c r="C630" t="s">
        <v>48</v>
      </c>
      <c r="D630" s="1" t="str">
        <f>_xlfn.IFNA(_xlfn.XLOOKUP(Data[[#This Row],[unqid]],'Quipt Prod Data'!L:L,'Quipt Prod Data'!B:B),"")</f>
        <v/>
      </c>
      <c r="E630" s="1" t="str">
        <f>_xlfn.IFNA(_xlfn.XMATCH(Data[[#This Row],[unqid]],'Quipt Prod Data'!L:L,0),"")</f>
        <v/>
      </c>
      <c r="F630" s="1" t="str">
        <f>IF(COUNTIF('Quipt Prod Data'!L:L,Data[[#This Row],[unqid]])=0,"",COUNTIF('Quipt Prod Data'!L:L,Data[[#This Row],[unqid]]))</f>
        <v/>
      </c>
    </row>
    <row r="631" spans="1:6" x14ac:dyDescent="0.3">
      <c r="A631" t="s">
        <v>845</v>
      </c>
      <c r="B631" t="s">
        <v>41</v>
      </c>
      <c r="C631" t="s">
        <v>44</v>
      </c>
      <c r="D631" s="1" t="str">
        <f>_xlfn.IFNA(_xlfn.XLOOKUP(Data[[#This Row],[unqid]],'Quipt Prod Data'!L:L,'Quipt Prod Data'!B:B),"")</f>
        <v/>
      </c>
      <c r="E631" s="1" t="str">
        <f>_xlfn.IFNA(_xlfn.XMATCH(Data[[#This Row],[unqid]],'Quipt Prod Data'!L:L,0),"")</f>
        <v/>
      </c>
      <c r="F631" s="1" t="str">
        <f>IF(COUNTIF('Quipt Prod Data'!L:L,Data[[#This Row],[unqid]])=0,"",COUNTIF('Quipt Prod Data'!L:L,Data[[#This Row],[unqid]]))</f>
        <v/>
      </c>
    </row>
    <row r="632" spans="1:6" x14ac:dyDescent="0.3">
      <c r="A632" t="s">
        <v>846</v>
      </c>
      <c r="B632" t="s">
        <v>41</v>
      </c>
      <c r="C632" t="s">
        <v>48</v>
      </c>
      <c r="D632" s="1" t="str">
        <f>_xlfn.IFNA(_xlfn.XLOOKUP(Data[[#This Row],[unqid]],'Quipt Prod Data'!L:L,'Quipt Prod Data'!B:B),"")</f>
        <v/>
      </c>
      <c r="E632" s="1" t="str">
        <f>_xlfn.IFNA(_xlfn.XMATCH(Data[[#This Row],[unqid]],'Quipt Prod Data'!L:L,0),"")</f>
        <v/>
      </c>
      <c r="F632" s="1" t="str">
        <f>IF(COUNTIF('Quipt Prod Data'!L:L,Data[[#This Row],[unqid]])=0,"",COUNTIF('Quipt Prod Data'!L:L,Data[[#This Row],[unqid]]))</f>
        <v/>
      </c>
    </row>
    <row r="633" spans="1:6" x14ac:dyDescent="0.3">
      <c r="A633" t="s">
        <v>847</v>
      </c>
      <c r="B633" t="s">
        <v>41</v>
      </c>
      <c r="C633" t="s">
        <v>44</v>
      </c>
      <c r="D633" s="1" t="str">
        <f>_xlfn.IFNA(_xlfn.XLOOKUP(Data[[#This Row],[unqid]],'Quipt Prod Data'!L:L,'Quipt Prod Data'!B:B),"")</f>
        <v/>
      </c>
      <c r="E633" s="1" t="str">
        <f>_xlfn.IFNA(_xlfn.XMATCH(Data[[#This Row],[unqid]],'Quipt Prod Data'!L:L,0),"")</f>
        <v/>
      </c>
      <c r="F633" s="1" t="str">
        <f>IF(COUNTIF('Quipt Prod Data'!L:L,Data[[#This Row],[unqid]])=0,"",COUNTIF('Quipt Prod Data'!L:L,Data[[#This Row],[unqid]]))</f>
        <v/>
      </c>
    </row>
    <row r="634" spans="1:6" x14ac:dyDescent="0.3">
      <c r="A634" t="s">
        <v>848</v>
      </c>
      <c r="B634" t="s">
        <v>42</v>
      </c>
      <c r="C634" t="s">
        <v>43</v>
      </c>
      <c r="D634" s="1" t="str">
        <f>_xlfn.IFNA(_xlfn.XLOOKUP(Data[[#This Row],[unqid]],'Quipt Prod Data'!L:L,'Quipt Prod Data'!B:B),"")</f>
        <v/>
      </c>
      <c r="E634" s="1" t="str">
        <f>_xlfn.IFNA(_xlfn.XMATCH(Data[[#This Row],[unqid]],'Quipt Prod Data'!L:L,0),"")</f>
        <v/>
      </c>
      <c r="F634" s="1" t="str">
        <f>IF(COUNTIF('Quipt Prod Data'!L:L,Data[[#This Row],[unqid]])=0,"",COUNTIF('Quipt Prod Data'!L:L,Data[[#This Row],[unqid]]))</f>
        <v/>
      </c>
    </row>
    <row r="635" spans="1:6" x14ac:dyDescent="0.3">
      <c r="A635" t="s">
        <v>849</v>
      </c>
      <c r="B635" t="s">
        <v>41</v>
      </c>
      <c r="C635" t="s">
        <v>48</v>
      </c>
      <c r="D635" s="1" t="str">
        <f>_xlfn.IFNA(_xlfn.XLOOKUP(Data[[#This Row],[unqid]],'Quipt Prod Data'!L:L,'Quipt Prod Data'!B:B),"")</f>
        <v/>
      </c>
      <c r="E635" s="1" t="str">
        <f>_xlfn.IFNA(_xlfn.XMATCH(Data[[#This Row],[unqid]],'Quipt Prod Data'!L:L,0),"")</f>
        <v/>
      </c>
      <c r="F635" s="1" t="str">
        <f>IF(COUNTIF('Quipt Prod Data'!L:L,Data[[#This Row],[unqid]])=0,"",COUNTIF('Quipt Prod Data'!L:L,Data[[#This Row],[unqid]]))</f>
        <v/>
      </c>
    </row>
    <row r="636" spans="1:6" x14ac:dyDescent="0.3">
      <c r="A636" t="s">
        <v>850</v>
      </c>
      <c r="B636" t="s">
        <v>41</v>
      </c>
      <c r="C636" t="s">
        <v>48</v>
      </c>
      <c r="D636" s="1" t="str">
        <f>_xlfn.IFNA(_xlfn.XLOOKUP(Data[[#This Row],[unqid]],'Quipt Prod Data'!L:L,'Quipt Prod Data'!B:B),"")</f>
        <v/>
      </c>
      <c r="E636" s="1" t="str">
        <f>_xlfn.IFNA(_xlfn.XMATCH(Data[[#This Row],[unqid]],'Quipt Prod Data'!L:L,0),"")</f>
        <v/>
      </c>
      <c r="F636" s="1" t="str">
        <f>IF(COUNTIF('Quipt Prod Data'!L:L,Data[[#This Row],[unqid]])=0,"",COUNTIF('Quipt Prod Data'!L:L,Data[[#This Row],[unqid]]))</f>
        <v/>
      </c>
    </row>
    <row r="637" spans="1:6" x14ac:dyDescent="0.3">
      <c r="A637" t="s">
        <v>851</v>
      </c>
      <c r="B637" t="s">
        <v>41</v>
      </c>
      <c r="C637" t="s">
        <v>44</v>
      </c>
      <c r="D637" s="1" t="str">
        <f>_xlfn.IFNA(_xlfn.XLOOKUP(Data[[#This Row],[unqid]],'Quipt Prod Data'!L:L,'Quipt Prod Data'!B:B),"")</f>
        <v/>
      </c>
      <c r="E637" s="1" t="str">
        <f>_xlfn.IFNA(_xlfn.XMATCH(Data[[#This Row],[unqid]],'Quipt Prod Data'!L:L,0),"")</f>
        <v/>
      </c>
      <c r="F637" s="1" t="str">
        <f>IF(COUNTIF('Quipt Prod Data'!L:L,Data[[#This Row],[unqid]])=0,"",COUNTIF('Quipt Prod Data'!L:L,Data[[#This Row],[unqid]]))</f>
        <v/>
      </c>
    </row>
    <row r="638" spans="1:6" x14ac:dyDescent="0.3">
      <c r="A638" t="s">
        <v>852</v>
      </c>
      <c r="B638" t="s">
        <v>41</v>
      </c>
      <c r="C638" t="s">
        <v>46</v>
      </c>
      <c r="D638" s="1" t="str">
        <f>_xlfn.IFNA(_xlfn.XLOOKUP(Data[[#This Row],[unqid]],'Quipt Prod Data'!L:L,'Quipt Prod Data'!B:B),"")</f>
        <v/>
      </c>
      <c r="E638" s="1" t="str">
        <f>_xlfn.IFNA(_xlfn.XMATCH(Data[[#This Row],[unqid]],'Quipt Prod Data'!L:L,0),"")</f>
        <v/>
      </c>
      <c r="F638" s="1" t="str">
        <f>IF(COUNTIF('Quipt Prod Data'!L:L,Data[[#This Row],[unqid]])=0,"",COUNTIF('Quipt Prod Data'!L:L,Data[[#This Row],[unqid]]))</f>
        <v/>
      </c>
    </row>
    <row r="639" spans="1:6" x14ac:dyDescent="0.3">
      <c r="A639" t="s">
        <v>853</v>
      </c>
      <c r="B639" t="s">
        <v>42</v>
      </c>
      <c r="C639" t="s">
        <v>43</v>
      </c>
      <c r="D639" s="1" t="str">
        <f>_xlfn.IFNA(_xlfn.XLOOKUP(Data[[#This Row],[unqid]],'Quipt Prod Data'!L:L,'Quipt Prod Data'!B:B),"")</f>
        <v/>
      </c>
      <c r="E639" s="1" t="str">
        <f>_xlfn.IFNA(_xlfn.XMATCH(Data[[#This Row],[unqid]],'Quipt Prod Data'!L:L,0),"")</f>
        <v/>
      </c>
      <c r="F639" s="1" t="str">
        <f>IF(COUNTIF('Quipt Prod Data'!L:L,Data[[#This Row],[unqid]])=0,"",COUNTIF('Quipt Prod Data'!L:L,Data[[#This Row],[unqid]]))</f>
        <v/>
      </c>
    </row>
    <row r="640" spans="1:6" x14ac:dyDescent="0.3">
      <c r="A640" t="s">
        <v>854</v>
      </c>
      <c r="B640" t="s">
        <v>33</v>
      </c>
      <c r="C640" t="s">
        <v>27</v>
      </c>
      <c r="D640" s="1" t="str">
        <f>_xlfn.IFNA(_xlfn.XLOOKUP(Data[[#This Row],[unqid]],'Quipt Prod Data'!L:L,'Quipt Prod Data'!B:B),"")</f>
        <v/>
      </c>
      <c r="E640" s="1" t="str">
        <f>_xlfn.IFNA(_xlfn.XMATCH(Data[[#This Row],[unqid]],'Quipt Prod Data'!L:L,0),"")</f>
        <v/>
      </c>
      <c r="F640" s="1" t="str">
        <f>IF(COUNTIF('Quipt Prod Data'!L:L,Data[[#This Row],[unqid]])=0,"",COUNTIF('Quipt Prod Data'!L:L,Data[[#This Row],[unqid]]))</f>
        <v/>
      </c>
    </row>
    <row r="641" spans="1:6" x14ac:dyDescent="0.3">
      <c r="A641" t="s">
        <v>855</v>
      </c>
      <c r="B641" t="s">
        <v>41</v>
      </c>
      <c r="C641" t="s">
        <v>44</v>
      </c>
      <c r="D641" s="1" t="str">
        <f>_xlfn.IFNA(_xlfn.XLOOKUP(Data[[#This Row],[unqid]],'Quipt Prod Data'!L:L,'Quipt Prod Data'!B:B),"")</f>
        <v/>
      </c>
      <c r="E641" s="1" t="str">
        <f>_xlfn.IFNA(_xlfn.XMATCH(Data[[#This Row],[unqid]],'Quipt Prod Data'!L:L,0),"")</f>
        <v/>
      </c>
      <c r="F641" s="1" t="str">
        <f>IF(COUNTIF('Quipt Prod Data'!L:L,Data[[#This Row],[unqid]])=0,"",COUNTIF('Quipt Prod Data'!L:L,Data[[#This Row],[unqid]]))</f>
        <v/>
      </c>
    </row>
    <row r="642" spans="1:6" x14ac:dyDescent="0.3">
      <c r="A642" t="s">
        <v>856</v>
      </c>
      <c r="B642" t="s">
        <v>34</v>
      </c>
      <c r="C642" t="s">
        <v>44</v>
      </c>
      <c r="D642" s="1" t="str">
        <f>_xlfn.IFNA(_xlfn.XLOOKUP(Data[[#This Row],[unqid]],'Quipt Prod Data'!L:L,'Quipt Prod Data'!B:B),"")</f>
        <v/>
      </c>
      <c r="E642" s="1" t="str">
        <f>_xlfn.IFNA(_xlfn.XMATCH(Data[[#This Row],[unqid]],'Quipt Prod Data'!L:L,0),"")</f>
        <v/>
      </c>
      <c r="F642" s="1" t="str">
        <f>IF(COUNTIF('Quipt Prod Data'!L:L,Data[[#This Row],[unqid]])=0,"",COUNTIF('Quipt Prod Data'!L:L,Data[[#This Row],[unqid]]))</f>
        <v/>
      </c>
    </row>
    <row r="643" spans="1:6" x14ac:dyDescent="0.3">
      <c r="A643" t="s">
        <v>857</v>
      </c>
      <c r="B643" t="s">
        <v>51</v>
      </c>
      <c r="C643" t="s">
        <v>44</v>
      </c>
      <c r="D643" s="1" t="str">
        <f>_xlfn.IFNA(_xlfn.XLOOKUP(Data[[#This Row],[unqid]],'Quipt Prod Data'!L:L,'Quipt Prod Data'!B:B),"")</f>
        <v/>
      </c>
      <c r="E643" s="1" t="str">
        <f>_xlfn.IFNA(_xlfn.XMATCH(Data[[#This Row],[unqid]],'Quipt Prod Data'!L:L,0),"")</f>
        <v/>
      </c>
      <c r="F643" s="1" t="str">
        <f>IF(COUNTIF('Quipt Prod Data'!L:L,Data[[#This Row],[unqid]])=0,"",COUNTIF('Quipt Prod Data'!L:L,Data[[#This Row],[unqid]]))</f>
        <v/>
      </c>
    </row>
    <row r="644" spans="1:6" x14ac:dyDescent="0.3">
      <c r="A644" t="s">
        <v>858</v>
      </c>
      <c r="B644" t="s">
        <v>32</v>
      </c>
      <c r="C644" t="s">
        <v>27</v>
      </c>
      <c r="D644" s="1" t="str">
        <f>_xlfn.IFNA(_xlfn.XLOOKUP(Data[[#This Row],[unqid]],'Quipt Prod Data'!L:L,'Quipt Prod Data'!B:B),"")</f>
        <v/>
      </c>
      <c r="E644" s="1" t="str">
        <f>_xlfn.IFNA(_xlfn.XMATCH(Data[[#This Row],[unqid]],'Quipt Prod Data'!L:L,0),"")</f>
        <v/>
      </c>
      <c r="F644" s="1" t="str">
        <f>IF(COUNTIF('Quipt Prod Data'!L:L,Data[[#This Row],[unqid]])=0,"",COUNTIF('Quipt Prod Data'!L:L,Data[[#This Row],[unqid]]))</f>
        <v/>
      </c>
    </row>
    <row r="645" spans="1:6" x14ac:dyDescent="0.3">
      <c r="A645" t="s">
        <v>859</v>
      </c>
      <c r="B645" t="s">
        <v>41</v>
      </c>
      <c r="C645" t="s">
        <v>46</v>
      </c>
      <c r="D645" s="1" t="str">
        <f>_xlfn.IFNA(_xlfn.XLOOKUP(Data[[#This Row],[unqid]],'Quipt Prod Data'!L:L,'Quipt Prod Data'!B:B),"")</f>
        <v/>
      </c>
      <c r="E645" s="1" t="str">
        <f>_xlfn.IFNA(_xlfn.XMATCH(Data[[#This Row],[unqid]],'Quipt Prod Data'!L:L,0),"")</f>
        <v/>
      </c>
      <c r="F645" s="1" t="str">
        <f>IF(COUNTIF('Quipt Prod Data'!L:L,Data[[#This Row],[unqid]])=0,"",COUNTIF('Quipt Prod Data'!L:L,Data[[#This Row],[unqid]]))</f>
        <v/>
      </c>
    </row>
    <row r="646" spans="1:6" x14ac:dyDescent="0.3">
      <c r="A646" t="s">
        <v>860</v>
      </c>
      <c r="B646" t="s">
        <v>33</v>
      </c>
      <c r="C646" t="s">
        <v>52</v>
      </c>
      <c r="D646" s="1" t="str">
        <f>_xlfn.IFNA(_xlfn.XLOOKUP(Data[[#This Row],[unqid]],'Quipt Prod Data'!L:L,'Quipt Prod Data'!B:B),"")</f>
        <v/>
      </c>
      <c r="E646" s="1" t="str">
        <f>_xlfn.IFNA(_xlfn.XMATCH(Data[[#This Row],[unqid]],'Quipt Prod Data'!L:L,0),"")</f>
        <v/>
      </c>
      <c r="F646" s="1" t="str">
        <f>IF(COUNTIF('Quipt Prod Data'!L:L,Data[[#This Row],[unqid]])=0,"",COUNTIF('Quipt Prod Data'!L:L,Data[[#This Row],[unqid]]))</f>
        <v/>
      </c>
    </row>
    <row r="647" spans="1:6" x14ac:dyDescent="0.3">
      <c r="A647" t="s">
        <v>861</v>
      </c>
      <c r="B647" t="s">
        <v>31</v>
      </c>
      <c r="C647" t="s">
        <v>46</v>
      </c>
      <c r="D647" s="1" t="str">
        <f>_xlfn.IFNA(_xlfn.XLOOKUP(Data[[#This Row],[unqid]],'Quipt Prod Data'!L:L,'Quipt Prod Data'!B:B),"")</f>
        <v/>
      </c>
      <c r="E647" s="1" t="str">
        <f>_xlfn.IFNA(_xlfn.XMATCH(Data[[#This Row],[unqid]],'Quipt Prod Data'!L:L,0),"")</f>
        <v/>
      </c>
      <c r="F647" s="1" t="str">
        <f>IF(COUNTIF('Quipt Prod Data'!L:L,Data[[#This Row],[unqid]])=0,"",COUNTIF('Quipt Prod Data'!L:L,Data[[#This Row],[unqid]]))</f>
        <v/>
      </c>
    </row>
    <row r="648" spans="1:6" x14ac:dyDescent="0.3">
      <c r="A648" t="s">
        <v>862</v>
      </c>
      <c r="B648" t="s">
        <v>41</v>
      </c>
      <c r="C648" t="s">
        <v>44</v>
      </c>
      <c r="D648" s="1" t="str">
        <f>_xlfn.IFNA(_xlfn.XLOOKUP(Data[[#This Row],[unqid]],'Quipt Prod Data'!L:L,'Quipt Prod Data'!B:B),"")</f>
        <v/>
      </c>
      <c r="E648" s="1" t="str">
        <f>_xlfn.IFNA(_xlfn.XMATCH(Data[[#This Row],[unqid]],'Quipt Prod Data'!L:L,0),"")</f>
        <v/>
      </c>
      <c r="F648" s="1" t="str">
        <f>IF(COUNTIF('Quipt Prod Data'!L:L,Data[[#This Row],[unqid]])=0,"",COUNTIF('Quipt Prod Data'!L:L,Data[[#This Row],[unqid]]))</f>
        <v/>
      </c>
    </row>
    <row r="649" spans="1:6" x14ac:dyDescent="0.3">
      <c r="A649" t="s">
        <v>863</v>
      </c>
      <c r="B649" t="s">
        <v>41</v>
      </c>
      <c r="C649" t="s">
        <v>44</v>
      </c>
      <c r="D649" s="1" t="str">
        <f>_xlfn.IFNA(_xlfn.XLOOKUP(Data[[#This Row],[unqid]],'Quipt Prod Data'!L:L,'Quipt Prod Data'!B:B),"")</f>
        <v/>
      </c>
      <c r="E649" s="1" t="str">
        <f>_xlfn.IFNA(_xlfn.XMATCH(Data[[#This Row],[unqid]],'Quipt Prod Data'!L:L,0),"")</f>
        <v/>
      </c>
      <c r="F649" s="1" t="str">
        <f>IF(COUNTIF('Quipt Prod Data'!L:L,Data[[#This Row],[unqid]])=0,"",COUNTIF('Quipt Prod Data'!L:L,Data[[#This Row],[unqid]]))</f>
        <v/>
      </c>
    </row>
    <row r="650" spans="1:6" x14ac:dyDescent="0.3">
      <c r="A650" t="s">
        <v>864</v>
      </c>
      <c r="B650" t="s">
        <v>34</v>
      </c>
      <c r="C650" t="s">
        <v>27</v>
      </c>
      <c r="D650" s="1" t="str">
        <f>_xlfn.IFNA(_xlfn.XLOOKUP(Data[[#This Row],[unqid]],'Quipt Prod Data'!L:L,'Quipt Prod Data'!B:B),"")</f>
        <v/>
      </c>
      <c r="E650" s="1" t="str">
        <f>_xlfn.IFNA(_xlfn.XMATCH(Data[[#This Row],[unqid]],'Quipt Prod Data'!L:L,0),"")</f>
        <v/>
      </c>
      <c r="F650" s="1" t="str">
        <f>IF(COUNTIF('Quipt Prod Data'!L:L,Data[[#This Row],[unqid]])=0,"",COUNTIF('Quipt Prod Data'!L:L,Data[[#This Row],[unqid]]))</f>
        <v/>
      </c>
    </row>
    <row r="651" spans="1:6" x14ac:dyDescent="0.3">
      <c r="A651" t="s">
        <v>865</v>
      </c>
      <c r="B651" t="s">
        <v>41</v>
      </c>
      <c r="C651" t="s">
        <v>44</v>
      </c>
      <c r="D651" s="1" t="str">
        <f>_xlfn.IFNA(_xlfn.XLOOKUP(Data[[#This Row],[unqid]],'Quipt Prod Data'!L:L,'Quipt Prod Data'!B:B),"")</f>
        <v/>
      </c>
      <c r="E651" s="1" t="str">
        <f>_xlfn.IFNA(_xlfn.XMATCH(Data[[#This Row],[unqid]],'Quipt Prod Data'!L:L,0),"")</f>
        <v/>
      </c>
      <c r="F651" s="1" t="str">
        <f>IF(COUNTIF('Quipt Prod Data'!L:L,Data[[#This Row],[unqid]])=0,"",COUNTIF('Quipt Prod Data'!L:L,Data[[#This Row],[unqid]]))</f>
        <v/>
      </c>
    </row>
    <row r="652" spans="1:6" x14ac:dyDescent="0.3">
      <c r="A652" t="s">
        <v>866</v>
      </c>
      <c r="B652" t="s">
        <v>41</v>
      </c>
      <c r="C652" t="s">
        <v>44</v>
      </c>
      <c r="D652" s="1" t="str">
        <f>_xlfn.IFNA(_xlfn.XLOOKUP(Data[[#This Row],[unqid]],'Quipt Prod Data'!L:L,'Quipt Prod Data'!B:B),"")</f>
        <v/>
      </c>
      <c r="E652" s="1" t="str">
        <f>_xlfn.IFNA(_xlfn.XMATCH(Data[[#This Row],[unqid]],'Quipt Prod Data'!L:L,0),"")</f>
        <v/>
      </c>
      <c r="F652" s="1" t="str">
        <f>IF(COUNTIF('Quipt Prod Data'!L:L,Data[[#This Row],[unqid]])=0,"",COUNTIF('Quipt Prod Data'!L:L,Data[[#This Row],[unqid]]))</f>
        <v/>
      </c>
    </row>
    <row r="653" spans="1:6" x14ac:dyDescent="0.3">
      <c r="A653" t="s">
        <v>867</v>
      </c>
      <c r="B653" t="s">
        <v>32</v>
      </c>
      <c r="C653" t="s">
        <v>27</v>
      </c>
      <c r="D653" s="1" t="str">
        <f>_xlfn.IFNA(_xlfn.XLOOKUP(Data[[#This Row],[unqid]],'Quipt Prod Data'!L:L,'Quipt Prod Data'!B:B),"")</f>
        <v/>
      </c>
      <c r="E653" s="1" t="str">
        <f>_xlfn.IFNA(_xlfn.XMATCH(Data[[#This Row],[unqid]],'Quipt Prod Data'!L:L,0),"")</f>
        <v/>
      </c>
      <c r="F653" s="1" t="str">
        <f>IF(COUNTIF('Quipt Prod Data'!L:L,Data[[#This Row],[unqid]])=0,"",COUNTIF('Quipt Prod Data'!L:L,Data[[#This Row],[unqid]]))</f>
        <v/>
      </c>
    </row>
    <row r="654" spans="1:6" x14ac:dyDescent="0.3">
      <c r="A654" t="s">
        <v>868</v>
      </c>
      <c r="B654" t="s">
        <v>32</v>
      </c>
      <c r="C654" t="s">
        <v>27</v>
      </c>
      <c r="D654" s="1" t="str">
        <f>_xlfn.IFNA(_xlfn.XLOOKUP(Data[[#This Row],[unqid]],'Quipt Prod Data'!L:L,'Quipt Prod Data'!B:B),"")</f>
        <v/>
      </c>
      <c r="E654" s="1" t="str">
        <f>_xlfn.IFNA(_xlfn.XMATCH(Data[[#This Row],[unqid]],'Quipt Prod Data'!L:L,0),"")</f>
        <v/>
      </c>
      <c r="F654" s="1" t="str">
        <f>IF(COUNTIF('Quipt Prod Data'!L:L,Data[[#This Row],[unqid]])=0,"",COUNTIF('Quipt Prod Data'!L:L,Data[[#This Row],[unqid]]))</f>
        <v/>
      </c>
    </row>
    <row r="655" spans="1:6" x14ac:dyDescent="0.3">
      <c r="A655" t="s">
        <v>869</v>
      </c>
      <c r="B655" t="s">
        <v>34</v>
      </c>
      <c r="C655" t="s">
        <v>27</v>
      </c>
      <c r="D655" s="1" t="str">
        <f>_xlfn.IFNA(_xlfn.XLOOKUP(Data[[#This Row],[unqid]],'Quipt Prod Data'!L:L,'Quipt Prod Data'!B:B),"")</f>
        <v/>
      </c>
      <c r="E655" s="1" t="str">
        <f>_xlfn.IFNA(_xlfn.XMATCH(Data[[#This Row],[unqid]],'Quipt Prod Data'!L:L,0),"")</f>
        <v/>
      </c>
      <c r="F655" s="1" t="str">
        <f>IF(COUNTIF('Quipt Prod Data'!L:L,Data[[#This Row],[unqid]])=0,"",COUNTIF('Quipt Prod Data'!L:L,Data[[#This Row],[unqid]]))</f>
        <v/>
      </c>
    </row>
    <row r="656" spans="1:6" x14ac:dyDescent="0.3">
      <c r="A656" t="s">
        <v>870</v>
      </c>
      <c r="B656" t="s">
        <v>32</v>
      </c>
      <c r="C656" t="s">
        <v>27</v>
      </c>
      <c r="D656" s="1" t="str">
        <f>_xlfn.IFNA(_xlfn.XLOOKUP(Data[[#This Row],[unqid]],'Quipt Prod Data'!L:L,'Quipt Prod Data'!B:B),"")</f>
        <v/>
      </c>
      <c r="E656" s="1" t="str">
        <f>_xlfn.IFNA(_xlfn.XMATCH(Data[[#This Row],[unqid]],'Quipt Prod Data'!L:L,0),"")</f>
        <v/>
      </c>
      <c r="F656" s="1" t="str">
        <f>IF(COUNTIF('Quipt Prod Data'!L:L,Data[[#This Row],[unqid]])=0,"",COUNTIF('Quipt Prod Data'!L:L,Data[[#This Row],[unqid]]))</f>
        <v/>
      </c>
    </row>
    <row r="657" spans="1:6" x14ac:dyDescent="0.3">
      <c r="A657" t="s">
        <v>871</v>
      </c>
      <c r="B657" t="s">
        <v>41</v>
      </c>
      <c r="C657" t="s">
        <v>44</v>
      </c>
      <c r="D657" s="1" t="str">
        <f>_xlfn.IFNA(_xlfn.XLOOKUP(Data[[#This Row],[unqid]],'Quipt Prod Data'!L:L,'Quipt Prod Data'!B:B),"")</f>
        <v/>
      </c>
      <c r="E657" s="1" t="str">
        <f>_xlfn.IFNA(_xlfn.XMATCH(Data[[#This Row],[unqid]],'Quipt Prod Data'!L:L,0),"")</f>
        <v/>
      </c>
      <c r="F657" s="1" t="str">
        <f>IF(COUNTIF('Quipt Prod Data'!L:L,Data[[#This Row],[unqid]])=0,"",COUNTIF('Quipt Prod Data'!L:L,Data[[#This Row],[unqid]]))</f>
        <v/>
      </c>
    </row>
    <row r="658" spans="1:6" x14ac:dyDescent="0.3">
      <c r="A658" t="s">
        <v>872</v>
      </c>
      <c r="B658" t="s">
        <v>34</v>
      </c>
      <c r="C658" t="s">
        <v>46</v>
      </c>
      <c r="D658" s="1" t="str">
        <f>_xlfn.IFNA(_xlfn.XLOOKUP(Data[[#This Row],[unqid]],'Quipt Prod Data'!L:L,'Quipt Prod Data'!B:B),"")</f>
        <v/>
      </c>
      <c r="E658" s="1" t="str">
        <f>_xlfn.IFNA(_xlfn.XMATCH(Data[[#This Row],[unqid]],'Quipt Prod Data'!L:L,0),"")</f>
        <v/>
      </c>
      <c r="F658" s="1" t="str">
        <f>IF(COUNTIF('Quipt Prod Data'!L:L,Data[[#This Row],[unqid]])=0,"",COUNTIF('Quipt Prod Data'!L:L,Data[[#This Row],[unqid]]))</f>
        <v/>
      </c>
    </row>
    <row r="659" spans="1:6" x14ac:dyDescent="0.3">
      <c r="A659" t="s">
        <v>873</v>
      </c>
      <c r="B659" t="s">
        <v>41</v>
      </c>
      <c r="C659" t="s">
        <v>44</v>
      </c>
      <c r="D659" s="1" t="str">
        <f>_xlfn.IFNA(_xlfn.XLOOKUP(Data[[#This Row],[unqid]],'Quipt Prod Data'!L:L,'Quipt Prod Data'!B:B),"")</f>
        <v/>
      </c>
      <c r="E659" s="1" t="str">
        <f>_xlfn.IFNA(_xlfn.XMATCH(Data[[#This Row],[unqid]],'Quipt Prod Data'!L:L,0),"")</f>
        <v/>
      </c>
      <c r="F659" s="1" t="str">
        <f>IF(COUNTIF('Quipt Prod Data'!L:L,Data[[#This Row],[unqid]])=0,"",COUNTIF('Quipt Prod Data'!L:L,Data[[#This Row],[unqid]]))</f>
        <v/>
      </c>
    </row>
    <row r="660" spans="1:6" x14ac:dyDescent="0.3">
      <c r="A660" t="s">
        <v>874</v>
      </c>
      <c r="B660" t="s">
        <v>42</v>
      </c>
      <c r="C660" t="s">
        <v>43</v>
      </c>
      <c r="D660" s="1" t="str">
        <f>_xlfn.IFNA(_xlfn.XLOOKUP(Data[[#This Row],[unqid]],'Quipt Prod Data'!L:L,'Quipt Prod Data'!B:B),"")</f>
        <v/>
      </c>
      <c r="E660" s="1" t="str">
        <f>_xlfn.IFNA(_xlfn.XMATCH(Data[[#This Row],[unqid]],'Quipt Prod Data'!L:L,0),"")</f>
        <v/>
      </c>
      <c r="F660" s="1" t="str">
        <f>IF(COUNTIF('Quipt Prod Data'!L:L,Data[[#This Row],[unqid]])=0,"",COUNTIF('Quipt Prod Data'!L:L,Data[[#This Row],[unqid]]))</f>
        <v/>
      </c>
    </row>
    <row r="661" spans="1:6" x14ac:dyDescent="0.3">
      <c r="A661" t="s">
        <v>875</v>
      </c>
      <c r="B661" t="s">
        <v>41</v>
      </c>
      <c r="C661" t="s">
        <v>44</v>
      </c>
      <c r="D661" s="1" t="str">
        <f>_xlfn.IFNA(_xlfn.XLOOKUP(Data[[#This Row],[unqid]],'Quipt Prod Data'!L:L,'Quipt Prod Data'!B:B),"")</f>
        <v/>
      </c>
      <c r="E661" s="1" t="str">
        <f>_xlfn.IFNA(_xlfn.XMATCH(Data[[#This Row],[unqid]],'Quipt Prod Data'!L:L,0),"")</f>
        <v/>
      </c>
      <c r="F661" s="1" t="str">
        <f>IF(COUNTIF('Quipt Prod Data'!L:L,Data[[#This Row],[unqid]])=0,"",COUNTIF('Quipt Prod Data'!L:L,Data[[#This Row],[unqid]]))</f>
        <v/>
      </c>
    </row>
    <row r="662" spans="1:6" x14ac:dyDescent="0.3">
      <c r="A662" t="s">
        <v>876</v>
      </c>
      <c r="B662" t="s">
        <v>49</v>
      </c>
      <c r="C662" t="s">
        <v>45</v>
      </c>
      <c r="D662" s="1" t="str">
        <f>_xlfn.IFNA(_xlfn.XLOOKUP(Data[[#This Row],[unqid]],'Quipt Prod Data'!L:L,'Quipt Prod Data'!B:B),"")</f>
        <v/>
      </c>
      <c r="E662" s="1" t="str">
        <f>_xlfn.IFNA(_xlfn.XMATCH(Data[[#This Row],[unqid]],'Quipt Prod Data'!L:L,0),"")</f>
        <v/>
      </c>
      <c r="F662" s="1" t="str">
        <f>IF(COUNTIF('Quipt Prod Data'!L:L,Data[[#This Row],[unqid]])=0,"",COUNTIF('Quipt Prod Data'!L:L,Data[[#This Row],[unqid]]))</f>
        <v/>
      </c>
    </row>
    <row r="663" spans="1:6" x14ac:dyDescent="0.3">
      <c r="A663" t="s">
        <v>877</v>
      </c>
      <c r="B663" t="s">
        <v>41</v>
      </c>
      <c r="C663" t="s">
        <v>53</v>
      </c>
      <c r="D663" s="1" t="str">
        <f>_xlfn.IFNA(_xlfn.XLOOKUP(Data[[#This Row],[unqid]],'Quipt Prod Data'!L:L,'Quipt Prod Data'!B:B),"")</f>
        <v/>
      </c>
      <c r="E663" s="1" t="str">
        <f>_xlfn.IFNA(_xlfn.XMATCH(Data[[#This Row],[unqid]],'Quipt Prod Data'!L:L,0),"")</f>
        <v/>
      </c>
      <c r="F663" s="1" t="str">
        <f>IF(COUNTIF('Quipt Prod Data'!L:L,Data[[#This Row],[unqid]])=0,"",COUNTIF('Quipt Prod Data'!L:L,Data[[#This Row],[unqid]]))</f>
        <v/>
      </c>
    </row>
    <row r="664" spans="1:6" x14ac:dyDescent="0.3">
      <c r="A664" t="s">
        <v>878</v>
      </c>
      <c r="B664" t="s">
        <v>41</v>
      </c>
      <c r="C664" t="s">
        <v>54</v>
      </c>
      <c r="D664" s="1" t="str">
        <f>_xlfn.IFNA(_xlfn.XLOOKUP(Data[[#This Row],[unqid]],'Quipt Prod Data'!L:L,'Quipt Prod Data'!B:B),"")</f>
        <v/>
      </c>
      <c r="E664" s="1" t="str">
        <f>_xlfn.IFNA(_xlfn.XMATCH(Data[[#This Row],[unqid]],'Quipt Prod Data'!L:L,0),"")</f>
        <v/>
      </c>
      <c r="F664" s="1" t="str">
        <f>IF(COUNTIF('Quipt Prod Data'!L:L,Data[[#This Row],[unqid]])=0,"",COUNTIF('Quipt Prod Data'!L:L,Data[[#This Row],[unqid]]))</f>
        <v/>
      </c>
    </row>
    <row r="665" spans="1:6" x14ac:dyDescent="0.3">
      <c r="A665" t="s">
        <v>879</v>
      </c>
      <c r="B665" t="s">
        <v>42</v>
      </c>
      <c r="C665" t="s">
        <v>48</v>
      </c>
      <c r="D665" s="1" t="str">
        <f>_xlfn.IFNA(_xlfn.XLOOKUP(Data[[#This Row],[unqid]],'Quipt Prod Data'!L:L,'Quipt Prod Data'!B:B),"")</f>
        <v/>
      </c>
      <c r="E665" s="1" t="str">
        <f>_xlfn.IFNA(_xlfn.XMATCH(Data[[#This Row],[unqid]],'Quipt Prod Data'!L:L,0),"")</f>
        <v/>
      </c>
      <c r="F665" s="1" t="str">
        <f>IF(COUNTIF('Quipt Prod Data'!L:L,Data[[#This Row],[unqid]])=0,"",COUNTIF('Quipt Prod Data'!L:L,Data[[#This Row],[unqid]]))</f>
        <v/>
      </c>
    </row>
    <row r="666" spans="1:6" x14ac:dyDescent="0.3">
      <c r="A666" t="s">
        <v>880</v>
      </c>
      <c r="B666" t="s">
        <v>41</v>
      </c>
      <c r="C666" t="s">
        <v>54</v>
      </c>
      <c r="D666" s="1" t="str">
        <f>_xlfn.IFNA(_xlfn.XLOOKUP(Data[[#This Row],[unqid]],'Quipt Prod Data'!L:L,'Quipt Prod Data'!B:B),"")</f>
        <v/>
      </c>
      <c r="E666" s="1" t="str">
        <f>_xlfn.IFNA(_xlfn.XMATCH(Data[[#This Row],[unqid]],'Quipt Prod Data'!L:L,0),"")</f>
        <v/>
      </c>
      <c r="F666" s="1" t="str">
        <f>IF(COUNTIF('Quipt Prod Data'!L:L,Data[[#This Row],[unqid]])=0,"",COUNTIF('Quipt Prod Data'!L:L,Data[[#This Row],[unqid]]))</f>
        <v/>
      </c>
    </row>
    <row r="667" spans="1:6" x14ac:dyDescent="0.3">
      <c r="A667" t="s">
        <v>881</v>
      </c>
      <c r="B667" t="s">
        <v>41</v>
      </c>
      <c r="C667" t="s">
        <v>53</v>
      </c>
      <c r="D667" s="1" t="str">
        <f>_xlfn.IFNA(_xlfn.XLOOKUP(Data[[#This Row],[unqid]],'Quipt Prod Data'!L:L,'Quipt Prod Data'!B:B),"")</f>
        <v/>
      </c>
      <c r="E667" s="1" t="str">
        <f>_xlfn.IFNA(_xlfn.XMATCH(Data[[#This Row],[unqid]],'Quipt Prod Data'!L:L,0),"")</f>
        <v/>
      </c>
      <c r="F667" s="1" t="str">
        <f>IF(COUNTIF('Quipt Prod Data'!L:L,Data[[#This Row],[unqid]])=0,"",COUNTIF('Quipt Prod Data'!L:L,Data[[#This Row],[unqid]]))</f>
        <v/>
      </c>
    </row>
    <row r="668" spans="1:6" x14ac:dyDescent="0.3">
      <c r="A668" t="s">
        <v>882</v>
      </c>
      <c r="B668" t="s">
        <v>41</v>
      </c>
      <c r="C668" t="s">
        <v>53</v>
      </c>
      <c r="D668" s="1" t="str">
        <f>_xlfn.IFNA(_xlfn.XLOOKUP(Data[[#This Row],[unqid]],'Quipt Prod Data'!L:L,'Quipt Prod Data'!B:B),"")</f>
        <v/>
      </c>
      <c r="E668" s="1" t="str">
        <f>_xlfn.IFNA(_xlfn.XMATCH(Data[[#This Row],[unqid]],'Quipt Prod Data'!L:L,0),"")</f>
        <v/>
      </c>
      <c r="F668" s="1" t="str">
        <f>IF(COUNTIF('Quipt Prod Data'!L:L,Data[[#This Row],[unqid]])=0,"",COUNTIF('Quipt Prod Data'!L:L,Data[[#This Row],[unqid]]))</f>
        <v/>
      </c>
    </row>
    <row r="669" spans="1:6" x14ac:dyDescent="0.3">
      <c r="A669" t="s">
        <v>883</v>
      </c>
      <c r="B669" t="s">
        <v>41</v>
      </c>
      <c r="C669" t="s">
        <v>44</v>
      </c>
      <c r="D669" s="1" t="str">
        <f>_xlfn.IFNA(_xlfn.XLOOKUP(Data[[#This Row],[unqid]],'Quipt Prod Data'!L:L,'Quipt Prod Data'!B:B),"")</f>
        <v/>
      </c>
      <c r="E669" s="1" t="str">
        <f>_xlfn.IFNA(_xlfn.XMATCH(Data[[#This Row],[unqid]],'Quipt Prod Data'!L:L,0),"")</f>
        <v/>
      </c>
      <c r="F669" s="1" t="str">
        <f>IF(COUNTIF('Quipt Prod Data'!L:L,Data[[#This Row],[unqid]])=0,"",COUNTIF('Quipt Prod Data'!L:L,Data[[#This Row],[unqid]]))</f>
        <v/>
      </c>
    </row>
    <row r="670" spans="1:6" x14ac:dyDescent="0.3">
      <c r="A670" t="s">
        <v>884</v>
      </c>
      <c r="B670" t="s">
        <v>41</v>
      </c>
      <c r="C670" t="s">
        <v>54</v>
      </c>
      <c r="D670" s="1" t="str">
        <f>_xlfn.IFNA(_xlfn.XLOOKUP(Data[[#This Row],[unqid]],'Quipt Prod Data'!L:L,'Quipt Prod Data'!B:B),"")</f>
        <v/>
      </c>
      <c r="E670" s="1" t="str">
        <f>_xlfn.IFNA(_xlfn.XMATCH(Data[[#This Row],[unqid]],'Quipt Prod Data'!L:L,0),"")</f>
        <v/>
      </c>
      <c r="F670" s="1" t="str">
        <f>IF(COUNTIF('Quipt Prod Data'!L:L,Data[[#This Row],[unqid]])=0,"",COUNTIF('Quipt Prod Data'!L:L,Data[[#This Row],[unqid]]))</f>
        <v/>
      </c>
    </row>
    <row r="671" spans="1:6" x14ac:dyDescent="0.3">
      <c r="A671" t="s">
        <v>885</v>
      </c>
      <c r="B671" t="s">
        <v>41</v>
      </c>
      <c r="C671" t="s">
        <v>44</v>
      </c>
      <c r="D671" s="1" t="str">
        <f>_xlfn.IFNA(_xlfn.XLOOKUP(Data[[#This Row],[unqid]],'Quipt Prod Data'!L:L,'Quipt Prod Data'!B:B),"")</f>
        <v/>
      </c>
      <c r="E671" s="1" t="str">
        <f>_xlfn.IFNA(_xlfn.XMATCH(Data[[#This Row],[unqid]],'Quipt Prod Data'!L:L,0),"")</f>
        <v/>
      </c>
      <c r="F671" s="1" t="str">
        <f>IF(COUNTIF('Quipt Prod Data'!L:L,Data[[#This Row],[unqid]])=0,"",COUNTIF('Quipt Prod Data'!L:L,Data[[#This Row],[unqid]]))</f>
        <v/>
      </c>
    </row>
    <row r="672" spans="1:6" x14ac:dyDescent="0.3">
      <c r="A672" t="s">
        <v>886</v>
      </c>
      <c r="B672" t="s">
        <v>41</v>
      </c>
      <c r="C672" t="s">
        <v>44</v>
      </c>
      <c r="D672" s="1" t="str">
        <f>_xlfn.IFNA(_xlfn.XLOOKUP(Data[[#This Row],[unqid]],'Quipt Prod Data'!L:L,'Quipt Prod Data'!B:B),"")</f>
        <v/>
      </c>
      <c r="E672" s="1" t="str">
        <f>_xlfn.IFNA(_xlfn.XMATCH(Data[[#This Row],[unqid]],'Quipt Prod Data'!L:L,0),"")</f>
        <v/>
      </c>
      <c r="F672" s="1" t="str">
        <f>IF(COUNTIF('Quipt Prod Data'!L:L,Data[[#This Row],[unqid]])=0,"",COUNTIF('Quipt Prod Data'!L:L,Data[[#This Row],[unqid]]))</f>
        <v/>
      </c>
    </row>
    <row r="673" spans="1:6" x14ac:dyDescent="0.3">
      <c r="A673" t="s">
        <v>887</v>
      </c>
      <c r="B673" t="s">
        <v>41</v>
      </c>
      <c r="C673" t="s">
        <v>54</v>
      </c>
      <c r="D673" s="1" t="str">
        <f>_xlfn.IFNA(_xlfn.XLOOKUP(Data[[#This Row],[unqid]],'Quipt Prod Data'!L:L,'Quipt Prod Data'!B:B),"")</f>
        <v/>
      </c>
      <c r="E673" s="1" t="str">
        <f>_xlfn.IFNA(_xlfn.XMATCH(Data[[#This Row],[unqid]],'Quipt Prod Data'!L:L,0),"")</f>
        <v/>
      </c>
      <c r="F673" s="1" t="str">
        <f>IF(COUNTIF('Quipt Prod Data'!L:L,Data[[#This Row],[unqid]])=0,"",COUNTIF('Quipt Prod Data'!L:L,Data[[#This Row],[unqid]]))</f>
        <v/>
      </c>
    </row>
    <row r="674" spans="1:6" x14ac:dyDescent="0.3">
      <c r="A674" t="s">
        <v>888</v>
      </c>
      <c r="B674" t="s">
        <v>41</v>
      </c>
      <c r="C674" t="s">
        <v>44</v>
      </c>
      <c r="D674" s="1" t="str">
        <f>_xlfn.IFNA(_xlfn.XLOOKUP(Data[[#This Row],[unqid]],'Quipt Prod Data'!L:L,'Quipt Prod Data'!B:B),"")</f>
        <v/>
      </c>
      <c r="E674" s="1" t="str">
        <f>_xlfn.IFNA(_xlfn.XMATCH(Data[[#This Row],[unqid]],'Quipt Prod Data'!L:L,0),"")</f>
        <v/>
      </c>
      <c r="F674" s="1" t="str">
        <f>IF(COUNTIF('Quipt Prod Data'!L:L,Data[[#This Row],[unqid]])=0,"",COUNTIF('Quipt Prod Data'!L:L,Data[[#This Row],[unqid]]))</f>
        <v/>
      </c>
    </row>
    <row r="675" spans="1:6" x14ac:dyDescent="0.3">
      <c r="A675" t="s">
        <v>889</v>
      </c>
      <c r="B675" t="s">
        <v>55</v>
      </c>
      <c r="C675" t="s">
        <v>44</v>
      </c>
      <c r="D675" s="1" t="str">
        <f>_xlfn.IFNA(_xlfn.XLOOKUP(Data[[#This Row],[unqid]],'Quipt Prod Data'!L:L,'Quipt Prod Data'!B:B),"")</f>
        <v/>
      </c>
      <c r="E675" s="1" t="str">
        <f>_xlfn.IFNA(_xlfn.XMATCH(Data[[#This Row],[unqid]],'Quipt Prod Data'!L:L,0),"")</f>
        <v/>
      </c>
      <c r="F675" s="1" t="str">
        <f>IF(COUNTIF('Quipt Prod Data'!L:L,Data[[#This Row],[unqid]])=0,"",COUNTIF('Quipt Prod Data'!L:L,Data[[#This Row],[unqid]]))</f>
        <v/>
      </c>
    </row>
    <row r="676" spans="1:6" x14ac:dyDescent="0.3">
      <c r="A676" t="s">
        <v>890</v>
      </c>
      <c r="B676" t="s">
        <v>41</v>
      </c>
      <c r="C676" t="s">
        <v>54</v>
      </c>
      <c r="D676" s="1" t="str">
        <f>_xlfn.IFNA(_xlfn.XLOOKUP(Data[[#This Row],[unqid]],'Quipt Prod Data'!L:L,'Quipt Prod Data'!B:B),"")</f>
        <v/>
      </c>
      <c r="E676" s="1" t="str">
        <f>_xlfn.IFNA(_xlfn.XMATCH(Data[[#This Row],[unqid]],'Quipt Prod Data'!L:L,0),"")</f>
        <v/>
      </c>
      <c r="F676" s="1" t="str">
        <f>IF(COUNTIF('Quipt Prod Data'!L:L,Data[[#This Row],[unqid]])=0,"",COUNTIF('Quipt Prod Data'!L:L,Data[[#This Row],[unqid]]))</f>
        <v/>
      </c>
    </row>
    <row r="677" spans="1:6" x14ac:dyDescent="0.3">
      <c r="A677" t="s">
        <v>891</v>
      </c>
      <c r="B677" t="s">
        <v>32</v>
      </c>
      <c r="C677" t="s">
        <v>27</v>
      </c>
      <c r="D677" s="1" t="str">
        <f>_xlfn.IFNA(_xlfn.XLOOKUP(Data[[#This Row],[unqid]],'Quipt Prod Data'!L:L,'Quipt Prod Data'!B:B),"")</f>
        <v/>
      </c>
      <c r="E677" s="1" t="str">
        <f>_xlfn.IFNA(_xlfn.XMATCH(Data[[#This Row],[unqid]],'Quipt Prod Data'!L:L,0),"")</f>
        <v/>
      </c>
      <c r="F677" s="1" t="str">
        <f>IF(COUNTIF('Quipt Prod Data'!L:L,Data[[#This Row],[unqid]])=0,"",COUNTIF('Quipt Prod Data'!L:L,Data[[#This Row],[unqid]]))</f>
        <v/>
      </c>
    </row>
    <row r="678" spans="1:6" x14ac:dyDescent="0.3">
      <c r="A678" t="s">
        <v>892</v>
      </c>
      <c r="B678" t="s">
        <v>41</v>
      </c>
      <c r="C678" t="s">
        <v>44</v>
      </c>
      <c r="D678" s="1" t="str">
        <f>_xlfn.IFNA(_xlfn.XLOOKUP(Data[[#This Row],[unqid]],'Quipt Prod Data'!L:L,'Quipt Prod Data'!B:B),"")</f>
        <v/>
      </c>
      <c r="E678" s="1" t="str">
        <f>_xlfn.IFNA(_xlfn.XMATCH(Data[[#This Row],[unqid]],'Quipt Prod Data'!L:L,0),"")</f>
        <v/>
      </c>
      <c r="F678" s="1" t="str">
        <f>IF(COUNTIF('Quipt Prod Data'!L:L,Data[[#This Row],[unqid]])=0,"",COUNTIF('Quipt Prod Data'!L:L,Data[[#This Row],[unqid]]))</f>
        <v/>
      </c>
    </row>
    <row r="679" spans="1:6" x14ac:dyDescent="0.3">
      <c r="A679" t="s">
        <v>893</v>
      </c>
      <c r="B679" t="s">
        <v>41</v>
      </c>
      <c r="C679" t="s">
        <v>54</v>
      </c>
      <c r="D679" s="1" t="str">
        <f>_xlfn.IFNA(_xlfn.XLOOKUP(Data[[#This Row],[unqid]],'Quipt Prod Data'!L:L,'Quipt Prod Data'!B:B),"")</f>
        <v/>
      </c>
      <c r="E679" s="1" t="str">
        <f>_xlfn.IFNA(_xlfn.XMATCH(Data[[#This Row],[unqid]],'Quipt Prod Data'!L:L,0),"")</f>
        <v/>
      </c>
      <c r="F679" s="1" t="str">
        <f>IF(COUNTIF('Quipt Prod Data'!L:L,Data[[#This Row],[unqid]])=0,"",COUNTIF('Quipt Prod Data'!L:L,Data[[#This Row],[unqid]]))</f>
        <v/>
      </c>
    </row>
    <row r="680" spans="1:6" x14ac:dyDescent="0.3">
      <c r="A680" t="s">
        <v>894</v>
      </c>
      <c r="B680" t="s">
        <v>41</v>
      </c>
      <c r="C680" t="s">
        <v>54</v>
      </c>
      <c r="D680" s="1" t="str">
        <f>_xlfn.IFNA(_xlfn.XLOOKUP(Data[[#This Row],[unqid]],'Quipt Prod Data'!L:L,'Quipt Prod Data'!B:B),"")</f>
        <v/>
      </c>
      <c r="E680" s="1" t="str">
        <f>_xlfn.IFNA(_xlfn.XMATCH(Data[[#This Row],[unqid]],'Quipt Prod Data'!L:L,0),"")</f>
        <v/>
      </c>
      <c r="F680" s="1" t="str">
        <f>IF(COUNTIF('Quipt Prod Data'!L:L,Data[[#This Row],[unqid]])=0,"",COUNTIF('Quipt Prod Data'!L:L,Data[[#This Row],[unqid]]))</f>
        <v/>
      </c>
    </row>
    <row r="681" spans="1:6" x14ac:dyDescent="0.3">
      <c r="A681" t="s">
        <v>895</v>
      </c>
      <c r="B681" t="s">
        <v>41</v>
      </c>
      <c r="C681" t="s">
        <v>44</v>
      </c>
      <c r="D681" s="1" t="str">
        <f>_xlfn.IFNA(_xlfn.XLOOKUP(Data[[#This Row],[unqid]],'Quipt Prod Data'!L:L,'Quipt Prod Data'!B:B),"")</f>
        <v/>
      </c>
      <c r="E681" s="1" t="str">
        <f>_xlfn.IFNA(_xlfn.XMATCH(Data[[#This Row],[unqid]],'Quipt Prod Data'!L:L,0),"")</f>
        <v/>
      </c>
      <c r="F681" s="1" t="str">
        <f>IF(COUNTIF('Quipt Prod Data'!L:L,Data[[#This Row],[unqid]])=0,"",COUNTIF('Quipt Prod Data'!L:L,Data[[#This Row],[unqid]]))</f>
        <v/>
      </c>
    </row>
    <row r="682" spans="1:6" x14ac:dyDescent="0.3">
      <c r="A682" t="s">
        <v>896</v>
      </c>
      <c r="B682" t="s">
        <v>41</v>
      </c>
      <c r="C682" t="s">
        <v>54</v>
      </c>
      <c r="D682" s="1" t="str">
        <f>_xlfn.IFNA(_xlfn.XLOOKUP(Data[[#This Row],[unqid]],'Quipt Prod Data'!L:L,'Quipt Prod Data'!B:B),"")</f>
        <v/>
      </c>
      <c r="E682" s="1" t="str">
        <f>_xlfn.IFNA(_xlfn.XMATCH(Data[[#This Row],[unqid]],'Quipt Prod Data'!L:L,0),"")</f>
        <v/>
      </c>
      <c r="F682" s="1" t="str">
        <f>IF(COUNTIF('Quipt Prod Data'!L:L,Data[[#This Row],[unqid]])=0,"",COUNTIF('Quipt Prod Data'!L:L,Data[[#This Row],[unqid]]))</f>
        <v/>
      </c>
    </row>
    <row r="683" spans="1:6" x14ac:dyDescent="0.3">
      <c r="A683" t="s">
        <v>897</v>
      </c>
      <c r="B683" t="s">
        <v>31</v>
      </c>
      <c r="C683" t="s">
        <v>52</v>
      </c>
      <c r="D683" s="1" t="str">
        <f>_xlfn.IFNA(_xlfn.XLOOKUP(Data[[#This Row],[unqid]],'Quipt Prod Data'!L:L,'Quipt Prod Data'!B:B),"")</f>
        <v/>
      </c>
      <c r="E683" s="1" t="str">
        <f>_xlfn.IFNA(_xlfn.XMATCH(Data[[#This Row],[unqid]],'Quipt Prod Data'!L:L,0),"")</f>
        <v/>
      </c>
      <c r="F683" s="1" t="str">
        <f>IF(COUNTIF('Quipt Prod Data'!L:L,Data[[#This Row],[unqid]])=0,"",COUNTIF('Quipt Prod Data'!L:L,Data[[#This Row],[unqid]]))</f>
        <v/>
      </c>
    </row>
    <row r="684" spans="1:6" x14ac:dyDescent="0.3">
      <c r="A684" t="s">
        <v>898</v>
      </c>
      <c r="B684" t="s">
        <v>41</v>
      </c>
      <c r="C684" t="s">
        <v>44</v>
      </c>
      <c r="D684" s="1" t="str">
        <f>_xlfn.IFNA(_xlfn.XLOOKUP(Data[[#This Row],[unqid]],'Quipt Prod Data'!L:L,'Quipt Prod Data'!B:B),"")</f>
        <v/>
      </c>
      <c r="E684" s="1" t="str">
        <f>_xlfn.IFNA(_xlfn.XMATCH(Data[[#This Row],[unqid]],'Quipt Prod Data'!L:L,0),"")</f>
        <v/>
      </c>
      <c r="F684" s="1" t="str">
        <f>IF(COUNTIF('Quipt Prod Data'!L:L,Data[[#This Row],[unqid]])=0,"",COUNTIF('Quipt Prod Data'!L:L,Data[[#This Row],[unqid]]))</f>
        <v/>
      </c>
    </row>
    <row r="685" spans="1:6" x14ac:dyDescent="0.3">
      <c r="A685" t="s">
        <v>899</v>
      </c>
      <c r="B685" t="s">
        <v>56</v>
      </c>
      <c r="C685" t="s">
        <v>43</v>
      </c>
      <c r="D685" s="1" t="str">
        <f>_xlfn.IFNA(_xlfn.XLOOKUP(Data[[#This Row],[unqid]],'Quipt Prod Data'!L:L,'Quipt Prod Data'!B:B),"")</f>
        <v/>
      </c>
      <c r="E685" s="1" t="str">
        <f>_xlfn.IFNA(_xlfn.XMATCH(Data[[#This Row],[unqid]],'Quipt Prod Data'!L:L,0),"")</f>
        <v/>
      </c>
      <c r="F685" s="1" t="str">
        <f>IF(COUNTIF('Quipt Prod Data'!L:L,Data[[#This Row],[unqid]])=0,"",COUNTIF('Quipt Prod Data'!L:L,Data[[#This Row],[unqid]]))</f>
        <v/>
      </c>
    </row>
    <row r="686" spans="1:6" x14ac:dyDescent="0.3">
      <c r="A686" t="s">
        <v>900</v>
      </c>
      <c r="B686" t="s">
        <v>56</v>
      </c>
      <c r="C686" t="s">
        <v>43</v>
      </c>
      <c r="D686" s="1" t="str">
        <f>_xlfn.IFNA(_xlfn.XLOOKUP(Data[[#This Row],[unqid]],'Quipt Prod Data'!L:L,'Quipt Prod Data'!B:B),"")</f>
        <v/>
      </c>
      <c r="E686" s="1" t="str">
        <f>_xlfn.IFNA(_xlfn.XMATCH(Data[[#This Row],[unqid]],'Quipt Prod Data'!L:L,0),"")</f>
        <v/>
      </c>
      <c r="F686" s="1" t="str">
        <f>IF(COUNTIF('Quipt Prod Data'!L:L,Data[[#This Row],[unqid]])=0,"",COUNTIF('Quipt Prod Data'!L:L,Data[[#This Row],[unqid]]))</f>
        <v/>
      </c>
    </row>
    <row r="687" spans="1:6" x14ac:dyDescent="0.3">
      <c r="A687" t="s">
        <v>901</v>
      </c>
      <c r="B687" t="s">
        <v>34</v>
      </c>
      <c r="C687" t="s">
        <v>48</v>
      </c>
      <c r="D687" s="1" t="str">
        <f>_xlfn.IFNA(_xlfn.XLOOKUP(Data[[#This Row],[unqid]],'Quipt Prod Data'!L:L,'Quipt Prod Data'!B:B),"")</f>
        <v/>
      </c>
      <c r="E687" s="1" t="str">
        <f>_xlfn.IFNA(_xlfn.XMATCH(Data[[#This Row],[unqid]],'Quipt Prod Data'!L:L,0),"")</f>
        <v/>
      </c>
      <c r="F687" s="1" t="str">
        <f>IF(COUNTIF('Quipt Prod Data'!L:L,Data[[#This Row],[unqid]])=0,"",COUNTIF('Quipt Prod Data'!L:L,Data[[#This Row],[unqid]]))</f>
        <v/>
      </c>
    </row>
    <row r="688" spans="1:6" x14ac:dyDescent="0.3">
      <c r="A688" t="s">
        <v>902</v>
      </c>
      <c r="B688" t="s">
        <v>41</v>
      </c>
      <c r="C688" t="s">
        <v>46</v>
      </c>
      <c r="D688" s="1" t="str">
        <f>_xlfn.IFNA(_xlfn.XLOOKUP(Data[[#This Row],[unqid]],'Quipt Prod Data'!L:L,'Quipt Prod Data'!B:B),"")</f>
        <v/>
      </c>
      <c r="E688" s="1" t="str">
        <f>_xlfn.IFNA(_xlfn.XMATCH(Data[[#This Row],[unqid]],'Quipt Prod Data'!L:L,0),"")</f>
        <v/>
      </c>
      <c r="F688" s="1" t="str">
        <f>IF(COUNTIF('Quipt Prod Data'!L:L,Data[[#This Row],[unqid]])=0,"",COUNTIF('Quipt Prod Data'!L:L,Data[[#This Row],[unqid]]))</f>
        <v/>
      </c>
    </row>
    <row r="689" spans="1:6" x14ac:dyDescent="0.3">
      <c r="A689" t="s">
        <v>903</v>
      </c>
      <c r="B689" t="s">
        <v>41</v>
      </c>
      <c r="C689" t="s">
        <v>53</v>
      </c>
      <c r="D689" s="1" t="str">
        <f>_xlfn.IFNA(_xlfn.XLOOKUP(Data[[#This Row],[unqid]],'Quipt Prod Data'!L:L,'Quipt Prod Data'!B:B),"")</f>
        <v/>
      </c>
      <c r="E689" s="1" t="str">
        <f>_xlfn.IFNA(_xlfn.XMATCH(Data[[#This Row],[unqid]],'Quipt Prod Data'!L:L,0),"")</f>
        <v/>
      </c>
      <c r="F689" s="1" t="str">
        <f>IF(COUNTIF('Quipt Prod Data'!L:L,Data[[#This Row],[unqid]])=0,"",COUNTIF('Quipt Prod Data'!L:L,Data[[#This Row],[unqid]]))</f>
        <v/>
      </c>
    </row>
    <row r="690" spans="1:6" x14ac:dyDescent="0.3">
      <c r="A690" t="s">
        <v>904</v>
      </c>
      <c r="B690" t="s">
        <v>41</v>
      </c>
      <c r="C690" t="s">
        <v>54</v>
      </c>
      <c r="D690" s="1" t="str">
        <f>_xlfn.IFNA(_xlfn.XLOOKUP(Data[[#This Row],[unqid]],'Quipt Prod Data'!L:L,'Quipt Prod Data'!B:B),"")</f>
        <v/>
      </c>
      <c r="E690" s="1" t="str">
        <f>_xlfn.IFNA(_xlfn.XMATCH(Data[[#This Row],[unqid]],'Quipt Prod Data'!L:L,0),"")</f>
        <v/>
      </c>
      <c r="F690" s="1" t="str">
        <f>IF(COUNTIF('Quipt Prod Data'!L:L,Data[[#This Row],[unqid]])=0,"",COUNTIF('Quipt Prod Data'!L:L,Data[[#This Row],[unqid]]))</f>
        <v/>
      </c>
    </row>
    <row r="691" spans="1:6" x14ac:dyDescent="0.3">
      <c r="A691" t="s">
        <v>905</v>
      </c>
      <c r="B691" t="s">
        <v>42</v>
      </c>
      <c r="C691" t="s">
        <v>43</v>
      </c>
      <c r="D691" s="1" t="str">
        <f>_xlfn.IFNA(_xlfn.XLOOKUP(Data[[#This Row],[unqid]],'Quipt Prod Data'!L:L,'Quipt Prod Data'!B:B),"")</f>
        <v/>
      </c>
      <c r="E691" s="1" t="str">
        <f>_xlfn.IFNA(_xlfn.XMATCH(Data[[#This Row],[unqid]],'Quipt Prod Data'!L:L,0),"")</f>
        <v/>
      </c>
      <c r="F691" s="1" t="str">
        <f>IF(COUNTIF('Quipt Prod Data'!L:L,Data[[#This Row],[unqid]])=0,"",COUNTIF('Quipt Prod Data'!L:L,Data[[#This Row],[unqid]]))</f>
        <v/>
      </c>
    </row>
    <row r="692" spans="1:6" x14ac:dyDescent="0.3">
      <c r="A692" t="s">
        <v>906</v>
      </c>
      <c r="B692" t="s">
        <v>41</v>
      </c>
      <c r="C692" t="s">
        <v>44</v>
      </c>
      <c r="D692" s="1" t="str">
        <f>_xlfn.IFNA(_xlfn.XLOOKUP(Data[[#This Row],[unqid]],'Quipt Prod Data'!L:L,'Quipt Prod Data'!B:B),"")</f>
        <v/>
      </c>
      <c r="E692" s="1" t="str">
        <f>_xlfn.IFNA(_xlfn.XMATCH(Data[[#This Row],[unqid]],'Quipt Prod Data'!L:L,0),"")</f>
        <v/>
      </c>
      <c r="F692" s="1" t="str">
        <f>IF(COUNTIF('Quipt Prod Data'!L:L,Data[[#This Row],[unqid]])=0,"",COUNTIF('Quipt Prod Data'!L:L,Data[[#This Row],[unqid]]))</f>
        <v/>
      </c>
    </row>
    <row r="693" spans="1:6" x14ac:dyDescent="0.3">
      <c r="A693" t="s">
        <v>907</v>
      </c>
      <c r="B693" t="s">
        <v>32</v>
      </c>
      <c r="C693" t="s">
        <v>27</v>
      </c>
      <c r="D693" s="1" t="str">
        <f>_xlfn.IFNA(_xlfn.XLOOKUP(Data[[#This Row],[unqid]],'Quipt Prod Data'!L:L,'Quipt Prod Data'!B:B),"")</f>
        <v/>
      </c>
      <c r="E693" s="1" t="str">
        <f>_xlfn.IFNA(_xlfn.XMATCH(Data[[#This Row],[unqid]],'Quipt Prod Data'!L:L,0),"")</f>
        <v/>
      </c>
      <c r="F693" s="1" t="str">
        <f>IF(COUNTIF('Quipt Prod Data'!L:L,Data[[#This Row],[unqid]])=0,"",COUNTIF('Quipt Prod Data'!L:L,Data[[#This Row],[unqid]]))</f>
        <v/>
      </c>
    </row>
    <row r="694" spans="1:6" x14ac:dyDescent="0.3">
      <c r="A694" t="s">
        <v>908</v>
      </c>
      <c r="B694" t="s">
        <v>41</v>
      </c>
      <c r="C694" t="s">
        <v>54</v>
      </c>
      <c r="D694" s="1" t="str">
        <f>_xlfn.IFNA(_xlfn.XLOOKUP(Data[[#This Row],[unqid]],'Quipt Prod Data'!L:L,'Quipt Prod Data'!B:B),"")</f>
        <v/>
      </c>
      <c r="E694" s="1" t="str">
        <f>_xlfn.IFNA(_xlfn.XMATCH(Data[[#This Row],[unqid]],'Quipt Prod Data'!L:L,0),"")</f>
        <v/>
      </c>
      <c r="F694" s="1" t="str">
        <f>IF(COUNTIF('Quipt Prod Data'!L:L,Data[[#This Row],[unqid]])=0,"",COUNTIF('Quipt Prod Data'!L:L,Data[[#This Row],[unqid]]))</f>
        <v/>
      </c>
    </row>
    <row r="695" spans="1:6" x14ac:dyDescent="0.3">
      <c r="A695" t="s">
        <v>909</v>
      </c>
      <c r="B695" t="s">
        <v>42</v>
      </c>
      <c r="C695" t="s">
        <v>48</v>
      </c>
      <c r="D695" s="1" t="str">
        <f>_xlfn.IFNA(_xlfn.XLOOKUP(Data[[#This Row],[unqid]],'Quipt Prod Data'!L:L,'Quipt Prod Data'!B:B),"")</f>
        <v/>
      </c>
      <c r="E695" s="1" t="str">
        <f>_xlfn.IFNA(_xlfn.XMATCH(Data[[#This Row],[unqid]],'Quipt Prod Data'!L:L,0),"")</f>
        <v/>
      </c>
      <c r="F695" s="1" t="str">
        <f>IF(COUNTIF('Quipt Prod Data'!L:L,Data[[#This Row],[unqid]])=0,"",COUNTIF('Quipt Prod Data'!L:L,Data[[#This Row],[unqid]]))</f>
        <v/>
      </c>
    </row>
    <row r="696" spans="1:6" x14ac:dyDescent="0.3">
      <c r="A696" t="s">
        <v>910</v>
      </c>
      <c r="B696" t="s">
        <v>32</v>
      </c>
      <c r="C696" t="s">
        <v>43</v>
      </c>
      <c r="D696" s="1" t="str">
        <f>_xlfn.IFNA(_xlfn.XLOOKUP(Data[[#This Row],[unqid]],'Quipt Prod Data'!L:L,'Quipt Prod Data'!B:B),"")</f>
        <v/>
      </c>
      <c r="E696" s="1" t="str">
        <f>_xlfn.IFNA(_xlfn.XMATCH(Data[[#This Row],[unqid]],'Quipt Prod Data'!L:L,0),"")</f>
        <v/>
      </c>
      <c r="F696" s="1" t="str">
        <f>IF(COUNTIF('Quipt Prod Data'!L:L,Data[[#This Row],[unqid]])=0,"",COUNTIF('Quipt Prod Data'!L:L,Data[[#This Row],[unqid]]))</f>
        <v/>
      </c>
    </row>
    <row r="697" spans="1:6" x14ac:dyDescent="0.3">
      <c r="A697" t="s">
        <v>911</v>
      </c>
      <c r="B697" t="s">
        <v>41</v>
      </c>
      <c r="C697" t="s">
        <v>44</v>
      </c>
      <c r="D697" s="1" t="str">
        <f>_xlfn.IFNA(_xlfn.XLOOKUP(Data[[#This Row],[unqid]],'Quipt Prod Data'!L:L,'Quipt Prod Data'!B:B),"")</f>
        <v/>
      </c>
      <c r="E697" s="1" t="str">
        <f>_xlfn.IFNA(_xlfn.XMATCH(Data[[#This Row],[unqid]],'Quipt Prod Data'!L:L,0),"")</f>
        <v/>
      </c>
      <c r="F697" s="1" t="str">
        <f>IF(COUNTIF('Quipt Prod Data'!L:L,Data[[#This Row],[unqid]])=0,"",COUNTIF('Quipt Prod Data'!L:L,Data[[#This Row],[unqid]]))</f>
        <v/>
      </c>
    </row>
    <row r="698" spans="1:6" x14ac:dyDescent="0.3">
      <c r="A698" t="s">
        <v>912</v>
      </c>
      <c r="B698" t="s">
        <v>41</v>
      </c>
      <c r="C698" t="s">
        <v>54</v>
      </c>
      <c r="D698" s="1" t="str">
        <f>_xlfn.IFNA(_xlfn.XLOOKUP(Data[[#This Row],[unqid]],'Quipt Prod Data'!L:L,'Quipt Prod Data'!B:B),"")</f>
        <v/>
      </c>
      <c r="E698" s="1" t="str">
        <f>_xlfn.IFNA(_xlfn.XMATCH(Data[[#This Row],[unqid]],'Quipt Prod Data'!L:L,0),"")</f>
        <v/>
      </c>
      <c r="F698" s="1" t="str">
        <f>IF(COUNTIF('Quipt Prod Data'!L:L,Data[[#This Row],[unqid]])=0,"",COUNTIF('Quipt Prod Data'!L:L,Data[[#This Row],[unqid]]))</f>
        <v/>
      </c>
    </row>
    <row r="699" spans="1:6" x14ac:dyDescent="0.3">
      <c r="A699" t="s">
        <v>913</v>
      </c>
      <c r="B699" t="s">
        <v>41</v>
      </c>
      <c r="C699" t="s">
        <v>53</v>
      </c>
      <c r="D699" s="1" t="str">
        <f>_xlfn.IFNA(_xlfn.XLOOKUP(Data[[#This Row],[unqid]],'Quipt Prod Data'!L:L,'Quipt Prod Data'!B:B),"")</f>
        <v/>
      </c>
      <c r="E699" s="1" t="str">
        <f>_xlfn.IFNA(_xlfn.XMATCH(Data[[#This Row],[unqid]],'Quipt Prod Data'!L:L,0),"")</f>
        <v/>
      </c>
      <c r="F699" s="1" t="str">
        <f>IF(COUNTIF('Quipt Prod Data'!L:L,Data[[#This Row],[unqid]])=0,"",COUNTIF('Quipt Prod Data'!L:L,Data[[#This Row],[unqid]]))</f>
        <v/>
      </c>
    </row>
    <row r="700" spans="1:6" x14ac:dyDescent="0.3">
      <c r="A700" t="s">
        <v>914</v>
      </c>
      <c r="B700" t="s">
        <v>41</v>
      </c>
      <c r="C700" t="s">
        <v>54</v>
      </c>
      <c r="D700" s="1" t="str">
        <f>_xlfn.IFNA(_xlfn.XLOOKUP(Data[[#This Row],[unqid]],'Quipt Prod Data'!L:L,'Quipt Prod Data'!B:B),"")</f>
        <v/>
      </c>
      <c r="E700" s="1" t="str">
        <f>_xlfn.IFNA(_xlfn.XMATCH(Data[[#This Row],[unqid]],'Quipt Prod Data'!L:L,0),"")</f>
        <v/>
      </c>
      <c r="F700" s="1" t="str">
        <f>IF(COUNTIF('Quipt Prod Data'!L:L,Data[[#This Row],[unqid]])=0,"",COUNTIF('Quipt Prod Data'!L:L,Data[[#This Row],[unqid]]))</f>
        <v/>
      </c>
    </row>
    <row r="701" spans="1:6" x14ac:dyDescent="0.3">
      <c r="A701" t="s">
        <v>915</v>
      </c>
      <c r="B701" t="s">
        <v>41</v>
      </c>
      <c r="C701" t="s">
        <v>54</v>
      </c>
      <c r="D701" s="1" t="str">
        <f>_xlfn.IFNA(_xlfn.XLOOKUP(Data[[#This Row],[unqid]],'Quipt Prod Data'!L:L,'Quipt Prod Data'!B:B),"")</f>
        <v/>
      </c>
      <c r="E701" s="1" t="str">
        <f>_xlfn.IFNA(_xlfn.XMATCH(Data[[#This Row],[unqid]],'Quipt Prod Data'!L:L,0),"")</f>
        <v/>
      </c>
      <c r="F701" s="1" t="str">
        <f>IF(COUNTIF('Quipt Prod Data'!L:L,Data[[#This Row],[unqid]])=0,"",COUNTIF('Quipt Prod Data'!L:L,Data[[#This Row],[unqid]]))</f>
        <v/>
      </c>
    </row>
    <row r="702" spans="1:6" x14ac:dyDescent="0.3">
      <c r="A702" t="s">
        <v>916</v>
      </c>
      <c r="B702" t="s">
        <v>41</v>
      </c>
      <c r="C702" t="s">
        <v>54</v>
      </c>
      <c r="D702" s="1" t="str">
        <f>_xlfn.IFNA(_xlfn.XLOOKUP(Data[[#This Row],[unqid]],'Quipt Prod Data'!L:L,'Quipt Prod Data'!B:B),"")</f>
        <v/>
      </c>
      <c r="E702" s="1" t="str">
        <f>_xlfn.IFNA(_xlfn.XMATCH(Data[[#This Row],[unqid]],'Quipt Prod Data'!L:L,0),"")</f>
        <v/>
      </c>
      <c r="F702" s="1" t="str">
        <f>IF(COUNTIF('Quipt Prod Data'!L:L,Data[[#This Row],[unqid]])=0,"",COUNTIF('Quipt Prod Data'!L:L,Data[[#This Row],[unqid]]))</f>
        <v/>
      </c>
    </row>
    <row r="703" spans="1:6" x14ac:dyDescent="0.3">
      <c r="A703" t="s">
        <v>917</v>
      </c>
      <c r="B703" t="s">
        <v>41</v>
      </c>
      <c r="C703" t="s">
        <v>54</v>
      </c>
      <c r="D703" s="1" t="str">
        <f>_xlfn.IFNA(_xlfn.XLOOKUP(Data[[#This Row],[unqid]],'Quipt Prod Data'!L:L,'Quipt Prod Data'!B:B),"")</f>
        <v/>
      </c>
      <c r="E703" s="1" t="str">
        <f>_xlfn.IFNA(_xlfn.XMATCH(Data[[#This Row],[unqid]],'Quipt Prod Data'!L:L,0),"")</f>
        <v/>
      </c>
      <c r="F703" s="1" t="str">
        <f>IF(COUNTIF('Quipt Prod Data'!L:L,Data[[#This Row],[unqid]])=0,"",COUNTIF('Quipt Prod Data'!L:L,Data[[#This Row],[unqid]]))</f>
        <v/>
      </c>
    </row>
    <row r="704" spans="1:6" x14ac:dyDescent="0.3">
      <c r="A704" t="s">
        <v>918</v>
      </c>
      <c r="B704" t="s">
        <v>41</v>
      </c>
      <c r="C704" t="s">
        <v>54</v>
      </c>
      <c r="D704" s="1" t="str">
        <f>_xlfn.IFNA(_xlfn.XLOOKUP(Data[[#This Row],[unqid]],'Quipt Prod Data'!L:L,'Quipt Prod Data'!B:B),"")</f>
        <v/>
      </c>
      <c r="E704" s="1" t="str">
        <f>_xlfn.IFNA(_xlfn.XMATCH(Data[[#This Row],[unqid]],'Quipt Prod Data'!L:L,0),"")</f>
        <v/>
      </c>
      <c r="F704" s="1" t="str">
        <f>IF(COUNTIF('Quipt Prod Data'!L:L,Data[[#This Row],[unqid]])=0,"",COUNTIF('Quipt Prod Data'!L:L,Data[[#This Row],[unqid]]))</f>
        <v/>
      </c>
    </row>
    <row r="705" spans="1:6" x14ac:dyDescent="0.3">
      <c r="A705" t="s">
        <v>919</v>
      </c>
      <c r="B705" t="s">
        <v>41</v>
      </c>
      <c r="C705" t="s">
        <v>53</v>
      </c>
      <c r="D705" s="1" t="str">
        <f>_xlfn.IFNA(_xlfn.XLOOKUP(Data[[#This Row],[unqid]],'Quipt Prod Data'!L:L,'Quipt Prod Data'!B:B),"")</f>
        <v/>
      </c>
      <c r="E705" s="1" t="str">
        <f>_xlfn.IFNA(_xlfn.XMATCH(Data[[#This Row],[unqid]],'Quipt Prod Data'!L:L,0),"")</f>
        <v/>
      </c>
      <c r="F705" s="1" t="str">
        <f>IF(COUNTIF('Quipt Prod Data'!L:L,Data[[#This Row],[unqid]])=0,"",COUNTIF('Quipt Prod Data'!L:L,Data[[#This Row],[unqid]]))</f>
        <v/>
      </c>
    </row>
    <row r="706" spans="1:6" x14ac:dyDescent="0.3">
      <c r="A706" t="s">
        <v>920</v>
      </c>
      <c r="B706" t="s">
        <v>41</v>
      </c>
      <c r="C706" t="s">
        <v>54</v>
      </c>
      <c r="D706" s="1" t="str">
        <f>_xlfn.IFNA(_xlfn.XLOOKUP(Data[[#This Row],[unqid]],'Quipt Prod Data'!L:L,'Quipt Prod Data'!B:B),"")</f>
        <v/>
      </c>
      <c r="E706" s="1" t="str">
        <f>_xlfn.IFNA(_xlfn.XMATCH(Data[[#This Row],[unqid]],'Quipt Prod Data'!L:L,0),"")</f>
        <v/>
      </c>
      <c r="F706" s="1" t="str">
        <f>IF(COUNTIF('Quipt Prod Data'!L:L,Data[[#This Row],[unqid]])=0,"",COUNTIF('Quipt Prod Data'!L:L,Data[[#This Row],[unqid]]))</f>
        <v/>
      </c>
    </row>
    <row r="707" spans="1:6" x14ac:dyDescent="0.3">
      <c r="A707" t="s">
        <v>921</v>
      </c>
      <c r="B707" t="s">
        <v>41</v>
      </c>
      <c r="C707" t="s">
        <v>54</v>
      </c>
      <c r="D707" s="1" t="str">
        <f>_xlfn.IFNA(_xlfn.XLOOKUP(Data[[#This Row],[unqid]],'Quipt Prod Data'!L:L,'Quipt Prod Data'!B:B),"")</f>
        <v/>
      </c>
      <c r="E707" s="1" t="str">
        <f>_xlfn.IFNA(_xlfn.XMATCH(Data[[#This Row],[unqid]],'Quipt Prod Data'!L:L,0),"")</f>
        <v/>
      </c>
      <c r="F707" s="1" t="str">
        <f>IF(COUNTIF('Quipt Prod Data'!L:L,Data[[#This Row],[unqid]])=0,"",COUNTIF('Quipt Prod Data'!L:L,Data[[#This Row],[unqid]]))</f>
        <v/>
      </c>
    </row>
    <row r="708" spans="1:6" x14ac:dyDescent="0.3">
      <c r="A708" t="s">
        <v>922</v>
      </c>
      <c r="B708" t="s">
        <v>41</v>
      </c>
      <c r="C708" t="s">
        <v>48</v>
      </c>
      <c r="D708" s="1" t="str">
        <f>_xlfn.IFNA(_xlfn.XLOOKUP(Data[[#This Row],[unqid]],'Quipt Prod Data'!L:L,'Quipt Prod Data'!B:B),"")</f>
        <v/>
      </c>
      <c r="E708" s="1" t="str">
        <f>_xlfn.IFNA(_xlfn.XMATCH(Data[[#This Row],[unqid]],'Quipt Prod Data'!L:L,0),"")</f>
        <v/>
      </c>
      <c r="F708" s="1" t="str">
        <f>IF(COUNTIF('Quipt Prod Data'!L:L,Data[[#This Row],[unqid]])=0,"",COUNTIF('Quipt Prod Data'!L:L,Data[[#This Row],[unqid]]))</f>
        <v/>
      </c>
    </row>
    <row r="709" spans="1:6" x14ac:dyDescent="0.3">
      <c r="A709" t="s">
        <v>923</v>
      </c>
      <c r="B709" t="s">
        <v>41</v>
      </c>
      <c r="C709" t="s">
        <v>44</v>
      </c>
      <c r="D709" s="1" t="str">
        <f>_xlfn.IFNA(_xlfn.XLOOKUP(Data[[#This Row],[unqid]],'Quipt Prod Data'!L:L,'Quipt Prod Data'!B:B),"")</f>
        <v/>
      </c>
      <c r="E709" s="1" t="str">
        <f>_xlfn.IFNA(_xlfn.XMATCH(Data[[#This Row],[unqid]],'Quipt Prod Data'!L:L,0),"")</f>
        <v/>
      </c>
      <c r="F709" s="1" t="str">
        <f>IF(COUNTIF('Quipt Prod Data'!L:L,Data[[#This Row],[unqid]])=0,"",COUNTIF('Quipt Prod Data'!L:L,Data[[#This Row],[unqid]]))</f>
        <v/>
      </c>
    </row>
    <row r="710" spans="1:6" x14ac:dyDescent="0.3">
      <c r="A710" t="s">
        <v>924</v>
      </c>
      <c r="B710" t="s">
        <v>34</v>
      </c>
      <c r="C710" t="s">
        <v>43</v>
      </c>
      <c r="D710" s="1" t="str">
        <f>_xlfn.IFNA(_xlfn.XLOOKUP(Data[[#This Row],[unqid]],'Quipt Prod Data'!L:L,'Quipt Prod Data'!B:B),"")</f>
        <v/>
      </c>
      <c r="E710" s="1" t="str">
        <f>_xlfn.IFNA(_xlfn.XMATCH(Data[[#This Row],[unqid]],'Quipt Prod Data'!L:L,0),"")</f>
        <v/>
      </c>
      <c r="F710" s="1" t="str">
        <f>IF(COUNTIF('Quipt Prod Data'!L:L,Data[[#This Row],[unqid]])=0,"",COUNTIF('Quipt Prod Data'!L:L,Data[[#This Row],[unqid]]))</f>
        <v/>
      </c>
    </row>
    <row r="711" spans="1:6" x14ac:dyDescent="0.3">
      <c r="A711" t="s">
        <v>925</v>
      </c>
      <c r="B711" t="s">
        <v>57</v>
      </c>
      <c r="C711" t="s">
        <v>54</v>
      </c>
      <c r="D711" s="1" t="str">
        <f>_xlfn.IFNA(_xlfn.XLOOKUP(Data[[#This Row],[unqid]],'Quipt Prod Data'!L:L,'Quipt Prod Data'!B:B),"")</f>
        <v/>
      </c>
      <c r="E711" s="1" t="str">
        <f>_xlfn.IFNA(_xlfn.XMATCH(Data[[#This Row],[unqid]],'Quipt Prod Data'!L:L,0),"")</f>
        <v/>
      </c>
      <c r="F711" s="1" t="str">
        <f>IF(COUNTIF('Quipt Prod Data'!L:L,Data[[#This Row],[unqid]])=0,"",COUNTIF('Quipt Prod Data'!L:L,Data[[#This Row],[unqid]]))</f>
        <v/>
      </c>
    </row>
    <row r="712" spans="1:6" x14ac:dyDescent="0.3">
      <c r="A712" t="s">
        <v>926</v>
      </c>
      <c r="B712" t="s">
        <v>32</v>
      </c>
      <c r="C712" t="s">
        <v>27</v>
      </c>
      <c r="D712" s="1" t="str">
        <f>_xlfn.IFNA(_xlfn.XLOOKUP(Data[[#This Row],[unqid]],'Quipt Prod Data'!L:L,'Quipt Prod Data'!B:B),"")</f>
        <v/>
      </c>
      <c r="E712" s="1" t="str">
        <f>_xlfn.IFNA(_xlfn.XMATCH(Data[[#This Row],[unqid]],'Quipt Prod Data'!L:L,0),"")</f>
        <v/>
      </c>
      <c r="F712" s="1" t="str">
        <f>IF(COUNTIF('Quipt Prod Data'!L:L,Data[[#This Row],[unqid]])=0,"",COUNTIF('Quipt Prod Data'!L:L,Data[[#This Row],[unqid]]))</f>
        <v/>
      </c>
    </row>
    <row r="713" spans="1:6" x14ac:dyDescent="0.3">
      <c r="A713" t="s">
        <v>927</v>
      </c>
      <c r="B713" t="s">
        <v>41</v>
      </c>
      <c r="C713" t="s">
        <v>44</v>
      </c>
      <c r="D713" s="1" t="str">
        <f>_xlfn.IFNA(_xlfn.XLOOKUP(Data[[#This Row],[unqid]],'Quipt Prod Data'!L:L,'Quipt Prod Data'!B:B),"")</f>
        <v/>
      </c>
      <c r="E713" s="1" t="str">
        <f>_xlfn.IFNA(_xlfn.XMATCH(Data[[#This Row],[unqid]],'Quipt Prod Data'!L:L,0),"")</f>
        <v/>
      </c>
      <c r="F713" s="1" t="str">
        <f>IF(COUNTIF('Quipt Prod Data'!L:L,Data[[#This Row],[unqid]])=0,"",COUNTIF('Quipt Prod Data'!L:L,Data[[#This Row],[unqid]]))</f>
        <v/>
      </c>
    </row>
    <row r="714" spans="1:6" x14ac:dyDescent="0.3">
      <c r="A714" t="s">
        <v>928</v>
      </c>
      <c r="B714" t="s">
        <v>41</v>
      </c>
      <c r="C714" t="s">
        <v>43</v>
      </c>
      <c r="D714" s="1" t="str">
        <f>_xlfn.IFNA(_xlfn.XLOOKUP(Data[[#This Row],[unqid]],'Quipt Prod Data'!L:L,'Quipt Prod Data'!B:B),"")</f>
        <v/>
      </c>
      <c r="E714" s="1" t="str">
        <f>_xlfn.IFNA(_xlfn.XMATCH(Data[[#This Row],[unqid]],'Quipt Prod Data'!L:L,0),"")</f>
        <v/>
      </c>
      <c r="F714" s="1" t="str">
        <f>IF(COUNTIF('Quipt Prod Data'!L:L,Data[[#This Row],[unqid]])=0,"",COUNTIF('Quipt Prod Data'!L:L,Data[[#This Row],[unqid]]))</f>
        <v/>
      </c>
    </row>
    <row r="715" spans="1:6" x14ac:dyDescent="0.3">
      <c r="A715" t="s">
        <v>929</v>
      </c>
      <c r="B715" t="s">
        <v>41</v>
      </c>
      <c r="C715" t="s">
        <v>54</v>
      </c>
      <c r="D715" s="1" t="str">
        <f>_xlfn.IFNA(_xlfn.XLOOKUP(Data[[#This Row],[unqid]],'Quipt Prod Data'!L:L,'Quipt Prod Data'!B:B),"")</f>
        <v/>
      </c>
      <c r="E715" s="1" t="str">
        <f>_xlfn.IFNA(_xlfn.XMATCH(Data[[#This Row],[unqid]],'Quipt Prod Data'!L:L,0),"")</f>
        <v/>
      </c>
      <c r="F715" s="1" t="str">
        <f>IF(COUNTIF('Quipt Prod Data'!L:L,Data[[#This Row],[unqid]])=0,"",COUNTIF('Quipt Prod Data'!L:L,Data[[#This Row],[unqid]]))</f>
        <v/>
      </c>
    </row>
    <row r="716" spans="1:6" x14ac:dyDescent="0.3">
      <c r="A716" t="s">
        <v>930</v>
      </c>
      <c r="B716" t="s">
        <v>40</v>
      </c>
      <c r="C716" t="s">
        <v>44</v>
      </c>
      <c r="D716" s="1" t="str">
        <f>_xlfn.IFNA(_xlfn.XLOOKUP(Data[[#This Row],[unqid]],'Quipt Prod Data'!L:L,'Quipt Prod Data'!B:B),"")</f>
        <v/>
      </c>
      <c r="E716" s="1" t="str">
        <f>_xlfn.IFNA(_xlfn.XMATCH(Data[[#This Row],[unqid]],'Quipt Prod Data'!L:L,0),"")</f>
        <v/>
      </c>
      <c r="F716" s="1" t="str">
        <f>IF(COUNTIF('Quipt Prod Data'!L:L,Data[[#This Row],[unqid]])=0,"",COUNTIF('Quipt Prod Data'!L:L,Data[[#This Row],[unqid]]))</f>
        <v/>
      </c>
    </row>
    <row r="717" spans="1:6" x14ac:dyDescent="0.3">
      <c r="A717" t="s">
        <v>931</v>
      </c>
      <c r="B717" t="s">
        <v>32</v>
      </c>
      <c r="C717" t="s">
        <v>27</v>
      </c>
      <c r="D717" s="1" t="str">
        <f>_xlfn.IFNA(_xlfn.XLOOKUP(Data[[#This Row],[unqid]],'Quipt Prod Data'!L:L,'Quipt Prod Data'!B:B),"")</f>
        <v/>
      </c>
      <c r="E717" s="1" t="str">
        <f>_xlfn.IFNA(_xlfn.XMATCH(Data[[#This Row],[unqid]],'Quipt Prod Data'!L:L,0),"")</f>
        <v/>
      </c>
      <c r="F717" s="1" t="str">
        <f>IF(COUNTIF('Quipt Prod Data'!L:L,Data[[#This Row],[unqid]])=0,"",COUNTIF('Quipt Prod Data'!L:L,Data[[#This Row],[unqid]]))</f>
        <v/>
      </c>
    </row>
    <row r="718" spans="1:6" x14ac:dyDescent="0.3">
      <c r="A718" t="s">
        <v>932</v>
      </c>
      <c r="B718" t="s">
        <v>41</v>
      </c>
      <c r="C718" t="s">
        <v>48</v>
      </c>
      <c r="D718" s="1" t="str">
        <f>_xlfn.IFNA(_xlfn.XLOOKUP(Data[[#This Row],[unqid]],'Quipt Prod Data'!L:L,'Quipt Prod Data'!B:B),"")</f>
        <v/>
      </c>
      <c r="E718" s="1" t="str">
        <f>_xlfn.IFNA(_xlfn.XMATCH(Data[[#This Row],[unqid]],'Quipt Prod Data'!L:L,0),"")</f>
        <v/>
      </c>
      <c r="F718" s="1" t="str">
        <f>IF(COUNTIF('Quipt Prod Data'!L:L,Data[[#This Row],[unqid]])=0,"",COUNTIF('Quipt Prod Data'!L:L,Data[[#This Row],[unqid]]))</f>
        <v/>
      </c>
    </row>
    <row r="719" spans="1:6" x14ac:dyDescent="0.3">
      <c r="A719" t="s">
        <v>933</v>
      </c>
      <c r="B719" t="s">
        <v>42</v>
      </c>
      <c r="C719" t="s">
        <v>48</v>
      </c>
      <c r="D719" s="1" t="str">
        <f>_xlfn.IFNA(_xlfn.XLOOKUP(Data[[#This Row],[unqid]],'Quipt Prod Data'!L:L,'Quipt Prod Data'!B:B),"")</f>
        <v/>
      </c>
      <c r="E719" s="1" t="str">
        <f>_xlfn.IFNA(_xlfn.XMATCH(Data[[#This Row],[unqid]],'Quipt Prod Data'!L:L,0),"")</f>
        <v/>
      </c>
      <c r="F719" s="1" t="str">
        <f>IF(COUNTIF('Quipt Prod Data'!L:L,Data[[#This Row],[unqid]])=0,"",COUNTIF('Quipt Prod Data'!L:L,Data[[#This Row],[unqid]]))</f>
        <v/>
      </c>
    </row>
    <row r="720" spans="1:6" x14ac:dyDescent="0.3">
      <c r="A720" t="s">
        <v>934</v>
      </c>
      <c r="B720" t="s">
        <v>41</v>
      </c>
      <c r="C720" t="s">
        <v>54</v>
      </c>
      <c r="D720" s="1" t="str">
        <f>_xlfn.IFNA(_xlfn.XLOOKUP(Data[[#This Row],[unqid]],'Quipt Prod Data'!L:L,'Quipt Prod Data'!B:B),"")</f>
        <v/>
      </c>
      <c r="E720" s="1" t="str">
        <f>_xlfn.IFNA(_xlfn.XMATCH(Data[[#This Row],[unqid]],'Quipt Prod Data'!L:L,0),"")</f>
        <v/>
      </c>
      <c r="F720" s="1" t="str">
        <f>IF(COUNTIF('Quipt Prod Data'!L:L,Data[[#This Row],[unqid]])=0,"",COUNTIF('Quipt Prod Data'!L:L,Data[[#This Row],[unqid]]))</f>
        <v/>
      </c>
    </row>
    <row r="721" spans="1:6" x14ac:dyDescent="0.3">
      <c r="A721" t="s">
        <v>935</v>
      </c>
      <c r="B721" t="s">
        <v>41</v>
      </c>
      <c r="C721" t="s">
        <v>54</v>
      </c>
      <c r="D721" s="1" t="str">
        <f>_xlfn.IFNA(_xlfn.XLOOKUP(Data[[#This Row],[unqid]],'Quipt Prod Data'!L:L,'Quipt Prod Data'!B:B),"")</f>
        <v/>
      </c>
      <c r="E721" s="1" t="str">
        <f>_xlfn.IFNA(_xlfn.XMATCH(Data[[#This Row],[unqid]],'Quipt Prod Data'!L:L,0),"")</f>
        <v/>
      </c>
      <c r="F721" s="1" t="str">
        <f>IF(COUNTIF('Quipt Prod Data'!L:L,Data[[#This Row],[unqid]])=0,"",COUNTIF('Quipt Prod Data'!L:L,Data[[#This Row],[unqid]]))</f>
        <v/>
      </c>
    </row>
    <row r="722" spans="1:6" x14ac:dyDescent="0.3">
      <c r="A722" t="s">
        <v>936</v>
      </c>
      <c r="B722" t="s">
        <v>41</v>
      </c>
      <c r="C722" t="s">
        <v>54</v>
      </c>
      <c r="D722" s="1" t="str">
        <f>_xlfn.IFNA(_xlfn.XLOOKUP(Data[[#This Row],[unqid]],'Quipt Prod Data'!L:L,'Quipt Prod Data'!B:B),"")</f>
        <v/>
      </c>
      <c r="E722" s="1" t="str">
        <f>_xlfn.IFNA(_xlfn.XMATCH(Data[[#This Row],[unqid]],'Quipt Prod Data'!L:L,0),"")</f>
        <v/>
      </c>
      <c r="F722" s="1" t="str">
        <f>IF(COUNTIF('Quipt Prod Data'!L:L,Data[[#This Row],[unqid]])=0,"",COUNTIF('Quipt Prod Data'!L:L,Data[[#This Row],[unqid]]))</f>
        <v/>
      </c>
    </row>
    <row r="723" spans="1:6" x14ac:dyDescent="0.3">
      <c r="A723" t="s">
        <v>937</v>
      </c>
      <c r="B723" t="s">
        <v>42</v>
      </c>
      <c r="C723" t="s">
        <v>46</v>
      </c>
      <c r="D723" s="1" t="str">
        <f>_xlfn.IFNA(_xlfn.XLOOKUP(Data[[#This Row],[unqid]],'Quipt Prod Data'!L:L,'Quipt Prod Data'!B:B),"")</f>
        <v/>
      </c>
      <c r="E723" s="1" t="str">
        <f>_xlfn.IFNA(_xlfn.XMATCH(Data[[#This Row],[unqid]],'Quipt Prod Data'!L:L,0),"")</f>
        <v/>
      </c>
      <c r="F723" s="1" t="str">
        <f>IF(COUNTIF('Quipt Prod Data'!L:L,Data[[#This Row],[unqid]])=0,"",COUNTIF('Quipt Prod Data'!L:L,Data[[#This Row],[unqid]]))</f>
        <v/>
      </c>
    </row>
    <row r="724" spans="1:6" x14ac:dyDescent="0.3">
      <c r="A724" t="s">
        <v>938</v>
      </c>
      <c r="B724" t="s">
        <v>41</v>
      </c>
      <c r="C724" t="s">
        <v>53</v>
      </c>
      <c r="D724" s="1" t="str">
        <f>_xlfn.IFNA(_xlfn.XLOOKUP(Data[[#This Row],[unqid]],'Quipt Prod Data'!L:L,'Quipt Prod Data'!B:B),"")</f>
        <v/>
      </c>
      <c r="E724" s="1" t="str">
        <f>_xlfn.IFNA(_xlfn.XMATCH(Data[[#This Row],[unqid]],'Quipt Prod Data'!L:L,0),"")</f>
        <v/>
      </c>
      <c r="F724" s="1" t="str">
        <f>IF(COUNTIF('Quipt Prod Data'!L:L,Data[[#This Row],[unqid]])=0,"",COUNTIF('Quipt Prod Data'!L:L,Data[[#This Row],[unqid]]))</f>
        <v/>
      </c>
    </row>
    <row r="725" spans="1:6" x14ac:dyDescent="0.3">
      <c r="A725" t="s">
        <v>939</v>
      </c>
      <c r="B725" t="s">
        <v>41</v>
      </c>
      <c r="C725" t="s">
        <v>52</v>
      </c>
      <c r="D725" s="1" t="str">
        <f>_xlfn.IFNA(_xlfn.XLOOKUP(Data[[#This Row],[unqid]],'Quipt Prod Data'!L:L,'Quipt Prod Data'!B:B),"")</f>
        <v/>
      </c>
      <c r="E725" s="1" t="str">
        <f>_xlfn.IFNA(_xlfn.XMATCH(Data[[#This Row],[unqid]],'Quipt Prod Data'!L:L,0),"")</f>
        <v/>
      </c>
      <c r="F725" s="1" t="str">
        <f>IF(COUNTIF('Quipt Prod Data'!L:L,Data[[#This Row],[unqid]])=0,"",COUNTIF('Quipt Prod Data'!L:L,Data[[#This Row],[unqid]]))</f>
        <v/>
      </c>
    </row>
    <row r="726" spans="1:6" x14ac:dyDescent="0.3">
      <c r="A726" t="s">
        <v>940</v>
      </c>
      <c r="B726" t="s">
        <v>41</v>
      </c>
      <c r="C726" t="s">
        <v>53</v>
      </c>
      <c r="D726" s="1" t="str">
        <f>_xlfn.IFNA(_xlfn.XLOOKUP(Data[[#This Row],[unqid]],'Quipt Prod Data'!L:L,'Quipt Prod Data'!B:B),"")</f>
        <v/>
      </c>
      <c r="E726" s="1" t="str">
        <f>_xlfn.IFNA(_xlfn.XMATCH(Data[[#This Row],[unqid]],'Quipt Prod Data'!L:L,0),"")</f>
        <v/>
      </c>
      <c r="F726" s="1" t="str">
        <f>IF(COUNTIF('Quipt Prod Data'!L:L,Data[[#This Row],[unqid]])=0,"",COUNTIF('Quipt Prod Data'!L:L,Data[[#This Row],[unqid]]))</f>
        <v/>
      </c>
    </row>
    <row r="727" spans="1:6" x14ac:dyDescent="0.3">
      <c r="A727" t="s">
        <v>941</v>
      </c>
      <c r="B727" t="s">
        <v>41</v>
      </c>
      <c r="C727" t="s">
        <v>54</v>
      </c>
      <c r="D727" s="1" t="str">
        <f>_xlfn.IFNA(_xlfn.XLOOKUP(Data[[#This Row],[unqid]],'Quipt Prod Data'!L:L,'Quipt Prod Data'!B:B),"")</f>
        <v/>
      </c>
      <c r="E727" s="1" t="str">
        <f>_xlfn.IFNA(_xlfn.XMATCH(Data[[#This Row],[unqid]],'Quipt Prod Data'!L:L,0),"")</f>
        <v/>
      </c>
      <c r="F727" s="1" t="str">
        <f>IF(COUNTIF('Quipt Prod Data'!L:L,Data[[#This Row],[unqid]])=0,"",COUNTIF('Quipt Prod Data'!L:L,Data[[#This Row],[unqid]]))</f>
        <v/>
      </c>
    </row>
    <row r="728" spans="1:6" x14ac:dyDescent="0.3">
      <c r="A728" t="s">
        <v>942</v>
      </c>
      <c r="B728" t="s">
        <v>41</v>
      </c>
      <c r="C728" t="s">
        <v>54</v>
      </c>
      <c r="D728" s="1" t="str">
        <f>_xlfn.IFNA(_xlfn.XLOOKUP(Data[[#This Row],[unqid]],'Quipt Prod Data'!L:L,'Quipt Prod Data'!B:B),"")</f>
        <v/>
      </c>
      <c r="E728" s="1" t="str">
        <f>_xlfn.IFNA(_xlfn.XMATCH(Data[[#This Row],[unqid]],'Quipt Prod Data'!L:L,0),"")</f>
        <v/>
      </c>
      <c r="F728" s="1" t="str">
        <f>IF(COUNTIF('Quipt Prod Data'!L:L,Data[[#This Row],[unqid]])=0,"",COUNTIF('Quipt Prod Data'!L:L,Data[[#This Row],[unqid]]))</f>
        <v/>
      </c>
    </row>
    <row r="729" spans="1:6" x14ac:dyDescent="0.3">
      <c r="A729" t="s">
        <v>943</v>
      </c>
      <c r="B729" t="s">
        <v>32</v>
      </c>
      <c r="C729" t="s">
        <v>27</v>
      </c>
      <c r="D729" s="1" t="str">
        <f>_xlfn.IFNA(_xlfn.XLOOKUP(Data[[#This Row],[unqid]],'Quipt Prod Data'!L:L,'Quipt Prod Data'!B:B),"")</f>
        <v/>
      </c>
      <c r="E729" s="1" t="str">
        <f>_xlfn.IFNA(_xlfn.XMATCH(Data[[#This Row],[unqid]],'Quipt Prod Data'!L:L,0),"")</f>
        <v/>
      </c>
      <c r="F729" s="1" t="str">
        <f>IF(COUNTIF('Quipt Prod Data'!L:L,Data[[#This Row],[unqid]])=0,"",COUNTIF('Quipt Prod Data'!L:L,Data[[#This Row],[unqid]]))</f>
        <v/>
      </c>
    </row>
    <row r="730" spans="1:6" x14ac:dyDescent="0.3">
      <c r="A730" t="s">
        <v>944</v>
      </c>
      <c r="B730" t="s">
        <v>41</v>
      </c>
      <c r="C730" t="s">
        <v>54</v>
      </c>
      <c r="D730" s="1" t="str">
        <f>_xlfn.IFNA(_xlfn.XLOOKUP(Data[[#This Row],[unqid]],'Quipt Prod Data'!L:L,'Quipt Prod Data'!B:B),"")</f>
        <v/>
      </c>
      <c r="E730" s="1" t="str">
        <f>_xlfn.IFNA(_xlfn.XMATCH(Data[[#This Row],[unqid]],'Quipt Prod Data'!L:L,0),"")</f>
        <v/>
      </c>
      <c r="F730" s="1" t="str">
        <f>IF(COUNTIF('Quipt Prod Data'!L:L,Data[[#This Row],[unqid]])=0,"",COUNTIF('Quipt Prod Data'!L:L,Data[[#This Row],[unqid]]))</f>
        <v/>
      </c>
    </row>
    <row r="731" spans="1:6" x14ac:dyDescent="0.3">
      <c r="A731" t="s">
        <v>945</v>
      </c>
      <c r="B731" t="s">
        <v>41</v>
      </c>
      <c r="C731" t="s">
        <v>48</v>
      </c>
      <c r="D731" s="1" t="str">
        <f>_xlfn.IFNA(_xlfn.XLOOKUP(Data[[#This Row],[unqid]],'Quipt Prod Data'!L:L,'Quipt Prod Data'!B:B),"")</f>
        <v/>
      </c>
      <c r="E731" s="1" t="str">
        <f>_xlfn.IFNA(_xlfn.XMATCH(Data[[#This Row],[unqid]],'Quipt Prod Data'!L:L,0),"")</f>
        <v/>
      </c>
      <c r="F731" s="1" t="str">
        <f>IF(COUNTIF('Quipt Prod Data'!L:L,Data[[#This Row],[unqid]])=0,"",COUNTIF('Quipt Prod Data'!L:L,Data[[#This Row],[unqid]]))</f>
        <v/>
      </c>
    </row>
    <row r="732" spans="1:6" x14ac:dyDescent="0.3">
      <c r="A732" t="s">
        <v>946</v>
      </c>
      <c r="B732" t="s">
        <v>41</v>
      </c>
      <c r="C732" t="s">
        <v>44</v>
      </c>
      <c r="D732" s="1" t="str">
        <f>_xlfn.IFNA(_xlfn.XLOOKUP(Data[[#This Row],[unqid]],'Quipt Prod Data'!L:L,'Quipt Prod Data'!B:B),"")</f>
        <v/>
      </c>
      <c r="E732" s="1" t="str">
        <f>_xlfn.IFNA(_xlfn.XMATCH(Data[[#This Row],[unqid]],'Quipt Prod Data'!L:L,0),"")</f>
        <v/>
      </c>
      <c r="F732" s="1" t="str">
        <f>IF(COUNTIF('Quipt Prod Data'!L:L,Data[[#This Row],[unqid]])=0,"",COUNTIF('Quipt Prod Data'!L:L,Data[[#This Row],[unqid]]))</f>
        <v/>
      </c>
    </row>
    <row r="733" spans="1:6" x14ac:dyDescent="0.3">
      <c r="A733" t="s">
        <v>947</v>
      </c>
      <c r="B733" t="s">
        <v>41</v>
      </c>
      <c r="C733" t="s">
        <v>54</v>
      </c>
      <c r="D733" s="1" t="str">
        <f>_xlfn.IFNA(_xlfn.XLOOKUP(Data[[#This Row],[unqid]],'Quipt Prod Data'!L:L,'Quipt Prod Data'!B:B),"")</f>
        <v/>
      </c>
      <c r="E733" s="1" t="str">
        <f>_xlfn.IFNA(_xlfn.XMATCH(Data[[#This Row],[unqid]],'Quipt Prod Data'!L:L,0),"")</f>
        <v/>
      </c>
      <c r="F733" s="1" t="str">
        <f>IF(COUNTIF('Quipt Prod Data'!L:L,Data[[#This Row],[unqid]])=0,"",COUNTIF('Quipt Prod Data'!L:L,Data[[#This Row],[unqid]]))</f>
        <v/>
      </c>
    </row>
    <row r="734" spans="1:6" x14ac:dyDescent="0.3">
      <c r="A734" t="s">
        <v>948</v>
      </c>
      <c r="B734" t="s">
        <v>41</v>
      </c>
      <c r="C734" t="s">
        <v>53</v>
      </c>
      <c r="D734" s="1" t="str">
        <f>_xlfn.IFNA(_xlfn.XLOOKUP(Data[[#This Row],[unqid]],'Quipt Prod Data'!L:L,'Quipt Prod Data'!B:B),"")</f>
        <v/>
      </c>
      <c r="E734" s="1" t="str">
        <f>_xlfn.IFNA(_xlfn.XMATCH(Data[[#This Row],[unqid]],'Quipt Prod Data'!L:L,0),"")</f>
        <v/>
      </c>
      <c r="F734" s="1" t="str">
        <f>IF(COUNTIF('Quipt Prod Data'!L:L,Data[[#This Row],[unqid]])=0,"",COUNTIF('Quipt Prod Data'!L:L,Data[[#This Row],[unqid]]))</f>
        <v/>
      </c>
    </row>
    <row r="735" spans="1:6" x14ac:dyDescent="0.3">
      <c r="A735" t="s">
        <v>949</v>
      </c>
      <c r="B735" t="s">
        <v>41</v>
      </c>
      <c r="C735" t="s">
        <v>53</v>
      </c>
      <c r="D735" s="1" t="str">
        <f>_xlfn.IFNA(_xlfn.XLOOKUP(Data[[#This Row],[unqid]],'Quipt Prod Data'!L:L,'Quipt Prod Data'!B:B),"")</f>
        <v/>
      </c>
      <c r="E735" s="1" t="str">
        <f>_xlfn.IFNA(_xlfn.XMATCH(Data[[#This Row],[unqid]],'Quipt Prod Data'!L:L,0),"")</f>
        <v/>
      </c>
      <c r="F735" s="1" t="str">
        <f>IF(COUNTIF('Quipt Prod Data'!L:L,Data[[#This Row],[unqid]])=0,"",COUNTIF('Quipt Prod Data'!L:L,Data[[#This Row],[unqid]]))</f>
        <v/>
      </c>
    </row>
    <row r="736" spans="1:6" x14ac:dyDescent="0.3">
      <c r="A736" t="s">
        <v>950</v>
      </c>
      <c r="B736" t="s">
        <v>41</v>
      </c>
      <c r="C736" t="s">
        <v>54</v>
      </c>
      <c r="D736" s="1" t="str">
        <f>_xlfn.IFNA(_xlfn.XLOOKUP(Data[[#This Row],[unqid]],'Quipt Prod Data'!L:L,'Quipt Prod Data'!B:B),"")</f>
        <v/>
      </c>
      <c r="E736" s="1" t="str">
        <f>_xlfn.IFNA(_xlfn.XMATCH(Data[[#This Row],[unqid]],'Quipt Prod Data'!L:L,0),"")</f>
        <v/>
      </c>
      <c r="F736" s="1" t="str">
        <f>IF(COUNTIF('Quipt Prod Data'!L:L,Data[[#This Row],[unqid]])=0,"",COUNTIF('Quipt Prod Data'!L:L,Data[[#This Row],[unqid]]))</f>
        <v/>
      </c>
    </row>
    <row r="737" spans="1:6" x14ac:dyDescent="0.3">
      <c r="A737" t="s">
        <v>951</v>
      </c>
      <c r="B737" t="s">
        <v>41</v>
      </c>
      <c r="C737" t="s">
        <v>54</v>
      </c>
      <c r="D737" s="1" t="str">
        <f>_xlfn.IFNA(_xlfn.XLOOKUP(Data[[#This Row],[unqid]],'Quipt Prod Data'!L:L,'Quipt Prod Data'!B:B),"")</f>
        <v/>
      </c>
      <c r="E737" s="1" t="str">
        <f>_xlfn.IFNA(_xlfn.XMATCH(Data[[#This Row],[unqid]],'Quipt Prod Data'!L:L,0),"")</f>
        <v/>
      </c>
      <c r="F737" s="1" t="str">
        <f>IF(COUNTIF('Quipt Prod Data'!L:L,Data[[#This Row],[unqid]])=0,"",COUNTIF('Quipt Prod Data'!L:L,Data[[#This Row],[unqid]]))</f>
        <v/>
      </c>
    </row>
    <row r="738" spans="1:6" x14ac:dyDescent="0.3">
      <c r="A738" t="s">
        <v>952</v>
      </c>
      <c r="B738" t="s">
        <v>41</v>
      </c>
      <c r="C738" t="s">
        <v>54</v>
      </c>
      <c r="D738" s="1" t="str">
        <f>_xlfn.IFNA(_xlfn.XLOOKUP(Data[[#This Row],[unqid]],'Quipt Prod Data'!L:L,'Quipt Prod Data'!B:B),"")</f>
        <v/>
      </c>
      <c r="E738" s="1" t="str">
        <f>_xlfn.IFNA(_xlfn.XMATCH(Data[[#This Row],[unqid]],'Quipt Prod Data'!L:L,0),"")</f>
        <v/>
      </c>
      <c r="F738" s="1" t="str">
        <f>IF(COUNTIF('Quipt Prod Data'!L:L,Data[[#This Row],[unqid]])=0,"",COUNTIF('Quipt Prod Data'!L:L,Data[[#This Row],[unqid]]))</f>
        <v/>
      </c>
    </row>
    <row r="739" spans="1:6" x14ac:dyDescent="0.3">
      <c r="A739" t="s">
        <v>953</v>
      </c>
      <c r="B739" t="s">
        <v>41</v>
      </c>
      <c r="C739" t="s">
        <v>44</v>
      </c>
      <c r="D739" s="1" t="str">
        <f>_xlfn.IFNA(_xlfn.XLOOKUP(Data[[#This Row],[unqid]],'Quipt Prod Data'!L:L,'Quipt Prod Data'!B:B),"")</f>
        <v/>
      </c>
      <c r="E739" s="1" t="str">
        <f>_xlfn.IFNA(_xlfn.XMATCH(Data[[#This Row],[unqid]],'Quipt Prod Data'!L:L,0),"")</f>
        <v/>
      </c>
      <c r="F739" s="1" t="str">
        <f>IF(COUNTIF('Quipt Prod Data'!L:L,Data[[#This Row],[unqid]])=0,"",COUNTIF('Quipt Prod Data'!L:L,Data[[#This Row],[unqid]]))</f>
        <v/>
      </c>
    </row>
    <row r="740" spans="1:6" x14ac:dyDescent="0.3">
      <c r="A740" t="s">
        <v>954</v>
      </c>
      <c r="B740" t="s">
        <v>41</v>
      </c>
      <c r="C740" t="s">
        <v>54</v>
      </c>
      <c r="D740" s="1" t="str">
        <f>_xlfn.IFNA(_xlfn.XLOOKUP(Data[[#This Row],[unqid]],'Quipt Prod Data'!L:L,'Quipt Prod Data'!B:B),"")</f>
        <v/>
      </c>
      <c r="E740" s="1" t="str">
        <f>_xlfn.IFNA(_xlfn.XMATCH(Data[[#This Row],[unqid]],'Quipt Prod Data'!L:L,0),"")</f>
        <v/>
      </c>
      <c r="F740" s="1" t="str">
        <f>IF(COUNTIF('Quipt Prod Data'!L:L,Data[[#This Row],[unqid]])=0,"",COUNTIF('Quipt Prod Data'!L:L,Data[[#This Row],[unqid]]))</f>
        <v/>
      </c>
    </row>
    <row r="741" spans="1:6" x14ac:dyDescent="0.3">
      <c r="A741" t="s">
        <v>955</v>
      </c>
      <c r="B741" t="s">
        <v>41</v>
      </c>
      <c r="C741" t="s">
        <v>54</v>
      </c>
      <c r="D741" s="1" t="str">
        <f>_xlfn.IFNA(_xlfn.XLOOKUP(Data[[#This Row],[unqid]],'Quipt Prod Data'!L:L,'Quipt Prod Data'!B:B),"")</f>
        <v/>
      </c>
      <c r="E741" s="1" t="str">
        <f>_xlfn.IFNA(_xlfn.XMATCH(Data[[#This Row],[unqid]],'Quipt Prod Data'!L:L,0),"")</f>
        <v/>
      </c>
      <c r="F741" s="1" t="str">
        <f>IF(COUNTIF('Quipt Prod Data'!L:L,Data[[#This Row],[unqid]])=0,"",COUNTIF('Quipt Prod Data'!L:L,Data[[#This Row],[unqid]]))</f>
        <v/>
      </c>
    </row>
    <row r="742" spans="1:6" x14ac:dyDescent="0.3">
      <c r="A742" t="s">
        <v>956</v>
      </c>
      <c r="B742" t="s">
        <v>41</v>
      </c>
      <c r="C742" t="s">
        <v>54</v>
      </c>
      <c r="D742" s="1" t="str">
        <f>_xlfn.IFNA(_xlfn.XLOOKUP(Data[[#This Row],[unqid]],'Quipt Prod Data'!L:L,'Quipt Prod Data'!B:B),"")</f>
        <v/>
      </c>
      <c r="E742" s="1" t="str">
        <f>_xlfn.IFNA(_xlfn.XMATCH(Data[[#This Row],[unqid]],'Quipt Prod Data'!L:L,0),"")</f>
        <v/>
      </c>
      <c r="F742" s="1" t="str">
        <f>IF(COUNTIF('Quipt Prod Data'!L:L,Data[[#This Row],[unqid]])=0,"",COUNTIF('Quipt Prod Data'!L:L,Data[[#This Row],[unqid]]))</f>
        <v/>
      </c>
    </row>
    <row r="743" spans="1:6" x14ac:dyDescent="0.3">
      <c r="A743" t="s">
        <v>957</v>
      </c>
      <c r="B743" t="s">
        <v>41</v>
      </c>
      <c r="C743" t="s">
        <v>44</v>
      </c>
      <c r="D743" s="1" t="str">
        <f>_xlfn.IFNA(_xlfn.XLOOKUP(Data[[#This Row],[unqid]],'Quipt Prod Data'!L:L,'Quipt Prod Data'!B:B),"")</f>
        <v/>
      </c>
      <c r="E743" s="1" t="str">
        <f>_xlfn.IFNA(_xlfn.XMATCH(Data[[#This Row],[unqid]],'Quipt Prod Data'!L:L,0),"")</f>
        <v/>
      </c>
      <c r="F743" s="1" t="str">
        <f>IF(COUNTIF('Quipt Prod Data'!L:L,Data[[#This Row],[unqid]])=0,"",COUNTIF('Quipt Prod Data'!L:L,Data[[#This Row],[unqid]]))</f>
        <v/>
      </c>
    </row>
    <row r="744" spans="1:6" x14ac:dyDescent="0.3">
      <c r="A744" t="s">
        <v>958</v>
      </c>
      <c r="B744" t="s">
        <v>41</v>
      </c>
      <c r="C744" t="s">
        <v>54</v>
      </c>
      <c r="D744" s="1" t="str">
        <f>_xlfn.IFNA(_xlfn.XLOOKUP(Data[[#This Row],[unqid]],'Quipt Prod Data'!L:L,'Quipt Prod Data'!B:B),"")</f>
        <v/>
      </c>
      <c r="E744" s="1" t="str">
        <f>_xlfn.IFNA(_xlfn.XMATCH(Data[[#This Row],[unqid]],'Quipt Prod Data'!L:L,0),"")</f>
        <v/>
      </c>
      <c r="F744" s="1" t="str">
        <f>IF(COUNTIF('Quipt Prod Data'!L:L,Data[[#This Row],[unqid]])=0,"",COUNTIF('Quipt Prod Data'!L:L,Data[[#This Row],[unqid]]))</f>
        <v/>
      </c>
    </row>
    <row r="745" spans="1:6" x14ac:dyDescent="0.3">
      <c r="A745" t="s">
        <v>959</v>
      </c>
      <c r="B745" t="s">
        <v>41</v>
      </c>
      <c r="C745" t="s">
        <v>54</v>
      </c>
      <c r="D745" s="1" t="str">
        <f>_xlfn.IFNA(_xlfn.XLOOKUP(Data[[#This Row],[unqid]],'Quipt Prod Data'!L:L,'Quipt Prod Data'!B:B),"")</f>
        <v/>
      </c>
      <c r="E745" s="1" t="str">
        <f>_xlfn.IFNA(_xlfn.XMATCH(Data[[#This Row],[unqid]],'Quipt Prod Data'!L:L,0),"")</f>
        <v/>
      </c>
      <c r="F745" s="1" t="str">
        <f>IF(COUNTIF('Quipt Prod Data'!L:L,Data[[#This Row],[unqid]])=0,"",COUNTIF('Quipt Prod Data'!L:L,Data[[#This Row],[unqid]]))</f>
        <v/>
      </c>
    </row>
    <row r="746" spans="1:6" x14ac:dyDescent="0.3">
      <c r="A746" t="s">
        <v>960</v>
      </c>
      <c r="B746" t="s">
        <v>41</v>
      </c>
      <c r="C746" t="s">
        <v>54</v>
      </c>
      <c r="D746" s="1" t="str">
        <f>_xlfn.IFNA(_xlfn.XLOOKUP(Data[[#This Row],[unqid]],'Quipt Prod Data'!L:L,'Quipt Prod Data'!B:B),"")</f>
        <v/>
      </c>
      <c r="E746" s="1" t="str">
        <f>_xlfn.IFNA(_xlfn.XMATCH(Data[[#This Row],[unqid]],'Quipt Prod Data'!L:L,0),"")</f>
        <v/>
      </c>
      <c r="F746" s="1" t="str">
        <f>IF(COUNTIF('Quipt Prod Data'!L:L,Data[[#This Row],[unqid]])=0,"",COUNTIF('Quipt Prod Data'!L:L,Data[[#This Row],[unqid]]))</f>
        <v/>
      </c>
    </row>
    <row r="747" spans="1:6" x14ac:dyDescent="0.3">
      <c r="A747" t="s">
        <v>961</v>
      </c>
      <c r="B747" t="s">
        <v>41</v>
      </c>
      <c r="C747" t="s">
        <v>54</v>
      </c>
      <c r="D747" s="1" t="str">
        <f>_xlfn.IFNA(_xlfn.XLOOKUP(Data[[#This Row],[unqid]],'Quipt Prod Data'!L:L,'Quipt Prod Data'!B:B),"")</f>
        <v/>
      </c>
      <c r="E747" s="1" t="str">
        <f>_xlfn.IFNA(_xlfn.XMATCH(Data[[#This Row],[unqid]],'Quipt Prod Data'!L:L,0),"")</f>
        <v/>
      </c>
      <c r="F747" s="1" t="str">
        <f>IF(COUNTIF('Quipt Prod Data'!L:L,Data[[#This Row],[unqid]])=0,"",COUNTIF('Quipt Prod Data'!L:L,Data[[#This Row],[unqid]]))</f>
        <v/>
      </c>
    </row>
    <row r="748" spans="1:6" x14ac:dyDescent="0.3">
      <c r="A748" t="s">
        <v>962</v>
      </c>
      <c r="B748" t="s">
        <v>41</v>
      </c>
      <c r="C748" t="s">
        <v>44</v>
      </c>
      <c r="D748" s="1" t="str">
        <f>_xlfn.IFNA(_xlfn.XLOOKUP(Data[[#This Row],[unqid]],'Quipt Prod Data'!L:L,'Quipt Prod Data'!B:B),"")</f>
        <v/>
      </c>
      <c r="E748" s="1" t="str">
        <f>_xlfn.IFNA(_xlfn.XMATCH(Data[[#This Row],[unqid]],'Quipt Prod Data'!L:L,0),"")</f>
        <v/>
      </c>
      <c r="F748" s="1" t="str">
        <f>IF(COUNTIF('Quipt Prod Data'!L:L,Data[[#This Row],[unqid]])=0,"",COUNTIF('Quipt Prod Data'!L:L,Data[[#This Row],[unqid]]))</f>
        <v/>
      </c>
    </row>
    <row r="749" spans="1:6" x14ac:dyDescent="0.3">
      <c r="A749" t="s">
        <v>963</v>
      </c>
      <c r="B749" t="s">
        <v>41</v>
      </c>
      <c r="C749" t="s">
        <v>54</v>
      </c>
      <c r="D749" s="1" t="str">
        <f>_xlfn.IFNA(_xlfn.XLOOKUP(Data[[#This Row],[unqid]],'Quipt Prod Data'!L:L,'Quipt Prod Data'!B:B),"")</f>
        <v/>
      </c>
      <c r="E749" s="1" t="str">
        <f>_xlfn.IFNA(_xlfn.XMATCH(Data[[#This Row],[unqid]],'Quipt Prod Data'!L:L,0),"")</f>
        <v/>
      </c>
      <c r="F749" s="1" t="str">
        <f>IF(COUNTIF('Quipt Prod Data'!L:L,Data[[#This Row],[unqid]])=0,"",COUNTIF('Quipt Prod Data'!L:L,Data[[#This Row],[unqid]]))</f>
        <v/>
      </c>
    </row>
    <row r="750" spans="1:6" x14ac:dyDescent="0.3">
      <c r="A750" t="s">
        <v>964</v>
      </c>
      <c r="B750" t="s">
        <v>41</v>
      </c>
      <c r="C750" t="s">
        <v>54</v>
      </c>
      <c r="D750" s="1" t="str">
        <f>_xlfn.IFNA(_xlfn.XLOOKUP(Data[[#This Row],[unqid]],'Quipt Prod Data'!L:L,'Quipt Prod Data'!B:B),"")</f>
        <v/>
      </c>
      <c r="E750" s="1" t="str">
        <f>_xlfn.IFNA(_xlfn.XMATCH(Data[[#This Row],[unqid]],'Quipt Prod Data'!L:L,0),"")</f>
        <v/>
      </c>
      <c r="F750" s="1" t="str">
        <f>IF(COUNTIF('Quipt Prod Data'!L:L,Data[[#This Row],[unqid]])=0,"",COUNTIF('Quipt Prod Data'!L:L,Data[[#This Row],[unqid]]))</f>
        <v/>
      </c>
    </row>
    <row r="751" spans="1:6" x14ac:dyDescent="0.3">
      <c r="A751" t="s">
        <v>965</v>
      </c>
      <c r="B751" t="s">
        <v>41</v>
      </c>
      <c r="C751" t="s">
        <v>53</v>
      </c>
      <c r="D751" s="1" t="str">
        <f>_xlfn.IFNA(_xlfn.XLOOKUP(Data[[#This Row],[unqid]],'Quipt Prod Data'!L:L,'Quipt Prod Data'!B:B),"")</f>
        <v/>
      </c>
      <c r="E751" s="1" t="str">
        <f>_xlfn.IFNA(_xlfn.XMATCH(Data[[#This Row],[unqid]],'Quipt Prod Data'!L:L,0),"")</f>
        <v/>
      </c>
      <c r="F751" s="1" t="str">
        <f>IF(COUNTIF('Quipt Prod Data'!L:L,Data[[#This Row],[unqid]])=0,"",COUNTIF('Quipt Prod Data'!L:L,Data[[#This Row],[unqid]]))</f>
        <v/>
      </c>
    </row>
    <row r="752" spans="1:6" x14ac:dyDescent="0.3">
      <c r="A752" t="s">
        <v>966</v>
      </c>
      <c r="B752" t="s">
        <v>41</v>
      </c>
      <c r="C752" t="s">
        <v>44</v>
      </c>
      <c r="D752" s="1" t="str">
        <f>_xlfn.IFNA(_xlfn.XLOOKUP(Data[[#This Row],[unqid]],'Quipt Prod Data'!L:L,'Quipt Prod Data'!B:B),"")</f>
        <v/>
      </c>
      <c r="E752" s="1" t="str">
        <f>_xlfn.IFNA(_xlfn.XMATCH(Data[[#This Row],[unqid]],'Quipt Prod Data'!L:L,0),"")</f>
        <v/>
      </c>
      <c r="F752" s="1" t="str">
        <f>IF(COUNTIF('Quipt Prod Data'!L:L,Data[[#This Row],[unqid]])=0,"",COUNTIF('Quipt Prod Data'!L:L,Data[[#This Row],[unqid]]))</f>
        <v/>
      </c>
    </row>
    <row r="753" spans="1:6" x14ac:dyDescent="0.3">
      <c r="A753" t="s">
        <v>967</v>
      </c>
      <c r="B753" t="s">
        <v>41</v>
      </c>
      <c r="C753" t="s">
        <v>54</v>
      </c>
      <c r="D753" s="1" t="str">
        <f>_xlfn.IFNA(_xlfn.XLOOKUP(Data[[#This Row],[unqid]],'Quipt Prod Data'!L:L,'Quipt Prod Data'!B:B),"")</f>
        <v/>
      </c>
      <c r="E753" s="1" t="str">
        <f>_xlfn.IFNA(_xlfn.XMATCH(Data[[#This Row],[unqid]],'Quipt Prod Data'!L:L,0),"")</f>
        <v/>
      </c>
      <c r="F753" s="1" t="str">
        <f>IF(COUNTIF('Quipt Prod Data'!L:L,Data[[#This Row],[unqid]])=0,"",COUNTIF('Quipt Prod Data'!L:L,Data[[#This Row],[unqid]]))</f>
        <v/>
      </c>
    </row>
    <row r="754" spans="1:6" x14ac:dyDescent="0.3">
      <c r="A754" t="s">
        <v>968</v>
      </c>
      <c r="B754" t="s">
        <v>41</v>
      </c>
      <c r="C754" t="s">
        <v>44</v>
      </c>
      <c r="D754" s="1" t="str">
        <f>_xlfn.IFNA(_xlfn.XLOOKUP(Data[[#This Row],[unqid]],'Quipt Prod Data'!L:L,'Quipt Prod Data'!B:B),"")</f>
        <v/>
      </c>
      <c r="E754" s="1" t="str">
        <f>_xlfn.IFNA(_xlfn.XMATCH(Data[[#This Row],[unqid]],'Quipt Prod Data'!L:L,0),"")</f>
        <v/>
      </c>
      <c r="F754" s="1" t="str">
        <f>IF(COUNTIF('Quipt Prod Data'!L:L,Data[[#This Row],[unqid]])=0,"",COUNTIF('Quipt Prod Data'!L:L,Data[[#This Row],[unqid]]))</f>
        <v/>
      </c>
    </row>
    <row r="755" spans="1:6" x14ac:dyDescent="0.3">
      <c r="A755" t="s">
        <v>969</v>
      </c>
      <c r="B755" t="s">
        <v>41</v>
      </c>
      <c r="C755" t="s">
        <v>53</v>
      </c>
      <c r="D755" s="1" t="str">
        <f>_xlfn.IFNA(_xlfn.XLOOKUP(Data[[#This Row],[unqid]],'Quipt Prod Data'!L:L,'Quipt Prod Data'!B:B),"")</f>
        <v/>
      </c>
      <c r="E755" s="1" t="str">
        <f>_xlfn.IFNA(_xlfn.XMATCH(Data[[#This Row],[unqid]],'Quipt Prod Data'!L:L,0),"")</f>
        <v/>
      </c>
      <c r="F755" s="1" t="str">
        <f>IF(COUNTIF('Quipt Prod Data'!L:L,Data[[#This Row],[unqid]])=0,"",COUNTIF('Quipt Prod Data'!L:L,Data[[#This Row],[unqid]]))</f>
        <v/>
      </c>
    </row>
    <row r="756" spans="1:6" x14ac:dyDescent="0.3">
      <c r="A756" t="s">
        <v>970</v>
      </c>
      <c r="B756" t="s">
        <v>41</v>
      </c>
      <c r="C756" t="s">
        <v>54</v>
      </c>
      <c r="D756" s="1" t="str">
        <f>_xlfn.IFNA(_xlfn.XLOOKUP(Data[[#This Row],[unqid]],'Quipt Prod Data'!L:L,'Quipt Prod Data'!B:B),"")</f>
        <v/>
      </c>
      <c r="E756" s="1" t="str">
        <f>_xlfn.IFNA(_xlfn.XMATCH(Data[[#This Row],[unqid]],'Quipt Prod Data'!L:L,0),"")</f>
        <v/>
      </c>
      <c r="F756" s="1" t="str">
        <f>IF(COUNTIF('Quipt Prod Data'!L:L,Data[[#This Row],[unqid]])=0,"",COUNTIF('Quipt Prod Data'!L:L,Data[[#This Row],[unqid]]))</f>
        <v/>
      </c>
    </row>
    <row r="757" spans="1:6" x14ac:dyDescent="0.3">
      <c r="A757" t="s">
        <v>971</v>
      </c>
      <c r="B757" t="s">
        <v>42</v>
      </c>
      <c r="C757" t="s">
        <v>46</v>
      </c>
      <c r="D757" s="1" t="str">
        <f>_xlfn.IFNA(_xlfn.XLOOKUP(Data[[#This Row],[unqid]],'Quipt Prod Data'!L:L,'Quipt Prod Data'!B:B),"")</f>
        <v/>
      </c>
      <c r="E757" s="1" t="str">
        <f>_xlfn.IFNA(_xlfn.XMATCH(Data[[#This Row],[unqid]],'Quipt Prod Data'!L:L,0),"")</f>
        <v/>
      </c>
      <c r="F757" s="1" t="str">
        <f>IF(COUNTIF('Quipt Prod Data'!L:L,Data[[#This Row],[unqid]])=0,"",COUNTIF('Quipt Prod Data'!L:L,Data[[#This Row],[unqid]]))</f>
        <v/>
      </c>
    </row>
    <row r="758" spans="1:6" x14ac:dyDescent="0.3">
      <c r="A758" t="s">
        <v>972</v>
      </c>
      <c r="B758" t="s">
        <v>56</v>
      </c>
      <c r="C758" t="s">
        <v>43</v>
      </c>
      <c r="D758" s="1" t="str">
        <f>_xlfn.IFNA(_xlfn.XLOOKUP(Data[[#This Row],[unqid]],'Quipt Prod Data'!L:L,'Quipt Prod Data'!B:B),"")</f>
        <v/>
      </c>
      <c r="E758" s="1" t="str">
        <f>_xlfn.IFNA(_xlfn.XMATCH(Data[[#This Row],[unqid]],'Quipt Prod Data'!L:L,0),"")</f>
        <v/>
      </c>
      <c r="F758" s="1" t="str">
        <f>IF(COUNTIF('Quipt Prod Data'!L:L,Data[[#This Row],[unqid]])=0,"",COUNTIF('Quipt Prod Data'!L:L,Data[[#This Row],[unqid]]))</f>
        <v/>
      </c>
    </row>
    <row r="759" spans="1:6" x14ac:dyDescent="0.3">
      <c r="A759" t="s">
        <v>973</v>
      </c>
      <c r="B759" t="s">
        <v>41</v>
      </c>
      <c r="C759" t="s">
        <v>44</v>
      </c>
      <c r="D759" s="1" t="str">
        <f>_xlfn.IFNA(_xlfn.XLOOKUP(Data[[#This Row],[unqid]],'Quipt Prod Data'!L:L,'Quipt Prod Data'!B:B),"")</f>
        <v/>
      </c>
      <c r="E759" s="1" t="str">
        <f>_xlfn.IFNA(_xlfn.XMATCH(Data[[#This Row],[unqid]],'Quipt Prod Data'!L:L,0),"")</f>
        <v/>
      </c>
      <c r="F759" s="1" t="str">
        <f>IF(COUNTIF('Quipt Prod Data'!L:L,Data[[#This Row],[unqid]])=0,"",COUNTIF('Quipt Prod Data'!L:L,Data[[#This Row],[unqid]]))</f>
        <v/>
      </c>
    </row>
    <row r="760" spans="1:6" x14ac:dyDescent="0.3">
      <c r="A760" t="s">
        <v>974</v>
      </c>
      <c r="B760" t="s">
        <v>41</v>
      </c>
      <c r="C760" t="s">
        <v>53</v>
      </c>
      <c r="D760" s="1" t="str">
        <f>_xlfn.IFNA(_xlfn.XLOOKUP(Data[[#This Row],[unqid]],'Quipt Prod Data'!L:L,'Quipt Prod Data'!B:B),"")</f>
        <v/>
      </c>
      <c r="E760" s="1" t="str">
        <f>_xlfn.IFNA(_xlfn.XMATCH(Data[[#This Row],[unqid]],'Quipt Prod Data'!L:L,0),"")</f>
        <v/>
      </c>
      <c r="F760" s="1" t="str">
        <f>IF(COUNTIF('Quipt Prod Data'!L:L,Data[[#This Row],[unqid]])=0,"",COUNTIF('Quipt Prod Data'!L:L,Data[[#This Row],[unqid]]))</f>
        <v/>
      </c>
    </row>
    <row r="761" spans="1:6" x14ac:dyDescent="0.3">
      <c r="A761" t="s">
        <v>975</v>
      </c>
      <c r="B761" t="s">
        <v>41</v>
      </c>
      <c r="C761" t="s">
        <v>54</v>
      </c>
      <c r="D761" s="1" t="str">
        <f>_xlfn.IFNA(_xlfn.XLOOKUP(Data[[#This Row],[unqid]],'Quipt Prod Data'!L:L,'Quipt Prod Data'!B:B),"")</f>
        <v/>
      </c>
      <c r="E761" s="1" t="str">
        <f>_xlfn.IFNA(_xlfn.XMATCH(Data[[#This Row],[unqid]],'Quipt Prod Data'!L:L,0),"")</f>
        <v/>
      </c>
      <c r="F761" s="1" t="str">
        <f>IF(COUNTIF('Quipt Prod Data'!L:L,Data[[#This Row],[unqid]])=0,"",COUNTIF('Quipt Prod Data'!L:L,Data[[#This Row],[unqid]]))</f>
        <v/>
      </c>
    </row>
    <row r="762" spans="1:6" x14ac:dyDescent="0.3">
      <c r="A762" t="s">
        <v>976</v>
      </c>
      <c r="B762" t="s">
        <v>31</v>
      </c>
      <c r="C762" t="s">
        <v>52</v>
      </c>
      <c r="D762" s="1" t="str">
        <f>_xlfn.IFNA(_xlfn.XLOOKUP(Data[[#This Row],[unqid]],'Quipt Prod Data'!L:L,'Quipt Prod Data'!B:B),"")</f>
        <v/>
      </c>
      <c r="E762" s="1" t="str">
        <f>_xlfn.IFNA(_xlfn.XMATCH(Data[[#This Row],[unqid]],'Quipt Prod Data'!L:L,0),"")</f>
        <v/>
      </c>
      <c r="F762" s="1" t="str">
        <f>IF(COUNTIF('Quipt Prod Data'!L:L,Data[[#This Row],[unqid]])=0,"",COUNTIF('Quipt Prod Data'!L:L,Data[[#This Row],[unqid]]))</f>
        <v/>
      </c>
    </row>
    <row r="763" spans="1:6" x14ac:dyDescent="0.3">
      <c r="A763" t="s">
        <v>977</v>
      </c>
      <c r="B763" t="s">
        <v>41</v>
      </c>
      <c r="C763" t="s">
        <v>44</v>
      </c>
      <c r="D763" s="1" t="str">
        <f>_xlfn.IFNA(_xlfn.XLOOKUP(Data[[#This Row],[unqid]],'Quipt Prod Data'!L:L,'Quipt Prod Data'!B:B),"")</f>
        <v/>
      </c>
      <c r="E763" s="1" t="str">
        <f>_xlfn.IFNA(_xlfn.XMATCH(Data[[#This Row],[unqid]],'Quipt Prod Data'!L:L,0),"")</f>
        <v/>
      </c>
      <c r="F763" s="1" t="str">
        <f>IF(COUNTIF('Quipt Prod Data'!L:L,Data[[#This Row],[unqid]])=0,"",COUNTIF('Quipt Prod Data'!L:L,Data[[#This Row],[unqid]]))</f>
        <v/>
      </c>
    </row>
    <row r="764" spans="1:6" x14ac:dyDescent="0.3">
      <c r="A764" t="s">
        <v>978</v>
      </c>
      <c r="B764" t="s">
        <v>41</v>
      </c>
      <c r="C764" t="s">
        <v>54</v>
      </c>
      <c r="D764" s="1" t="str">
        <f>_xlfn.IFNA(_xlfn.XLOOKUP(Data[[#This Row],[unqid]],'Quipt Prod Data'!L:L,'Quipt Prod Data'!B:B),"")</f>
        <v/>
      </c>
      <c r="E764" s="1" t="str">
        <f>_xlfn.IFNA(_xlfn.XMATCH(Data[[#This Row],[unqid]],'Quipt Prod Data'!L:L,0),"")</f>
        <v/>
      </c>
      <c r="F764" s="1" t="str">
        <f>IF(COUNTIF('Quipt Prod Data'!L:L,Data[[#This Row],[unqid]])=0,"",COUNTIF('Quipt Prod Data'!L:L,Data[[#This Row],[unqid]]))</f>
        <v/>
      </c>
    </row>
    <row r="765" spans="1:6" x14ac:dyDescent="0.3">
      <c r="A765" t="s">
        <v>979</v>
      </c>
      <c r="B765" t="s">
        <v>56</v>
      </c>
      <c r="C765" t="s">
        <v>43</v>
      </c>
      <c r="D765" s="1" t="str">
        <f>_xlfn.IFNA(_xlfn.XLOOKUP(Data[[#This Row],[unqid]],'Quipt Prod Data'!L:L,'Quipt Prod Data'!B:B),"")</f>
        <v/>
      </c>
      <c r="E765" s="1" t="str">
        <f>_xlfn.IFNA(_xlfn.XMATCH(Data[[#This Row],[unqid]],'Quipt Prod Data'!L:L,0),"")</f>
        <v/>
      </c>
      <c r="F765" s="1" t="str">
        <f>IF(COUNTIF('Quipt Prod Data'!L:L,Data[[#This Row],[unqid]])=0,"",COUNTIF('Quipt Prod Data'!L:L,Data[[#This Row],[unqid]]))</f>
        <v/>
      </c>
    </row>
    <row r="766" spans="1:6" x14ac:dyDescent="0.3">
      <c r="A766" t="s">
        <v>980</v>
      </c>
      <c r="B766" t="s">
        <v>41</v>
      </c>
      <c r="C766" t="s">
        <v>53</v>
      </c>
      <c r="D766" s="1" t="str">
        <f>_xlfn.IFNA(_xlfn.XLOOKUP(Data[[#This Row],[unqid]],'Quipt Prod Data'!L:L,'Quipt Prod Data'!B:B),"")</f>
        <v/>
      </c>
      <c r="E766" s="1" t="str">
        <f>_xlfn.IFNA(_xlfn.XMATCH(Data[[#This Row],[unqid]],'Quipt Prod Data'!L:L,0),"")</f>
        <v/>
      </c>
      <c r="F766" s="1" t="str">
        <f>IF(COUNTIF('Quipt Prod Data'!L:L,Data[[#This Row],[unqid]])=0,"",COUNTIF('Quipt Prod Data'!L:L,Data[[#This Row],[unqid]]))</f>
        <v/>
      </c>
    </row>
    <row r="767" spans="1:6" x14ac:dyDescent="0.3">
      <c r="A767" t="s">
        <v>981</v>
      </c>
      <c r="B767" t="s">
        <v>38</v>
      </c>
      <c r="C767" t="s">
        <v>43</v>
      </c>
      <c r="D767" s="1" t="str">
        <f>_xlfn.IFNA(_xlfn.XLOOKUP(Data[[#This Row],[unqid]],'Quipt Prod Data'!L:L,'Quipt Prod Data'!B:B),"")</f>
        <v/>
      </c>
      <c r="E767" s="1" t="str">
        <f>_xlfn.IFNA(_xlfn.XMATCH(Data[[#This Row],[unqid]],'Quipt Prod Data'!L:L,0),"")</f>
        <v/>
      </c>
      <c r="F767" s="1" t="str">
        <f>IF(COUNTIF('Quipt Prod Data'!L:L,Data[[#This Row],[unqid]])=0,"",COUNTIF('Quipt Prod Data'!L:L,Data[[#This Row],[unqid]]))</f>
        <v/>
      </c>
    </row>
    <row r="768" spans="1:6" x14ac:dyDescent="0.3">
      <c r="A768" t="s">
        <v>982</v>
      </c>
      <c r="B768" t="s">
        <v>41</v>
      </c>
      <c r="C768" t="s">
        <v>44</v>
      </c>
      <c r="D768" s="1" t="str">
        <f>_xlfn.IFNA(_xlfn.XLOOKUP(Data[[#This Row],[unqid]],'Quipt Prod Data'!L:L,'Quipt Prod Data'!B:B),"")</f>
        <v/>
      </c>
      <c r="E768" s="1" t="str">
        <f>_xlfn.IFNA(_xlfn.XMATCH(Data[[#This Row],[unqid]],'Quipt Prod Data'!L:L,0),"")</f>
        <v/>
      </c>
      <c r="F768" s="1" t="str">
        <f>IF(COUNTIF('Quipt Prod Data'!L:L,Data[[#This Row],[unqid]])=0,"",COUNTIF('Quipt Prod Data'!L:L,Data[[#This Row],[unqid]]))</f>
        <v/>
      </c>
    </row>
    <row r="769" spans="1:6" x14ac:dyDescent="0.3">
      <c r="A769" t="s">
        <v>983</v>
      </c>
      <c r="B769" t="s">
        <v>41</v>
      </c>
      <c r="C769" t="s">
        <v>54</v>
      </c>
      <c r="D769" s="1" t="str">
        <f>_xlfn.IFNA(_xlfn.XLOOKUP(Data[[#This Row],[unqid]],'Quipt Prod Data'!L:L,'Quipt Prod Data'!B:B),"")</f>
        <v/>
      </c>
      <c r="E769" s="1" t="str">
        <f>_xlfn.IFNA(_xlfn.XMATCH(Data[[#This Row],[unqid]],'Quipt Prod Data'!L:L,0),"")</f>
        <v/>
      </c>
      <c r="F769" s="1" t="str">
        <f>IF(COUNTIF('Quipt Prod Data'!L:L,Data[[#This Row],[unqid]])=0,"",COUNTIF('Quipt Prod Data'!L:L,Data[[#This Row],[unqid]]))</f>
        <v/>
      </c>
    </row>
    <row r="770" spans="1:6" x14ac:dyDescent="0.3">
      <c r="A770" t="s">
        <v>984</v>
      </c>
      <c r="B770" t="s">
        <v>41</v>
      </c>
      <c r="C770" t="s">
        <v>54</v>
      </c>
      <c r="D770" s="1" t="str">
        <f>_xlfn.IFNA(_xlfn.XLOOKUP(Data[[#This Row],[unqid]],'Quipt Prod Data'!L:L,'Quipt Prod Data'!B:B),"")</f>
        <v/>
      </c>
      <c r="E770" s="1" t="str">
        <f>_xlfn.IFNA(_xlfn.XMATCH(Data[[#This Row],[unqid]],'Quipt Prod Data'!L:L,0),"")</f>
        <v/>
      </c>
      <c r="F770" s="1" t="str">
        <f>IF(COUNTIF('Quipt Prod Data'!L:L,Data[[#This Row],[unqid]])=0,"",COUNTIF('Quipt Prod Data'!L:L,Data[[#This Row],[unqid]]))</f>
        <v/>
      </c>
    </row>
    <row r="771" spans="1:6" x14ac:dyDescent="0.3">
      <c r="A771" t="s">
        <v>985</v>
      </c>
      <c r="B771" t="s">
        <v>42</v>
      </c>
      <c r="C771" t="s">
        <v>48</v>
      </c>
      <c r="D771" s="1" t="str">
        <f>_xlfn.IFNA(_xlfn.XLOOKUP(Data[[#This Row],[unqid]],'Quipt Prod Data'!L:L,'Quipt Prod Data'!B:B),"")</f>
        <v/>
      </c>
      <c r="E771" s="1" t="str">
        <f>_xlfn.IFNA(_xlfn.XMATCH(Data[[#This Row],[unqid]],'Quipt Prod Data'!L:L,0),"")</f>
        <v/>
      </c>
      <c r="F771" s="1" t="str">
        <f>IF(COUNTIF('Quipt Prod Data'!L:L,Data[[#This Row],[unqid]])=0,"",COUNTIF('Quipt Prod Data'!L:L,Data[[#This Row],[unqid]]))</f>
        <v/>
      </c>
    </row>
    <row r="772" spans="1:6" x14ac:dyDescent="0.3">
      <c r="A772" t="s">
        <v>986</v>
      </c>
      <c r="B772" t="s">
        <v>41</v>
      </c>
      <c r="C772" t="s">
        <v>44</v>
      </c>
      <c r="D772" s="1" t="str">
        <f>_xlfn.IFNA(_xlfn.XLOOKUP(Data[[#This Row],[unqid]],'Quipt Prod Data'!L:L,'Quipt Prod Data'!B:B),"")</f>
        <v/>
      </c>
      <c r="E772" s="1" t="str">
        <f>_xlfn.IFNA(_xlfn.XMATCH(Data[[#This Row],[unqid]],'Quipt Prod Data'!L:L,0),"")</f>
        <v/>
      </c>
      <c r="F772" s="1" t="str">
        <f>IF(COUNTIF('Quipt Prod Data'!L:L,Data[[#This Row],[unqid]])=0,"",COUNTIF('Quipt Prod Data'!L:L,Data[[#This Row],[unqid]]))</f>
        <v/>
      </c>
    </row>
    <row r="773" spans="1:6" x14ac:dyDescent="0.3">
      <c r="A773" t="s">
        <v>987</v>
      </c>
      <c r="B773" t="s">
        <v>41</v>
      </c>
      <c r="C773" t="s">
        <v>54</v>
      </c>
      <c r="D773" s="1" t="str">
        <f>_xlfn.IFNA(_xlfn.XLOOKUP(Data[[#This Row],[unqid]],'Quipt Prod Data'!L:L,'Quipt Prod Data'!B:B),"")</f>
        <v/>
      </c>
      <c r="E773" s="1" t="str">
        <f>_xlfn.IFNA(_xlfn.XMATCH(Data[[#This Row],[unqid]],'Quipt Prod Data'!L:L,0),"")</f>
        <v/>
      </c>
      <c r="F773" s="1" t="str">
        <f>IF(COUNTIF('Quipt Prod Data'!L:L,Data[[#This Row],[unqid]])=0,"",COUNTIF('Quipt Prod Data'!L:L,Data[[#This Row],[unqid]]))</f>
        <v/>
      </c>
    </row>
    <row r="774" spans="1:6" x14ac:dyDescent="0.3">
      <c r="A774" t="s">
        <v>988</v>
      </c>
      <c r="B774" t="s">
        <v>31</v>
      </c>
      <c r="C774" t="s">
        <v>48</v>
      </c>
      <c r="D774" s="1" t="str">
        <f>_xlfn.IFNA(_xlfn.XLOOKUP(Data[[#This Row],[unqid]],'Quipt Prod Data'!L:L,'Quipt Prod Data'!B:B),"")</f>
        <v/>
      </c>
      <c r="E774" s="1" t="str">
        <f>_xlfn.IFNA(_xlfn.XMATCH(Data[[#This Row],[unqid]],'Quipt Prod Data'!L:L,0),"")</f>
        <v/>
      </c>
      <c r="F774" s="1" t="str">
        <f>IF(COUNTIF('Quipt Prod Data'!L:L,Data[[#This Row],[unqid]])=0,"",COUNTIF('Quipt Prod Data'!L:L,Data[[#This Row],[unqid]]))</f>
        <v/>
      </c>
    </row>
    <row r="775" spans="1:6" x14ac:dyDescent="0.3">
      <c r="A775" t="s">
        <v>989</v>
      </c>
      <c r="B775" t="s">
        <v>57</v>
      </c>
      <c r="C775" t="s">
        <v>48</v>
      </c>
      <c r="D775" s="1" t="str">
        <f>_xlfn.IFNA(_xlfn.XLOOKUP(Data[[#This Row],[unqid]],'Quipt Prod Data'!L:L,'Quipt Prod Data'!B:B),"")</f>
        <v/>
      </c>
      <c r="E775" s="1" t="str">
        <f>_xlfn.IFNA(_xlfn.XMATCH(Data[[#This Row],[unqid]],'Quipt Prod Data'!L:L,0),"")</f>
        <v/>
      </c>
      <c r="F775" s="1" t="str">
        <f>IF(COUNTIF('Quipt Prod Data'!L:L,Data[[#This Row],[unqid]])=0,"",COUNTIF('Quipt Prod Data'!L:L,Data[[#This Row],[unqid]]))</f>
        <v/>
      </c>
    </row>
    <row r="776" spans="1:6" x14ac:dyDescent="0.3">
      <c r="A776" t="s">
        <v>990</v>
      </c>
      <c r="B776" t="s">
        <v>41</v>
      </c>
      <c r="C776" t="s">
        <v>54</v>
      </c>
      <c r="D776" s="1" t="str">
        <f>_xlfn.IFNA(_xlfn.XLOOKUP(Data[[#This Row],[unqid]],'Quipt Prod Data'!L:L,'Quipt Prod Data'!B:B),"")</f>
        <v/>
      </c>
      <c r="E776" s="1" t="str">
        <f>_xlfn.IFNA(_xlfn.XMATCH(Data[[#This Row],[unqid]],'Quipt Prod Data'!L:L,0),"")</f>
        <v/>
      </c>
      <c r="F776" s="1" t="str">
        <f>IF(COUNTIF('Quipt Prod Data'!L:L,Data[[#This Row],[unqid]])=0,"",COUNTIF('Quipt Prod Data'!L:L,Data[[#This Row],[unqid]]))</f>
        <v/>
      </c>
    </row>
    <row r="777" spans="1:6" x14ac:dyDescent="0.3">
      <c r="A777" t="s">
        <v>991</v>
      </c>
      <c r="B777" t="s">
        <v>41</v>
      </c>
      <c r="C777" t="s">
        <v>54</v>
      </c>
      <c r="D777" s="1" t="str">
        <f>_xlfn.IFNA(_xlfn.XLOOKUP(Data[[#This Row],[unqid]],'Quipt Prod Data'!L:L,'Quipt Prod Data'!B:B),"")</f>
        <v/>
      </c>
      <c r="E777" s="1" t="str">
        <f>_xlfn.IFNA(_xlfn.XMATCH(Data[[#This Row],[unqid]],'Quipt Prod Data'!L:L,0),"")</f>
        <v/>
      </c>
      <c r="F777" s="1" t="str">
        <f>IF(COUNTIF('Quipt Prod Data'!L:L,Data[[#This Row],[unqid]])=0,"",COUNTIF('Quipt Prod Data'!L:L,Data[[#This Row],[unqid]]))</f>
        <v/>
      </c>
    </row>
    <row r="778" spans="1:6" x14ac:dyDescent="0.3">
      <c r="A778" t="s">
        <v>992</v>
      </c>
      <c r="B778" t="s">
        <v>41</v>
      </c>
      <c r="C778" t="s">
        <v>44</v>
      </c>
      <c r="D778" s="1" t="str">
        <f>_xlfn.IFNA(_xlfn.XLOOKUP(Data[[#This Row],[unqid]],'Quipt Prod Data'!L:L,'Quipt Prod Data'!B:B),"")</f>
        <v/>
      </c>
      <c r="E778" s="1" t="str">
        <f>_xlfn.IFNA(_xlfn.XMATCH(Data[[#This Row],[unqid]],'Quipt Prod Data'!L:L,0),"")</f>
        <v/>
      </c>
      <c r="F778" s="1" t="str">
        <f>IF(COUNTIF('Quipt Prod Data'!L:L,Data[[#This Row],[unqid]])=0,"",COUNTIF('Quipt Prod Data'!L:L,Data[[#This Row],[unqid]]))</f>
        <v/>
      </c>
    </row>
    <row r="779" spans="1:6" x14ac:dyDescent="0.3">
      <c r="A779" t="s">
        <v>993</v>
      </c>
      <c r="B779" t="s">
        <v>41</v>
      </c>
      <c r="C779" t="s">
        <v>54</v>
      </c>
      <c r="D779" s="1" t="str">
        <f>_xlfn.IFNA(_xlfn.XLOOKUP(Data[[#This Row],[unqid]],'Quipt Prod Data'!L:L,'Quipt Prod Data'!B:B),"")</f>
        <v/>
      </c>
      <c r="E779" s="1" t="str">
        <f>_xlfn.IFNA(_xlfn.XMATCH(Data[[#This Row],[unqid]],'Quipt Prod Data'!L:L,0),"")</f>
        <v/>
      </c>
      <c r="F779" s="1" t="str">
        <f>IF(COUNTIF('Quipt Prod Data'!L:L,Data[[#This Row],[unqid]])=0,"",COUNTIF('Quipt Prod Data'!L:L,Data[[#This Row],[unqid]]))</f>
        <v/>
      </c>
    </row>
    <row r="780" spans="1:6" x14ac:dyDescent="0.3">
      <c r="A780" t="s">
        <v>994</v>
      </c>
      <c r="B780" t="s">
        <v>41</v>
      </c>
      <c r="C780" t="s">
        <v>53</v>
      </c>
      <c r="D780" s="1" t="str">
        <f>_xlfn.IFNA(_xlfn.XLOOKUP(Data[[#This Row],[unqid]],'Quipt Prod Data'!L:L,'Quipt Prod Data'!B:B),"")</f>
        <v/>
      </c>
      <c r="E780" s="1" t="str">
        <f>_xlfn.IFNA(_xlfn.XMATCH(Data[[#This Row],[unqid]],'Quipt Prod Data'!L:L,0),"")</f>
        <v/>
      </c>
      <c r="F780" s="1" t="str">
        <f>IF(COUNTIF('Quipt Prod Data'!L:L,Data[[#This Row],[unqid]])=0,"",COUNTIF('Quipt Prod Data'!L:L,Data[[#This Row],[unqid]]))</f>
        <v/>
      </c>
    </row>
    <row r="781" spans="1:6" x14ac:dyDescent="0.3">
      <c r="A781" t="s">
        <v>995</v>
      </c>
      <c r="B781" t="s">
        <v>41</v>
      </c>
      <c r="C781" t="s">
        <v>54</v>
      </c>
      <c r="D781" s="1" t="str">
        <f>_xlfn.IFNA(_xlfn.XLOOKUP(Data[[#This Row],[unqid]],'Quipt Prod Data'!L:L,'Quipt Prod Data'!B:B),"")</f>
        <v/>
      </c>
      <c r="E781" s="1" t="str">
        <f>_xlfn.IFNA(_xlfn.XMATCH(Data[[#This Row],[unqid]],'Quipt Prod Data'!L:L,0),"")</f>
        <v/>
      </c>
      <c r="F781" s="1" t="str">
        <f>IF(COUNTIF('Quipt Prod Data'!L:L,Data[[#This Row],[unqid]])=0,"",COUNTIF('Quipt Prod Data'!L:L,Data[[#This Row],[unqid]]))</f>
        <v/>
      </c>
    </row>
    <row r="782" spans="1:6" x14ac:dyDescent="0.3">
      <c r="A782" t="s">
        <v>996</v>
      </c>
      <c r="B782" t="s">
        <v>41</v>
      </c>
      <c r="C782" t="s">
        <v>54</v>
      </c>
      <c r="D782" s="1" t="str">
        <f>_xlfn.IFNA(_xlfn.XLOOKUP(Data[[#This Row],[unqid]],'Quipt Prod Data'!L:L,'Quipt Prod Data'!B:B),"")</f>
        <v/>
      </c>
      <c r="E782" s="1" t="str">
        <f>_xlfn.IFNA(_xlfn.XMATCH(Data[[#This Row],[unqid]],'Quipt Prod Data'!L:L,0),"")</f>
        <v/>
      </c>
      <c r="F782" s="1" t="str">
        <f>IF(COUNTIF('Quipt Prod Data'!L:L,Data[[#This Row],[unqid]])=0,"",COUNTIF('Quipt Prod Data'!L:L,Data[[#This Row],[unqid]]))</f>
        <v/>
      </c>
    </row>
    <row r="783" spans="1:6" x14ac:dyDescent="0.3">
      <c r="A783" t="s">
        <v>997</v>
      </c>
      <c r="B783" t="s">
        <v>58</v>
      </c>
      <c r="C783" t="s">
        <v>44</v>
      </c>
      <c r="D783" s="1" t="str">
        <f>_xlfn.IFNA(_xlfn.XLOOKUP(Data[[#This Row],[unqid]],'Quipt Prod Data'!L:L,'Quipt Prod Data'!B:B),"")</f>
        <v/>
      </c>
      <c r="E783" s="1" t="str">
        <f>_xlfn.IFNA(_xlfn.XMATCH(Data[[#This Row],[unqid]],'Quipt Prod Data'!L:L,0),"")</f>
        <v/>
      </c>
      <c r="F783" s="1" t="str">
        <f>IF(COUNTIF('Quipt Prod Data'!L:L,Data[[#This Row],[unqid]])=0,"",COUNTIF('Quipt Prod Data'!L:L,Data[[#This Row],[unqid]]))</f>
        <v/>
      </c>
    </row>
    <row r="784" spans="1:6" x14ac:dyDescent="0.3">
      <c r="A784" t="s">
        <v>998</v>
      </c>
      <c r="B784" t="s">
        <v>41</v>
      </c>
      <c r="C784" t="s">
        <v>54</v>
      </c>
      <c r="D784" s="1" t="str">
        <f>_xlfn.IFNA(_xlfn.XLOOKUP(Data[[#This Row],[unqid]],'Quipt Prod Data'!L:L,'Quipt Prod Data'!B:B),"")</f>
        <v/>
      </c>
      <c r="E784" s="1" t="str">
        <f>_xlfn.IFNA(_xlfn.XMATCH(Data[[#This Row],[unqid]],'Quipt Prod Data'!L:L,0),"")</f>
        <v/>
      </c>
      <c r="F784" s="1" t="str">
        <f>IF(COUNTIF('Quipt Prod Data'!L:L,Data[[#This Row],[unqid]])=0,"",COUNTIF('Quipt Prod Data'!L:L,Data[[#This Row],[unqid]]))</f>
        <v/>
      </c>
    </row>
    <row r="785" spans="1:6" x14ac:dyDescent="0.3">
      <c r="A785" t="s">
        <v>999</v>
      </c>
      <c r="B785" t="s">
        <v>41</v>
      </c>
      <c r="C785" t="s">
        <v>54</v>
      </c>
      <c r="D785" s="1" t="str">
        <f>_xlfn.IFNA(_xlfn.XLOOKUP(Data[[#This Row],[unqid]],'Quipt Prod Data'!L:L,'Quipt Prod Data'!B:B),"")</f>
        <v/>
      </c>
      <c r="E785" s="1" t="str">
        <f>_xlfn.IFNA(_xlfn.XMATCH(Data[[#This Row],[unqid]],'Quipt Prod Data'!L:L,0),"")</f>
        <v/>
      </c>
      <c r="F785" s="1" t="str">
        <f>IF(COUNTIF('Quipt Prod Data'!L:L,Data[[#This Row],[unqid]])=0,"",COUNTIF('Quipt Prod Data'!L:L,Data[[#This Row],[unqid]]))</f>
        <v/>
      </c>
    </row>
    <row r="786" spans="1:6" x14ac:dyDescent="0.3">
      <c r="A786" t="s">
        <v>1000</v>
      </c>
      <c r="B786" t="s">
        <v>41</v>
      </c>
      <c r="C786" t="s">
        <v>54</v>
      </c>
      <c r="D786" s="1" t="str">
        <f>_xlfn.IFNA(_xlfn.XLOOKUP(Data[[#This Row],[unqid]],'Quipt Prod Data'!L:L,'Quipt Prod Data'!B:B),"")</f>
        <v/>
      </c>
      <c r="E786" s="1" t="str">
        <f>_xlfn.IFNA(_xlfn.XMATCH(Data[[#This Row],[unqid]],'Quipt Prod Data'!L:L,0),"")</f>
        <v/>
      </c>
      <c r="F786" s="1" t="str">
        <f>IF(COUNTIF('Quipt Prod Data'!L:L,Data[[#This Row],[unqid]])=0,"",COUNTIF('Quipt Prod Data'!L:L,Data[[#This Row],[unqid]]))</f>
        <v/>
      </c>
    </row>
    <row r="787" spans="1:6" x14ac:dyDescent="0.3">
      <c r="A787" t="s">
        <v>1001</v>
      </c>
      <c r="B787" t="s">
        <v>41</v>
      </c>
      <c r="C787" t="s">
        <v>54</v>
      </c>
      <c r="D787" s="1" t="str">
        <f>_xlfn.IFNA(_xlfn.XLOOKUP(Data[[#This Row],[unqid]],'Quipt Prod Data'!L:L,'Quipt Prod Data'!B:B),"")</f>
        <v/>
      </c>
      <c r="E787" s="1" t="str">
        <f>_xlfn.IFNA(_xlfn.XMATCH(Data[[#This Row],[unqid]],'Quipt Prod Data'!L:L,0),"")</f>
        <v/>
      </c>
      <c r="F787" s="1" t="str">
        <f>IF(COUNTIF('Quipt Prod Data'!L:L,Data[[#This Row],[unqid]])=0,"",COUNTIF('Quipt Prod Data'!L:L,Data[[#This Row],[unqid]]))</f>
        <v/>
      </c>
    </row>
    <row r="788" spans="1:6" x14ac:dyDescent="0.3">
      <c r="A788" t="s">
        <v>1002</v>
      </c>
      <c r="B788" t="s">
        <v>41</v>
      </c>
      <c r="C788" t="s">
        <v>54</v>
      </c>
      <c r="D788" s="1" t="str">
        <f>_xlfn.IFNA(_xlfn.XLOOKUP(Data[[#This Row],[unqid]],'Quipt Prod Data'!L:L,'Quipt Prod Data'!B:B),"")</f>
        <v/>
      </c>
      <c r="E788" s="1" t="str">
        <f>_xlfn.IFNA(_xlfn.XMATCH(Data[[#This Row],[unqid]],'Quipt Prod Data'!L:L,0),"")</f>
        <v/>
      </c>
      <c r="F788" s="1" t="str">
        <f>IF(COUNTIF('Quipt Prod Data'!L:L,Data[[#This Row],[unqid]])=0,"",COUNTIF('Quipt Prod Data'!L:L,Data[[#This Row],[unqid]]))</f>
        <v/>
      </c>
    </row>
    <row r="789" spans="1:6" x14ac:dyDescent="0.3">
      <c r="A789" t="s">
        <v>1003</v>
      </c>
      <c r="B789" t="s">
        <v>41</v>
      </c>
      <c r="C789" t="s">
        <v>54</v>
      </c>
      <c r="D789" s="1" t="str">
        <f>_xlfn.IFNA(_xlfn.XLOOKUP(Data[[#This Row],[unqid]],'Quipt Prod Data'!L:L,'Quipt Prod Data'!B:B),"")</f>
        <v/>
      </c>
      <c r="E789" s="1" t="str">
        <f>_xlfn.IFNA(_xlfn.XMATCH(Data[[#This Row],[unqid]],'Quipt Prod Data'!L:L,0),"")</f>
        <v/>
      </c>
      <c r="F789" s="1" t="str">
        <f>IF(COUNTIF('Quipt Prod Data'!L:L,Data[[#This Row],[unqid]])=0,"",COUNTIF('Quipt Prod Data'!L:L,Data[[#This Row],[unqid]]))</f>
        <v/>
      </c>
    </row>
    <row r="790" spans="1:6" x14ac:dyDescent="0.3">
      <c r="A790" t="s">
        <v>1004</v>
      </c>
      <c r="B790" t="s">
        <v>41</v>
      </c>
      <c r="C790" t="s">
        <v>43</v>
      </c>
      <c r="D790" s="1" t="str">
        <f>_xlfn.IFNA(_xlfn.XLOOKUP(Data[[#This Row],[unqid]],'Quipt Prod Data'!L:L,'Quipt Prod Data'!B:B),"")</f>
        <v/>
      </c>
      <c r="E790" s="1" t="str">
        <f>_xlfn.IFNA(_xlfn.XMATCH(Data[[#This Row],[unqid]],'Quipt Prod Data'!L:L,0),"")</f>
        <v/>
      </c>
      <c r="F790" s="1" t="str">
        <f>IF(COUNTIF('Quipt Prod Data'!L:L,Data[[#This Row],[unqid]])=0,"",COUNTIF('Quipt Prod Data'!L:L,Data[[#This Row],[unqid]]))</f>
        <v/>
      </c>
    </row>
    <row r="791" spans="1:6" x14ac:dyDescent="0.3">
      <c r="A791" t="s">
        <v>1005</v>
      </c>
      <c r="B791" t="s">
        <v>41</v>
      </c>
      <c r="C791" t="s">
        <v>44</v>
      </c>
      <c r="D791" s="1" t="str">
        <f>_xlfn.IFNA(_xlfn.XLOOKUP(Data[[#This Row],[unqid]],'Quipt Prod Data'!L:L,'Quipt Prod Data'!B:B),"")</f>
        <v/>
      </c>
      <c r="E791" s="1" t="str">
        <f>_xlfn.IFNA(_xlfn.XMATCH(Data[[#This Row],[unqid]],'Quipt Prod Data'!L:L,0),"")</f>
        <v/>
      </c>
      <c r="F791" s="1" t="str">
        <f>IF(COUNTIF('Quipt Prod Data'!L:L,Data[[#This Row],[unqid]])=0,"",COUNTIF('Quipt Prod Data'!L:L,Data[[#This Row],[unqid]]))</f>
        <v/>
      </c>
    </row>
    <row r="792" spans="1:6" x14ac:dyDescent="0.3">
      <c r="A792" t="s">
        <v>1006</v>
      </c>
      <c r="B792" t="s">
        <v>34</v>
      </c>
      <c r="C792" t="s">
        <v>44</v>
      </c>
      <c r="D792" s="1" t="str">
        <f>_xlfn.IFNA(_xlfn.XLOOKUP(Data[[#This Row],[unqid]],'Quipt Prod Data'!L:L,'Quipt Prod Data'!B:B),"")</f>
        <v/>
      </c>
      <c r="E792" s="1" t="str">
        <f>_xlfn.IFNA(_xlfn.XMATCH(Data[[#This Row],[unqid]],'Quipt Prod Data'!L:L,0),"")</f>
        <v/>
      </c>
      <c r="F792" s="1" t="str">
        <f>IF(COUNTIF('Quipt Prod Data'!L:L,Data[[#This Row],[unqid]])=0,"",COUNTIF('Quipt Prod Data'!L:L,Data[[#This Row],[unqid]]))</f>
        <v/>
      </c>
    </row>
    <row r="793" spans="1:6" x14ac:dyDescent="0.3">
      <c r="A793" t="s">
        <v>1007</v>
      </c>
      <c r="B793" t="s">
        <v>57</v>
      </c>
      <c r="C793" t="s">
        <v>43</v>
      </c>
      <c r="D793" s="1" t="str">
        <f>_xlfn.IFNA(_xlfn.XLOOKUP(Data[[#This Row],[unqid]],'Quipt Prod Data'!L:L,'Quipt Prod Data'!B:B),"")</f>
        <v/>
      </c>
      <c r="E793" s="1" t="str">
        <f>_xlfn.IFNA(_xlfn.XMATCH(Data[[#This Row],[unqid]],'Quipt Prod Data'!L:L,0),"")</f>
        <v/>
      </c>
      <c r="F793" s="1" t="str">
        <f>IF(COUNTIF('Quipt Prod Data'!L:L,Data[[#This Row],[unqid]])=0,"",COUNTIF('Quipt Prod Data'!L:L,Data[[#This Row],[unqid]]))</f>
        <v/>
      </c>
    </row>
    <row r="794" spans="1:6" x14ac:dyDescent="0.3">
      <c r="A794" t="s">
        <v>1008</v>
      </c>
      <c r="B794" t="s">
        <v>41</v>
      </c>
      <c r="C794" t="s">
        <v>44</v>
      </c>
      <c r="D794" s="1" t="str">
        <f>_xlfn.IFNA(_xlfn.XLOOKUP(Data[[#This Row],[unqid]],'Quipt Prod Data'!L:L,'Quipt Prod Data'!B:B),"")</f>
        <v/>
      </c>
      <c r="E794" s="1" t="str">
        <f>_xlfn.IFNA(_xlfn.XMATCH(Data[[#This Row],[unqid]],'Quipt Prod Data'!L:L,0),"")</f>
        <v/>
      </c>
      <c r="F794" s="1" t="str">
        <f>IF(COUNTIF('Quipt Prod Data'!L:L,Data[[#This Row],[unqid]])=0,"",COUNTIF('Quipt Prod Data'!L:L,Data[[#This Row],[unqid]]))</f>
        <v/>
      </c>
    </row>
    <row r="795" spans="1:6" x14ac:dyDescent="0.3">
      <c r="A795" t="s">
        <v>1009</v>
      </c>
      <c r="B795" t="s">
        <v>41</v>
      </c>
      <c r="C795" t="s">
        <v>27</v>
      </c>
      <c r="D795" s="1" t="str">
        <f>_xlfn.IFNA(_xlfn.XLOOKUP(Data[[#This Row],[unqid]],'Quipt Prod Data'!L:L,'Quipt Prod Data'!B:B),"")</f>
        <v/>
      </c>
      <c r="E795" s="1" t="str">
        <f>_xlfn.IFNA(_xlfn.XMATCH(Data[[#This Row],[unqid]],'Quipt Prod Data'!L:L,0),"")</f>
        <v/>
      </c>
      <c r="F795" s="1" t="str">
        <f>IF(COUNTIF('Quipt Prod Data'!L:L,Data[[#This Row],[unqid]])=0,"",COUNTIF('Quipt Prod Data'!L:L,Data[[#This Row],[unqid]]))</f>
        <v/>
      </c>
    </row>
    <row r="796" spans="1:6" x14ac:dyDescent="0.3">
      <c r="A796" t="s">
        <v>1010</v>
      </c>
      <c r="B796" t="s">
        <v>41</v>
      </c>
      <c r="C796" t="s">
        <v>54</v>
      </c>
      <c r="D796" s="1" t="str">
        <f>_xlfn.IFNA(_xlfn.XLOOKUP(Data[[#This Row],[unqid]],'Quipt Prod Data'!L:L,'Quipt Prod Data'!B:B),"")</f>
        <v/>
      </c>
      <c r="E796" s="1" t="str">
        <f>_xlfn.IFNA(_xlfn.XMATCH(Data[[#This Row],[unqid]],'Quipt Prod Data'!L:L,0),"")</f>
        <v/>
      </c>
      <c r="F796" s="1" t="str">
        <f>IF(COUNTIF('Quipt Prod Data'!L:L,Data[[#This Row],[unqid]])=0,"",COUNTIF('Quipt Prod Data'!L:L,Data[[#This Row],[unqid]]))</f>
        <v/>
      </c>
    </row>
    <row r="797" spans="1:6" x14ac:dyDescent="0.3">
      <c r="A797" t="s">
        <v>1011</v>
      </c>
      <c r="B797" t="s">
        <v>41</v>
      </c>
      <c r="C797" t="s">
        <v>54</v>
      </c>
      <c r="D797" s="1" t="str">
        <f>_xlfn.IFNA(_xlfn.XLOOKUP(Data[[#This Row],[unqid]],'Quipt Prod Data'!L:L,'Quipt Prod Data'!B:B),"")</f>
        <v/>
      </c>
      <c r="E797" s="1" t="str">
        <f>_xlfn.IFNA(_xlfn.XMATCH(Data[[#This Row],[unqid]],'Quipt Prod Data'!L:L,0),"")</f>
        <v/>
      </c>
      <c r="F797" s="1" t="str">
        <f>IF(COUNTIF('Quipt Prod Data'!L:L,Data[[#This Row],[unqid]])=0,"",COUNTIF('Quipt Prod Data'!L:L,Data[[#This Row],[unqid]]))</f>
        <v/>
      </c>
    </row>
    <row r="798" spans="1:6" x14ac:dyDescent="0.3">
      <c r="A798" t="s">
        <v>1012</v>
      </c>
      <c r="B798" t="s">
        <v>33</v>
      </c>
      <c r="C798" t="s">
        <v>27</v>
      </c>
      <c r="D798" s="1" t="str">
        <f>_xlfn.IFNA(_xlfn.XLOOKUP(Data[[#This Row],[unqid]],'Quipt Prod Data'!L:L,'Quipt Prod Data'!B:B),"")</f>
        <v/>
      </c>
      <c r="E798" s="1" t="str">
        <f>_xlfn.IFNA(_xlfn.XMATCH(Data[[#This Row],[unqid]],'Quipt Prod Data'!L:L,0),"")</f>
        <v/>
      </c>
      <c r="F798" s="1" t="str">
        <f>IF(COUNTIF('Quipt Prod Data'!L:L,Data[[#This Row],[unqid]])=0,"",COUNTIF('Quipt Prod Data'!L:L,Data[[#This Row],[unqid]]))</f>
        <v/>
      </c>
    </row>
    <row r="799" spans="1:6" x14ac:dyDescent="0.3">
      <c r="A799" t="s">
        <v>1013</v>
      </c>
      <c r="B799" t="s">
        <v>33</v>
      </c>
      <c r="C799" t="s">
        <v>44</v>
      </c>
      <c r="D799" s="1" t="str">
        <f>_xlfn.IFNA(_xlfn.XLOOKUP(Data[[#This Row],[unqid]],'Quipt Prod Data'!L:L,'Quipt Prod Data'!B:B),"")</f>
        <v/>
      </c>
      <c r="E799" s="1" t="str">
        <f>_xlfn.IFNA(_xlfn.XMATCH(Data[[#This Row],[unqid]],'Quipt Prod Data'!L:L,0),"")</f>
        <v/>
      </c>
      <c r="F799" s="1" t="str">
        <f>IF(COUNTIF('Quipt Prod Data'!L:L,Data[[#This Row],[unqid]])=0,"",COUNTIF('Quipt Prod Data'!L:L,Data[[#This Row],[unqid]]))</f>
        <v/>
      </c>
    </row>
    <row r="800" spans="1:6" x14ac:dyDescent="0.3">
      <c r="A800" t="s">
        <v>1014</v>
      </c>
      <c r="B800" t="s">
        <v>41</v>
      </c>
      <c r="C800" t="s">
        <v>54</v>
      </c>
      <c r="D800" s="1" t="str">
        <f>_xlfn.IFNA(_xlfn.XLOOKUP(Data[[#This Row],[unqid]],'Quipt Prod Data'!L:L,'Quipt Prod Data'!B:B),"")</f>
        <v/>
      </c>
      <c r="E800" s="1" t="str">
        <f>_xlfn.IFNA(_xlfn.XMATCH(Data[[#This Row],[unqid]],'Quipt Prod Data'!L:L,0),"")</f>
        <v/>
      </c>
      <c r="F800" s="1" t="str">
        <f>IF(COUNTIF('Quipt Prod Data'!L:L,Data[[#This Row],[unqid]])=0,"",COUNTIF('Quipt Prod Data'!L:L,Data[[#This Row],[unqid]]))</f>
        <v/>
      </c>
    </row>
    <row r="801" spans="1:6" x14ac:dyDescent="0.3">
      <c r="A801" t="s">
        <v>1015</v>
      </c>
      <c r="B801" t="s">
        <v>41</v>
      </c>
      <c r="C801" t="s">
        <v>43</v>
      </c>
      <c r="D801" s="1" t="str">
        <f>_xlfn.IFNA(_xlfn.XLOOKUP(Data[[#This Row],[unqid]],'Quipt Prod Data'!L:L,'Quipt Prod Data'!B:B),"")</f>
        <v/>
      </c>
      <c r="E801" s="1" t="str">
        <f>_xlfn.IFNA(_xlfn.XMATCH(Data[[#This Row],[unqid]],'Quipt Prod Data'!L:L,0),"")</f>
        <v/>
      </c>
      <c r="F801" s="1" t="str">
        <f>IF(COUNTIF('Quipt Prod Data'!L:L,Data[[#This Row],[unqid]])=0,"",COUNTIF('Quipt Prod Data'!L:L,Data[[#This Row],[unqid]]))</f>
        <v/>
      </c>
    </row>
    <row r="802" spans="1:6" x14ac:dyDescent="0.3">
      <c r="A802" t="s">
        <v>1016</v>
      </c>
      <c r="B802" t="s">
        <v>41</v>
      </c>
      <c r="C802" t="s">
        <v>53</v>
      </c>
      <c r="D802" s="1" t="str">
        <f>_xlfn.IFNA(_xlfn.XLOOKUP(Data[[#This Row],[unqid]],'Quipt Prod Data'!L:L,'Quipt Prod Data'!B:B),"")</f>
        <v/>
      </c>
      <c r="E802" s="1" t="str">
        <f>_xlfn.IFNA(_xlfn.XMATCH(Data[[#This Row],[unqid]],'Quipt Prod Data'!L:L,0),"")</f>
        <v/>
      </c>
      <c r="F802" s="1" t="str">
        <f>IF(COUNTIF('Quipt Prod Data'!L:L,Data[[#This Row],[unqid]])=0,"",COUNTIF('Quipt Prod Data'!L:L,Data[[#This Row],[unqid]]))</f>
        <v/>
      </c>
    </row>
    <row r="803" spans="1:6" x14ac:dyDescent="0.3">
      <c r="A803" t="s">
        <v>1017</v>
      </c>
      <c r="B803" t="s">
        <v>41</v>
      </c>
      <c r="C803" t="s">
        <v>44</v>
      </c>
      <c r="D803" s="1" t="str">
        <f>_xlfn.IFNA(_xlfn.XLOOKUP(Data[[#This Row],[unqid]],'Quipt Prod Data'!L:L,'Quipt Prod Data'!B:B),"")</f>
        <v/>
      </c>
      <c r="E803" s="1" t="str">
        <f>_xlfn.IFNA(_xlfn.XMATCH(Data[[#This Row],[unqid]],'Quipt Prod Data'!L:L,0),"")</f>
        <v/>
      </c>
      <c r="F803" s="1" t="str">
        <f>IF(COUNTIF('Quipt Prod Data'!L:L,Data[[#This Row],[unqid]])=0,"",COUNTIF('Quipt Prod Data'!L:L,Data[[#This Row],[unqid]]))</f>
        <v/>
      </c>
    </row>
    <row r="804" spans="1:6" x14ac:dyDescent="0.3">
      <c r="A804" t="s">
        <v>1018</v>
      </c>
      <c r="B804" t="s">
        <v>41</v>
      </c>
      <c r="C804" t="s">
        <v>54</v>
      </c>
      <c r="D804" s="1" t="str">
        <f>_xlfn.IFNA(_xlfn.XLOOKUP(Data[[#This Row],[unqid]],'Quipt Prod Data'!L:L,'Quipt Prod Data'!B:B),"")</f>
        <v/>
      </c>
      <c r="E804" s="1" t="str">
        <f>_xlfn.IFNA(_xlfn.XMATCH(Data[[#This Row],[unqid]],'Quipt Prod Data'!L:L,0),"")</f>
        <v/>
      </c>
      <c r="F804" s="1" t="str">
        <f>IF(COUNTIF('Quipt Prod Data'!L:L,Data[[#This Row],[unqid]])=0,"",COUNTIF('Quipt Prod Data'!L:L,Data[[#This Row],[unqid]]))</f>
        <v/>
      </c>
    </row>
    <row r="805" spans="1:6" x14ac:dyDescent="0.3">
      <c r="A805" t="s">
        <v>1019</v>
      </c>
      <c r="B805" t="s">
        <v>41</v>
      </c>
      <c r="C805" t="s">
        <v>54</v>
      </c>
      <c r="D805" s="1" t="str">
        <f>_xlfn.IFNA(_xlfn.XLOOKUP(Data[[#This Row],[unqid]],'Quipt Prod Data'!L:L,'Quipt Prod Data'!B:B),"")</f>
        <v/>
      </c>
      <c r="E805" s="1" t="str">
        <f>_xlfn.IFNA(_xlfn.XMATCH(Data[[#This Row],[unqid]],'Quipt Prod Data'!L:L,0),"")</f>
        <v/>
      </c>
      <c r="F805" s="1" t="str">
        <f>IF(COUNTIF('Quipt Prod Data'!L:L,Data[[#This Row],[unqid]])=0,"",COUNTIF('Quipt Prod Data'!L:L,Data[[#This Row],[unqid]]))</f>
        <v/>
      </c>
    </row>
    <row r="806" spans="1:6" x14ac:dyDescent="0.3">
      <c r="A806" t="s">
        <v>1020</v>
      </c>
      <c r="B806" t="s">
        <v>41</v>
      </c>
      <c r="C806" t="s">
        <v>44</v>
      </c>
      <c r="D806" s="1" t="str">
        <f>_xlfn.IFNA(_xlfn.XLOOKUP(Data[[#This Row],[unqid]],'Quipt Prod Data'!L:L,'Quipt Prod Data'!B:B),"")</f>
        <v/>
      </c>
      <c r="E806" s="1" t="str">
        <f>_xlfn.IFNA(_xlfn.XMATCH(Data[[#This Row],[unqid]],'Quipt Prod Data'!L:L,0),"")</f>
        <v/>
      </c>
      <c r="F806" s="1" t="str">
        <f>IF(COUNTIF('Quipt Prod Data'!L:L,Data[[#This Row],[unqid]])=0,"",COUNTIF('Quipt Prod Data'!L:L,Data[[#This Row],[unqid]]))</f>
        <v/>
      </c>
    </row>
    <row r="807" spans="1:6" x14ac:dyDescent="0.3">
      <c r="A807" t="s">
        <v>1021</v>
      </c>
      <c r="B807" t="s">
        <v>41</v>
      </c>
      <c r="C807" t="s">
        <v>54</v>
      </c>
      <c r="D807" s="1" t="str">
        <f>_xlfn.IFNA(_xlfn.XLOOKUP(Data[[#This Row],[unqid]],'Quipt Prod Data'!L:L,'Quipt Prod Data'!B:B),"")</f>
        <v/>
      </c>
      <c r="E807" s="1" t="str">
        <f>_xlfn.IFNA(_xlfn.XMATCH(Data[[#This Row],[unqid]],'Quipt Prod Data'!L:L,0),"")</f>
        <v/>
      </c>
      <c r="F807" s="1" t="str">
        <f>IF(COUNTIF('Quipt Prod Data'!L:L,Data[[#This Row],[unqid]])=0,"",COUNTIF('Quipt Prod Data'!L:L,Data[[#This Row],[unqid]]))</f>
        <v/>
      </c>
    </row>
    <row r="808" spans="1:6" x14ac:dyDescent="0.3">
      <c r="A808" t="s">
        <v>1022</v>
      </c>
      <c r="B808" t="s">
        <v>41</v>
      </c>
      <c r="C808" t="s">
        <v>54</v>
      </c>
      <c r="D808" s="1" t="str">
        <f>_xlfn.IFNA(_xlfn.XLOOKUP(Data[[#This Row],[unqid]],'Quipt Prod Data'!L:L,'Quipt Prod Data'!B:B),"")</f>
        <v/>
      </c>
      <c r="E808" s="1" t="str">
        <f>_xlfn.IFNA(_xlfn.XMATCH(Data[[#This Row],[unqid]],'Quipt Prod Data'!L:L,0),"")</f>
        <v/>
      </c>
      <c r="F808" s="1" t="str">
        <f>IF(COUNTIF('Quipt Prod Data'!L:L,Data[[#This Row],[unqid]])=0,"",COUNTIF('Quipt Prod Data'!L:L,Data[[#This Row],[unqid]]))</f>
        <v/>
      </c>
    </row>
    <row r="809" spans="1:6" x14ac:dyDescent="0.3">
      <c r="A809" t="s">
        <v>1023</v>
      </c>
      <c r="B809" t="s">
        <v>41</v>
      </c>
      <c r="C809" t="s">
        <v>54</v>
      </c>
      <c r="D809" s="1" t="str">
        <f>_xlfn.IFNA(_xlfn.XLOOKUP(Data[[#This Row],[unqid]],'Quipt Prod Data'!L:L,'Quipt Prod Data'!B:B),"")</f>
        <v/>
      </c>
      <c r="E809" s="1" t="str">
        <f>_xlfn.IFNA(_xlfn.XMATCH(Data[[#This Row],[unqid]],'Quipt Prod Data'!L:L,0),"")</f>
        <v/>
      </c>
      <c r="F809" s="1" t="str">
        <f>IF(COUNTIF('Quipt Prod Data'!L:L,Data[[#This Row],[unqid]])=0,"",COUNTIF('Quipt Prod Data'!L:L,Data[[#This Row],[unqid]]))</f>
        <v/>
      </c>
    </row>
    <row r="810" spans="1:6" x14ac:dyDescent="0.3">
      <c r="A810" t="s">
        <v>1024</v>
      </c>
      <c r="B810" t="s">
        <v>41</v>
      </c>
      <c r="C810" t="s">
        <v>53</v>
      </c>
      <c r="D810" s="1" t="str">
        <f>_xlfn.IFNA(_xlfn.XLOOKUP(Data[[#This Row],[unqid]],'Quipt Prod Data'!L:L,'Quipt Prod Data'!B:B),"")</f>
        <v/>
      </c>
      <c r="E810" s="1" t="str">
        <f>_xlfn.IFNA(_xlfn.XMATCH(Data[[#This Row],[unqid]],'Quipt Prod Data'!L:L,0),"")</f>
        <v/>
      </c>
      <c r="F810" s="1" t="str">
        <f>IF(COUNTIF('Quipt Prod Data'!L:L,Data[[#This Row],[unqid]])=0,"",COUNTIF('Quipt Prod Data'!L:L,Data[[#This Row],[unqid]]))</f>
        <v/>
      </c>
    </row>
    <row r="811" spans="1:6" x14ac:dyDescent="0.3">
      <c r="A811" t="s">
        <v>1025</v>
      </c>
      <c r="B811" t="s">
        <v>41</v>
      </c>
      <c r="C811" t="s">
        <v>44</v>
      </c>
      <c r="D811" s="1" t="str">
        <f>_xlfn.IFNA(_xlfn.XLOOKUP(Data[[#This Row],[unqid]],'Quipt Prod Data'!L:L,'Quipt Prod Data'!B:B),"")</f>
        <v/>
      </c>
      <c r="E811" s="1" t="str">
        <f>_xlfn.IFNA(_xlfn.XMATCH(Data[[#This Row],[unqid]],'Quipt Prod Data'!L:L,0),"")</f>
        <v/>
      </c>
      <c r="F811" s="1" t="str">
        <f>IF(COUNTIF('Quipt Prod Data'!L:L,Data[[#This Row],[unqid]])=0,"",COUNTIF('Quipt Prod Data'!L:L,Data[[#This Row],[unqid]]))</f>
        <v/>
      </c>
    </row>
    <row r="812" spans="1:6" x14ac:dyDescent="0.3">
      <c r="A812" t="s">
        <v>1026</v>
      </c>
      <c r="B812" t="s">
        <v>50</v>
      </c>
      <c r="C812" t="s">
        <v>44</v>
      </c>
      <c r="D812" s="1" t="str">
        <f>_xlfn.IFNA(_xlfn.XLOOKUP(Data[[#This Row],[unqid]],'Quipt Prod Data'!L:L,'Quipt Prod Data'!B:B),"")</f>
        <v/>
      </c>
      <c r="E812" s="1" t="str">
        <f>_xlfn.IFNA(_xlfn.XMATCH(Data[[#This Row],[unqid]],'Quipt Prod Data'!L:L,0),"")</f>
        <v/>
      </c>
      <c r="F812" s="1" t="str">
        <f>IF(COUNTIF('Quipt Prod Data'!L:L,Data[[#This Row],[unqid]])=0,"",COUNTIF('Quipt Prod Data'!L:L,Data[[#This Row],[unqid]]))</f>
        <v/>
      </c>
    </row>
    <row r="813" spans="1:6" x14ac:dyDescent="0.3">
      <c r="A813" t="s">
        <v>1027</v>
      </c>
      <c r="B813" t="s">
        <v>51</v>
      </c>
      <c r="C813" t="s">
        <v>45</v>
      </c>
      <c r="D813" s="1" t="str">
        <f>_xlfn.IFNA(_xlfn.XLOOKUP(Data[[#This Row],[unqid]],'Quipt Prod Data'!L:L,'Quipt Prod Data'!B:B),"")</f>
        <v/>
      </c>
      <c r="E813" s="1" t="str">
        <f>_xlfn.IFNA(_xlfn.XMATCH(Data[[#This Row],[unqid]],'Quipt Prod Data'!L:L,0),"")</f>
        <v/>
      </c>
      <c r="F813" s="1" t="str">
        <f>IF(COUNTIF('Quipt Prod Data'!L:L,Data[[#This Row],[unqid]])=0,"",COUNTIF('Quipt Prod Data'!L:L,Data[[#This Row],[unqid]]))</f>
        <v/>
      </c>
    </row>
    <row r="814" spans="1:6" x14ac:dyDescent="0.3">
      <c r="A814" t="s">
        <v>1028</v>
      </c>
      <c r="B814" t="s">
        <v>41</v>
      </c>
      <c r="C814" t="s">
        <v>54</v>
      </c>
      <c r="D814" s="1" t="str">
        <f>_xlfn.IFNA(_xlfn.XLOOKUP(Data[[#This Row],[unqid]],'Quipt Prod Data'!L:L,'Quipt Prod Data'!B:B),"")</f>
        <v/>
      </c>
      <c r="E814" s="1" t="str">
        <f>_xlfn.IFNA(_xlfn.XMATCH(Data[[#This Row],[unqid]],'Quipt Prod Data'!L:L,0),"")</f>
        <v/>
      </c>
      <c r="F814" s="1" t="str">
        <f>IF(COUNTIF('Quipt Prod Data'!L:L,Data[[#This Row],[unqid]])=0,"",COUNTIF('Quipt Prod Data'!L:L,Data[[#This Row],[unqid]]))</f>
        <v/>
      </c>
    </row>
    <row r="815" spans="1:6" x14ac:dyDescent="0.3">
      <c r="A815" t="s">
        <v>1029</v>
      </c>
      <c r="B815" t="s">
        <v>57</v>
      </c>
      <c r="C815" t="s">
        <v>44</v>
      </c>
      <c r="D815" s="1" t="str">
        <f>_xlfn.IFNA(_xlfn.XLOOKUP(Data[[#This Row],[unqid]],'Quipt Prod Data'!L:L,'Quipt Prod Data'!B:B),"")</f>
        <v/>
      </c>
      <c r="E815" s="1" t="str">
        <f>_xlfn.IFNA(_xlfn.XMATCH(Data[[#This Row],[unqid]],'Quipt Prod Data'!L:L,0),"")</f>
        <v/>
      </c>
      <c r="F815" s="1" t="str">
        <f>IF(COUNTIF('Quipt Prod Data'!L:L,Data[[#This Row],[unqid]])=0,"",COUNTIF('Quipt Prod Data'!L:L,Data[[#This Row],[unqid]]))</f>
        <v/>
      </c>
    </row>
    <row r="816" spans="1:6" x14ac:dyDescent="0.3">
      <c r="A816" t="s">
        <v>1030</v>
      </c>
      <c r="B816" t="s">
        <v>32</v>
      </c>
      <c r="C816" t="s">
        <v>27</v>
      </c>
      <c r="D816" s="1" t="str">
        <f>_xlfn.IFNA(_xlfn.XLOOKUP(Data[[#This Row],[unqid]],'Quipt Prod Data'!L:L,'Quipt Prod Data'!B:B),"")</f>
        <v/>
      </c>
      <c r="E816" s="1" t="str">
        <f>_xlfn.IFNA(_xlfn.XMATCH(Data[[#This Row],[unqid]],'Quipt Prod Data'!L:L,0),"")</f>
        <v/>
      </c>
      <c r="F816" s="1" t="str">
        <f>IF(COUNTIF('Quipt Prod Data'!L:L,Data[[#This Row],[unqid]])=0,"",COUNTIF('Quipt Prod Data'!L:L,Data[[#This Row],[unqid]]))</f>
        <v/>
      </c>
    </row>
    <row r="817" spans="1:6" x14ac:dyDescent="0.3">
      <c r="A817" t="s">
        <v>1031</v>
      </c>
      <c r="B817" t="s">
        <v>38</v>
      </c>
      <c r="C817" t="s">
        <v>27</v>
      </c>
      <c r="D817" s="1" t="str">
        <f>_xlfn.IFNA(_xlfn.XLOOKUP(Data[[#This Row],[unqid]],'Quipt Prod Data'!L:L,'Quipt Prod Data'!B:B),"")</f>
        <v/>
      </c>
      <c r="E817" s="1" t="str">
        <f>_xlfn.IFNA(_xlfn.XMATCH(Data[[#This Row],[unqid]],'Quipt Prod Data'!L:L,0),"")</f>
        <v/>
      </c>
      <c r="F817" s="1" t="str">
        <f>IF(COUNTIF('Quipt Prod Data'!L:L,Data[[#This Row],[unqid]])=0,"",COUNTIF('Quipt Prod Data'!L:L,Data[[#This Row],[unqid]]))</f>
        <v/>
      </c>
    </row>
    <row r="818" spans="1:6" x14ac:dyDescent="0.3">
      <c r="A818" t="s">
        <v>1032</v>
      </c>
      <c r="B818" t="s">
        <v>49</v>
      </c>
      <c r="C818" t="s">
        <v>46</v>
      </c>
      <c r="D818" s="1" t="str">
        <f>_xlfn.IFNA(_xlfn.XLOOKUP(Data[[#This Row],[unqid]],'Quipt Prod Data'!L:L,'Quipt Prod Data'!B:B),"")</f>
        <v/>
      </c>
      <c r="E818" s="1" t="str">
        <f>_xlfn.IFNA(_xlfn.XMATCH(Data[[#This Row],[unqid]],'Quipt Prod Data'!L:L,0),"")</f>
        <v/>
      </c>
      <c r="F818" s="1" t="str">
        <f>IF(COUNTIF('Quipt Prod Data'!L:L,Data[[#This Row],[unqid]])=0,"",COUNTIF('Quipt Prod Data'!L:L,Data[[#This Row],[unqid]]))</f>
        <v/>
      </c>
    </row>
    <row r="819" spans="1:6" x14ac:dyDescent="0.3">
      <c r="A819" t="s">
        <v>1033</v>
      </c>
      <c r="B819" t="s">
        <v>41</v>
      </c>
      <c r="C819" t="s">
        <v>54</v>
      </c>
      <c r="D819" s="1" t="str">
        <f>_xlfn.IFNA(_xlfn.XLOOKUP(Data[[#This Row],[unqid]],'Quipt Prod Data'!L:L,'Quipt Prod Data'!B:B),"")</f>
        <v/>
      </c>
      <c r="E819" s="1" t="str">
        <f>_xlfn.IFNA(_xlfn.XMATCH(Data[[#This Row],[unqid]],'Quipt Prod Data'!L:L,0),"")</f>
        <v/>
      </c>
      <c r="F819" s="1" t="str">
        <f>IF(COUNTIF('Quipt Prod Data'!L:L,Data[[#This Row],[unqid]])=0,"",COUNTIF('Quipt Prod Data'!L:L,Data[[#This Row],[unqid]]))</f>
        <v/>
      </c>
    </row>
    <row r="820" spans="1:6" x14ac:dyDescent="0.3">
      <c r="A820" t="s">
        <v>1034</v>
      </c>
      <c r="B820" t="s">
        <v>34</v>
      </c>
      <c r="C820" t="s">
        <v>43</v>
      </c>
      <c r="D820" s="1" t="str">
        <f>_xlfn.IFNA(_xlfn.XLOOKUP(Data[[#This Row],[unqid]],'Quipt Prod Data'!L:L,'Quipt Prod Data'!B:B),"")</f>
        <v/>
      </c>
      <c r="E820" s="1" t="str">
        <f>_xlfn.IFNA(_xlfn.XMATCH(Data[[#This Row],[unqid]],'Quipt Prod Data'!L:L,0),"")</f>
        <v/>
      </c>
      <c r="F820" s="1" t="str">
        <f>IF(COUNTIF('Quipt Prod Data'!L:L,Data[[#This Row],[unqid]])=0,"",COUNTIF('Quipt Prod Data'!L:L,Data[[#This Row],[unqid]]))</f>
        <v/>
      </c>
    </row>
    <row r="821" spans="1:6" x14ac:dyDescent="0.3">
      <c r="A821" t="s">
        <v>1035</v>
      </c>
      <c r="B821" t="s">
        <v>41</v>
      </c>
      <c r="C821" t="s">
        <v>43</v>
      </c>
      <c r="D821" s="1" t="str">
        <f>_xlfn.IFNA(_xlfn.XLOOKUP(Data[[#This Row],[unqid]],'Quipt Prod Data'!L:L,'Quipt Prod Data'!B:B),"")</f>
        <v/>
      </c>
      <c r="E821" s="1" t="str">
        <f>_xlfn.IFNA(_xlfn.XMATCH(Data[[#This Row],[unqid]],'Quipt Prod Data'!L:L,0),"")</f>
        <v/>
      </c>
      <c r="F821" s="1" t="str">
        <f>IF(COUNTIF('Quipt Prod Data'!L:L,Data[[#This Row],[unqid]])=0,"",COUNTIF('Quipt Prod Data'!L:L,Data[[#This Row],[unqid]]))</f>
        <v/>
      </c>
    </row>
    <row r="822" spans="1:6" x14ac:dyDescent="0.3">
      <c r="A822" t="s">
        <v>1036</v>
      </c>
      <c r="B822" t="s">
        <v>33</v>
      </c>
      <c r="C822" t="s">
        <v>43</v>
      </c>
      <c r="D822" s="1" t="str">
        <f>_xlfn.IFNA(_xlfn.XLOOKUP(Data[[#This Row],[unqid]],'Quipt Prod Data'!L:L,'Quipt Prod Data'!B:B),"")</f>
        <v/>
      </c>
      <c r="E822" s="1" t="str">
        <f>_xlfn.IFNA(_xlfn.XMATCH(Data[[#This Row],[unqid]],'Quipt Prod Data'!L:L,0),"")</f>
        <v/>
      </c>
      <c r="F822" s="1" t="str">
        <f>IF(COUNTIF('Quipt Prod Data'!L:L,Data[[#This Row],[unqid]])=0,"",COUNTIF('Quipt Prod Data'!L:L,Data[[#This Row],[unqid]]))</f>
        <v/>
      </c>
    </row>
    <row r="823" spans="1:6" x14ac:dyDescent="0.3">
      <c r="A823" t="s">
        <v>1037</v>
      </c>
      <c r="B823" t="s">
        <v>41</v>
      </c>
      <c r="C823" t="s">
        <v>54</v>
      </c>
      <c r="D823" s="1" t="str">
        <f>_xlfn.IFNA(_xlfn.XLOOKUP(Data[[#This Row],[unqid]],'Quipt Prod Data'!L:L,'Quipt Prod Data'!B:B),"")</f>
        <v/>
      </c>
      <c r="E823" s="1" t="str">
        <f>_xlfn.IFNA(_xlfn.XMATCH(Data[[#This Row],[unqid]],'Quipt Prod Data'!L:L,0),"")</f>
        <v/>
      </c>
      <c r="F823" s="1" t="str">
        <f>IF(COUNTIF('Quipt Prod Data'!L:L,Data[[#This Row],[unqid]])=0,"",COUNTIF('Quipt Prod Data'!L:L,Data[[#This Row],[unqid]]))</f>
        <v/>
      </c>
    </row>
    <row r="824" spans="1:6" x14ac:dyDescent="0.3">
      <c r="A824" t="s">
        <v>1038</v>
      </c>
      <c r="B824" t="s">
        <v>41</v>
      </c>
      <c r="C824" t="s">
        <v>53</v>
      </c>
      <c r="D824" s="1" t="str">
        <f>_xlfn.IFNA(_xlfn.XLOOKUP(Data[[#This Row],[unqid]],'Quipt Prod Data'!L:L,'Quipt Prod Data'!B:B),"")</f>
        <v/>
      </c>
      <c r="E824" s="1" t="str">
        <f>_xlfn.IFNA(_xlfn.XMATCH(Data[[#This Row],[unqid]],'Quipt Prod Data'!L:L,0),"")</f>
        <v/>
      </c>
      <c r="F824" s="1" t="str">
        <f>IF(COUNTIF('Quipt Prod Data'!L:L,Data[[#This Row],[unqid]])=0,"",COUNTIF('Quipt Prod Data'!L:L,Data[[#This Row],[unqid]]))</f>
        <v/>
      </c>
    </row>
    <row r="825" spans="1:6" x14ac:dyDescent="0.3">
      <c r="A825" t="s">
        <v>1039</v>
      </c>
      <c r="B825" t="s">
        <v>41</v>
      </c>
      <c r="C825" t="s">
        <v>54</v>
      </c>
      <c r="D825" s="1" t="str">
        <f>_xlfn.IFNA(_xlfn.XLOOKUP(Data[[#This Row],[unqid]],'Quipt Prod Data'!L:L,'Quipt Prod Data'!B:B),"")</f>
        <v/>
      </c>
      <c r="E825" s="1" t="str">
        <f>_xlfn.IFNA(_xlfn.XMATCH(Data[[#This Row],[unqid]],'Quipt Prod Data'!L:L,0),"")</f>
        <v/>
      </c>
      <c r="F825" s="1" t="str">
        <f>IF(COUNTIF('Quipt Prod Data'!L:L,Data[[#This Row],[unqid]])=0,"",COUNTIF('Quipt Prod Data'!L:L,Data[[#This Row],[unqid]]))</f>
        <v/>
      </c>
    </row>
    <row r="826" spans="1:6" x14ac:dyDescent="0.3">
      <c r="A826" t="s">
        <v>1040</v>
      </c>
      <c r="B826" t="s">
        <v>41</v>
      </c>
      <c r="C826" t="s">
        <v>53</v>
      </c>
      <c r="D826" s="1" t="str">
        <f>_xlfn.IFNA(_xlfn.XLOOKUP(Data[[#This Row],[unqid]],'Quipt Prod Data'!L:L,'Quipt Prod Data'!B:B),"")</f>
        <v/>
      </c>
      <c r="E826" s="1" t="str">
        <f>_xlfn.IFNA(_xlfn.XMATCH(Data[[#This Row],[unqid]],'Quipt Prod Data'!L:L,0),"")</f>
        <v/>
      </c>
      <c r="F826" s="1" t="str">
        <f>IF(COUNTIF('Quipt Prod Data'!L:L,Data[[#This Row],[unqid]])=0,"",COUNTIF('Quipt Prod Data'!L:L,Data[[#This Row],[unqid]]))</f>
        <v/>
      </c>
    </row>
    <row r="827" spans="1:6" x14ac:dyDescent="0.3">
      <c r="A827" t="s">
        <v>1041</v>
      </c>
      <c r="B827" t="s">
        <v>41</v>
      </c>
      <c r="C827" t="s">
        <v>54</v>
      </c>
      <c r="D827" s="1" t="str">
        <f>_xlfn.IFNA(_xlfn.XLOOKUP(Data[[#This Row],[unqid]],'Quipt Prod Data'!L:L,'Quipt Prod Data'!B:B),"")</f>
        <v/>
      </c>
      <c r="E827" s="1" t="str">
        <f>_xlfn.IFNA(_xlfn.XMATCH(Data[[#This Row],[unqid]],'Quipt Prod Data'!L:L,0),"")</f>
        <v/>
      </c>
      <c r="F827" s="1" t="str">
        <f>IF(COUNTIF('Quipt Prod Data'!L:L,Data[[#This Row],[unqid]])=0,"",COUNTIF('Quipt Prod Data'!L:L,Data[[#This Row],[unqid]]))</f>
        <v/>
      </c>
    </row>
    <row r="828" spans="1:6" x14ac:dyDescent="0.3">
      <c r="A828" t="s">
        <v>1042</v>
      </c>
      <c r="B828" t="s">
        <v>41</v>
      </c>
      <c r="C828" t="s">
        <v>54</v>
      </c>
      <c r="D828" s="1" t="str">
        <f>_xlfn.IFNA(_xlfn.XLOOKUP(Data[[#This Row],[unqid]],'Quipt Prod Data'!L:L,'Quipt Prod Data'!B:B),"")</f>
        <v/>
      </c>
      <c r="E828" s="1" t="str">
        <f>_xlfn.IFNA(_xlfn.XMATCH(Data[[#This Row],[unqid]],'Quipt Prod Data'!L:L,0),"")</f>
        <v/>
      </c>
      <c r="F828" s="1" t="str">
        <f>IF(COUNTIF('Quipt Prod Data'!L:L,Data[[#This Row],[unqid]])=0,"",COUNTIF('Quipt Prod Data'!L:L,Data[[#This Row],[unqid]]))</f>
        <v/>
      </c>
    </row>
    <row r="829" spans="1:6" x14ac:dyDescent="0.3">
      <c r="A829" t="s">
        <v>1043</v>
      </c>
      <c r="B829" t="s">
        <v>50</v>
      </c>
      <c r="C829" t="s">
        <v>43</v>
      </c>
      <c r="D829" s="1" t="str">
        <f>_xlfn.IFNA(_xlfn.XLOOKUP(Data[[#This Row],[unqid]],'Quipt Prod Data'!L:L,'Quipt Prod Data'!B:B),"")</f>
        <v/>
      </c>
      <c r="E829" s="1" t="str">
        <f>_xlfn.IFNA(_xlfn.XMATCH(Data[[#This Row],[unqid]],'Quipt Prod Data'!L:L,0),"")</f>
        <v/>
      </c>
      <c r="F829" s="1" t="str">
        <f>IF(COUNTIF('Quipt Prod Data'!L:L,Data[[#This Row],[unqid]])=0,"",COUNTIF('Quipt Prod Data'!L:L,Data[[#This Row],[unqid]]))</f>
        <v/>
      </c>
    </row>
    <row r="830" spans="1:6" x14ac:dyDescent="0.3">
      <c r="A830" t="s">
        <v>1044</v>
      </c>
      <c r="B830" t="s">
        <v>41</v>
      </c>
      <c r="C830" t="s">
        <v>54</v>
      </c>
      <c r="D830" s="1" t="str">
        <f>_xlfn.IFNA(_xlfn.XLOOKUP(Data[[#This Row],[unqid]],'Quipt Prod Data'!L:L,'Quipt Prod Data'!B:B),"")</f>
        <v/>
      </c>
      <c r="E830" s="1" t="str">
        <f>_xlfn.IFNA(_xlfn.XMATCH(Data[[#This Row],[unqid]],'Quipt Prod Data'!L:L,0),"")</f>
        <v/>
      </c>
      <c r="F830" s="1" t="str">
        <f>IF(COUNTIF('Quipt Prod Data'!L:L,Data[[#This Row],[unqid]])=0,"",COUNTIF('Quipt Prod Data'!L:L,Data[[#This Row],[unqid]]))</f>
        <v/>
      </c>
    </row>
    <row r="831" spans="1:6" x14ac:dyDescent="0.3">
      <c r="A831" t="s">
        <v>1045</v>
      </c>
      <c r="B831" t="s">
        <v>41</v>
      </c>
      <c r="C831" t="s">
        <v>54</v>
      </c>
      <c r="D831" s="1" t="str">
        <f>_xlfn.IFNA(_xlfn.XLOOKUP(Data[[#This Row],[unqid]],'Quipt Prod Data'!L:L,'Quipt Prod Data'!B:B),"")</f>
        <v/>
      </c>
      <c r="E831" s="1" t="str">
        <f>_xlfn.IFNA(_xlfn.XMATCH(Data[[#This Row],[unqid]],'Quipt Prod Data'!L:L,0),"")</f>
        <v/>
      </c>
      <c r="F831" s="1" t="str">
        <f>IF(COUNTIF('Quipt Prod Data'!L:L,Data[[#This Row],[unqid]])=0,"",COUNTIF('Quipt Prod Data'!L:L,Data[[#This Row],[unqid]]))</f>
        <v/>
      </c>
    </row>
    <row r="832" spans="1:6" x14ac:dyDescent="0.3">
      <c r="A832" t="s">
        <v>1046</v>
      </c>
      <c r="B832" t="s">
        <v>41</v>
      </c>
      <c r="C832" t="s">
        <v>54</v>
      </c>
      <c r="D832" s="1" t="str">
        <f>_xlfn.IFNA(_xlfn.XLOOKUP(Data[[#This Row],[unqid]],'Quipt Prod Data'!L:L,'Quipt Prod Data'!B:B),"")</f>
        <v/>
      </c>
      <c r="E832" s="1" t="str">
        <f>_xlfn.IFNA(_xlfn.XMATCH(Data[[#This Row],[unqid]],'Quipt Prod Data'!L:L,0),"")</f>
        <v/>
      </c>
      <c r="F832" s="1" t="str">
        <f>IF(COUNTIF('Quipt Prod Data'!L:L,Data[[#This Row],[unqid]])=0,"",COUNTIF('Quipt Prod Data'!L:L,Data[[#This Row],[unqid]]))</f>
        <v/>
      </c>
    </row>
    <row r="833" spans="1:6" x14ac:dyDescent="0.3">
      <c r="A833" t="s">
        <v>1047</v>
      </c>
      <c r="B833" t="s">
        <v>41</v>
      </c>
      <c r="C833" t="s">
        <v>53</v>
      </c>
      <c r="D833" s="1" t="str">
        <f>_xlfn.IFNA(_xlfn.XLOOKUP(Data[[#This Row],[unqid]],'Quipt Prod Data'!L:L,'Quipt Prod Data'!B:B),"")</f>
        <v/>
      </c>
      <c r="E833" s="1" t="str">
        <f>_xlfn.IFNA(_xlfn.XMATCH(Data[[#This Row],[unqid]],'Quipt Prod Data'!L:L,0),"")</f>
        <v/>
      </c>
      <c r="F833" s="1" t="str">
        <f>IF(COUNTIF('Quipt Prod Data'!L:L,Data[[#This Row],[unqid]])=0,"",COUNTIF('Quipt Prod Data'!L:L,Data[[#This Row],[unqid]]))</f>
        <v/>
      </c>
    </row>
    <row r="834" spans="1:6" x14ac:dyDescent="0.3">
      <c r="A834" t="s">
        <v>1048</v>
      </c>
      <c r="B834" t="s">
        <v>29</v>
      </c>
      <c r="C834" t="s">
        <v>27</v>
      </c>
      <c r="D834" s="1" t="str">
        <f>_xlfn.IFNA(_xlfn.XLOOKUP(Data[[#This Row],[unqid]],'Quipt Prod Data'!L:L,'Quipt Prod Data'!B:B),"")</f>
        <v/>
      </c>
      <c r="E834" s="1" t="str">
        <f>_xlfn.IFNA(_xlfn.XMATCH(Data[[#This Row],[unqid]],'Quipt Prod Data'!L:L,0),"")</f>
        <v/>
      </c>
      <c r="F834" s="1" t="str">
        <f>IF(COUNTIF('Quipt Prod Data'!L:L,Data[[#This Row],[unqid]])=0,"",COUNTIF('Quipt Prod Data'!L:L,Data[[#This Row],[unqid]]))</f>
        <v/>
      </c>
    </row>
    <row r="835" spans="1:6" x14ac:dyDescent="0.3">
      <c r="A835" t="s">
        <v>1049</v>
      </c>
      <c r="B835" t="s">
        <v>41</v>
      </c>
      <c r="C835" t="s">
        <v>44</v>
      </c>
      <c r="D835" s="1" t="str">
        <f>_xlfn.IFNA(_xlfn.XLOOKUP(Data[[#This Row],[unqid]],'Quipt Prod Data'!L:L,'Quipt Prod Data'!B:B),"")</f>
        <v/>
      </c>
      <c r="E835" s="1" t="str">
        <f>_xlfn.IFNA(_xlfn.XMATCH(Data[[#This Row],[unqid]],'Quipt Prod Data'!L:L,0),"")</f>
        <v/>
      </c>
      <c r="F835" s="1" t="str">
        <f>IF(COUNTIF('Quipt Prod Data'!L:L,Data[[#This Row],[unqid]])=0,"",COUNTIF('Quipt Prod Data'!L:L,Data[[#This Row],[unqid]]))</f>
        <v/>
      </c>
    </row>
    <row r="836" spans="1:6" x14ac:dyDescent="0.3">
      <c r="A836" t="s">
        <v>1050</v>
      </c>
      <c r="B836" t="s">
        <v>50</v>
      </c>
      <c r="C836" t="s">
        <v>43</v>
      </c>
      <c r="D836" s="1" t="str">
        <f>_xlfn.IFNA(_xlfn.XLOOKUP(Data[[#This Row],[unqid]],'Quipt Prod Data'!L:L,'Quipt Prod Data'!B:B),"")</f>
        <v/>
      </c>
      <c r="E836" s="1" t="str">
        <f>_xlfn.IFNA(_xlfn.XMATCH(Data[[#This Row],[unqid]],'Quipt Prod Data'!L:L,0),"")</f>
        <v/>
      </c>
      <c r="F836" s="1" t="str">
        <f>IF(COUNTIF('Quipt Prod Data'!L:L,Data[[#This Row],[unqid]])=0,"",COUNTIF('Quipt Prod Data'!L:L,Data[[#This Row],[unqid]]))</f>
        <v/>
      </c>
    </row>
    <row r="837" spans="1:6" x14ac:dyDescent="0.3">
      <c r="A837" t="s">
        <v>1051</v>
      </c>
      <c r="B837" t="s">
        <v>41</v>
      </c>
      <c r="C837" t="s">
        <v>52</v>
      </c>
      <c r="D837" s="1" t="str">
        <f>_xlfn.IFNA(_xlfn.XLOOKUP(Data[[#This Row],[unqid]],'Quipt Prod Data'!L:L,'Quipt Prod Data'!B:B),"")</f>
        <v/>
      </c>
      <c r="E837" s="1" t="str">
        <f>_xlfn.IFNA(_xlfn.XMATCH(Data[[#This Row],[unqid]],'Quipt Prod Data'!L:L,0),"")</f>
        <v/>
      </c>
      <c r="F837" s="1" t="str">
        <f>IF(COUNTIF('Quipt Prod Data'!L:L,Data[[#This Row],[unqid]])=0,"",COUNTIF('Quipt Prod Data'!L:L,Data[[#This Row],[unqid]]))</f>
        <v/>
      </c>
    </row>
    <row r="838" spans="1:6" x14ac:dyDescent="0.3">
      <c r="A838" t="s">
        <v>1052</v>
      </c>
      <c r="B838" t="s">
        <v>28</v>
      </c>
      <c r="C838" t="s">
        <v>46</v>
      </c>
      <c r="D838" s="1" t="str">
        <f>_xlfn.IFNA(_xlfn.XLOOKUP(Data[[#This Row],[unqid]],'Quipt Prod Data'!L:L,'Quipt Prod Data'!B:B),"")</f>
        <v/>
      </c>
      <c r="E838" s="1" t="str">
        <f>_xlfn.IFNA(_xlfn.XMATCH(Data[[#This Row],[unqid]],'Quipt Prod Data'!L:L,0),"")</f>
        <v/>
      </c>
      <c r="F838" s="1" t="str">
        <f>IF(COUNTIF('Quipt Prod Data'!L:L,Data[[#This Row],[unqid]])=0,"",COUNTIF('Quipt Prod Data'!L:L,Data[[#This Row],[unqid]]))</f>
        <v/>
      </c>
    </row>
    <row r="839" spans="1:6" x14ac:dyDescent="0.3">
      <c r="A839" t="s">
        <v>1053</v>
      </c>
      <c r="B839" t="s">
        <v>58</v>
      </c>
      <c r="C839" t="s">
        <v>44</v>
      </c>
      <c r="D839" s="1" t="str">
        <f>_xlfn.IFNA(_xlfn.XLOOKUP(Data[[#This Row],[unqid]],'Quipt Prod Data'!L:L,'Quipt Prod Data'!B:B),"")</f>
        <v/>
      </c>
      <c r="E839" s="1" t="str">
        <f>_xlfn.IFNA(_xlfn.XMATCH(Data[[#This Row],[unqid]],'Quipt Prod Data'!L:L,0),"")</f>
        <v/>
      </c>
      <c r="F839" s="1" t="str">
        <f>IF(COUNTIF('Quipt Prod Data'!L:L,Data[[#This Row],[unqid]])=0,"",COUNTIF('Quipt Prod Data'!L:L,Data[[#This Row],[unqid]]))</f>
        <v/>
      </c>
    </row>
    <row r="840" spans="1:6" x14ac:dyDescent="0.3">
      <c r="A840" t="s">
        <v>1054</v>
      </c>
      <c r="B840" t="s">
        <v>49</v>
      </c>
      <c r="C840" t="s">
        <v>27</v>
      </c>
      <c r="D840" s="1" t="str">
        <f>_xlfn.IFNA(_xlfn.XLOOKUP(Data[[#This Row],[unqid]],'Quipt Prod Data'!L:L,'Quipt Prod Data'!B:B),"")</f>
        <v/>
      </c>
      <c r="E840" s="1" t="str">
        <f>_xlfn.IFNA(_xlfn.XMATCH(Data[[#This Row],[unqid]],'Quipt Prod Data'!L:L,0),"")</f>
        <v/>
      </c>
      <c r="F840" s="1" t="str">
        <f>IF(COUNTIF('Quipt Prod Data'!L:L,Data[[#This Row],[unqid]])=0,"",COUNTIF('Quipt Prod Data'!L:L,Data[[#This Row],[unqid]]))</f>
        <v/>
      </c>
    </row>
    <row r="841" spans="1:6" x14ac:dyDescent="0.3">
      <c r="A841" t="s">
        <v>1055</v>
      </c>
      <c r="B841" t="s">
        <v>41</v>
      </c>
      <c r="C841" t="s">
        <v>53</v>
      </c>
      <c r="D841" s="1" t="str">
        <f>_xlfn.IFNA(_xlfn.XLOOKUP(Data[[#This Row],[unqid]],'Quipt Prod Data'!L:L,'Quipt Prod Data'!B:B),"")</f>
        <v/>
      </c>
      <c r="E841" s="1" t="str">
        <f>_xlfn.IFNA(_xlfn.XMATCH(Data[[#This Row],[unqid]],'Quipt Prod Data'!L:L,0),"")</f>
        <v/>
      </c>
      <c r="F841" s="1" t="str">
        <f>IF(COUNTIF('Quipt Prod Data'!L:L,Data[[#This Row],[unqid]])=0,"",COUNTIF('Quipt Prod Data'!L:L,Data[[#This Row],[unqid]]))</f>
        <v/>
      </c>
    </row>
    <row r="842" spans="1:6" x14ac:dyDescent="0.3">
      <c r="A842" t="s">
        <v>1056</v>
      </c>
      <c r="B842" t="s">
        <v>41</v>
      </c>
      <c r="C842" t="s">
        <v>44</v>
      </c>
      <c r="D842" s="1" t="str">
        <f>_xlfn.IFNA(_xlfn.XLOOKUP(Data[[#This Row],[unqid]],'Quipt Prod Data'!L:L,'Quipt Prod Data'!B:B),"")</f>
        <v/>
      </c>
      <c r="E842" s="1" t="str">
        <f>_xlfn.IFNA(_xlfn.XMATCH(Data[[#This Row],[unqid]],'Quipt Prod Data'!L:L,0),"")</f>
        <v/>
      </c>
      <c r="F842" s="1" t="str">
        <f>IF(COUNTIF('Quipt Prod Data'!L:L,Data[[#This Row],[unqid]])=0,"",COUNTIF('Quipt Prod Data'!L:L,Data[[#This Row],[unqid]]))</f>
        <v/>
      </c>
    </row>
    <row r="843" spans="1:6" x14ac:dyDescent="0.3">
      <c r="A843" t="s">
        <v>1057</v>
      </c>
      <c r="B843" t="s">
        <v>41</v>
      </c>
      <c r="C843" t="s">
        <v>44</v>
      </c>
      <c r="D843" s="1" t="str">
        <f>_xlfn.IFNA(_xlfn.XLOOKUP(Data[[#This Row],[unqid]],'Quipt Prod Data'!L:L,'Quipt Prod Data'!B:B),"")</f>
        <v/>
      </c>
      <c r="E843" s="1" t="str">
        <f>_xlfn.IFNA(_xlfn.XMATCH(Data[[#This Row],[unqid]],'Quipt Prod Data'!L:L,0),"")</f>
        <v/>
      </c>
      <c r="F843" s="1" t="str">
        <f>IF(COUNTIF('Quipt Prod Data'!L:L,Data[[#This Row],[unqid]])=0,"",COUNTIF('Quipt Prod Data'!L:L,Data[[#This Row],[unqid]]))</f>
        <v/>
      </c>
    </row>
    <row r="844" spans="1:6" x14ac:dyDescent="0.3">
      <c r="A844" t="s">
        <v>1058</v>
      </c>
      <c r="B844" t="s">
        <v>41</v>
      </c>
      <c r="C844" t="s">
        <v>54</v>
      </c>
      <c r="D844" s="1" t="str">
        <f>_xlfn.IFNA(_xlfn.XLOOKUP(Data[[#This Row],[unqid]],'Quipt Prod Data'!L:L,'Quipt Prod Data'!B:B),"")</f>
        <v/>
      </c>
      <c r="E844" s="1" t="str">
        <f>_xlfn.IFNA(_xlfn.XMATCH(Data[[#This Row],[unqid]],'Quipt Prod Data'!L:L,0),"")</f>
        <v/>
      </c>
      <c r="F844" s="1" t="str">
        <f>IF(COUNTIF('Quipt Prod Data'!L:L,Data[[#This Row],[unqid]])=0,"",COUNTIF('Quipt Prod Data'!L:L,Data[[#This Row],[unqid]]))</f>
        <v/>
      </c>
    </row>
    <row r="845" spans="1:6" x14ac:dyDescent="0.3">
      <c r="A845" t="s">
        <v>1059</v>
      </c>
      <c r="B845" t="s">
        <v>34</v>
      </c>
      <c r="C845" t="s">
        <v>44</v>
      </c>
      <c r="D845" s="1" t="str">
        <f>_xlfn.IFNA(_xlfn.XLOOKUP(Data[[#This Row],[unqid]],'Quipt Prod Data'!L:L,'Quipt Prod Data'!B:B),"")</f>
        <v/>
      </c>
      <c r="E845" s="1" t="str">
        <f>_xlfn.IFNA(_xlfn.XMATCH(Data[[#This Row],[unqid]],'Quipt Prod Data'!L:L,0),"")</f>
        <v/>
      </c>
      <c r="F845" s="1" t="str">
        <f>IF(COUNTIF('Quipt Prod Data'!L:L,Data[[#This Row],[unqid]])=0,"",COUNTIF('Quipt Prod Data'!L:L,Data[[#This Row],[unqid]]))</f>
        <v/>
      </c>
    </row>
    <row r="846" spans="1:6" x14ac:dyDescent="0.3">
      <c r="A846" t="s">
        <v>1060</v>
      </c>
      <c r="B846" t="s">
        <v>41</v>
      </c>
      <c r="C846" t="s">
        <v>54</v>
      </c>
      <c r="D846" s="1" t="str">
        <f>_xlfn.IFNA(_xlfn.XLOOKUP(Data[[#This Row],[unqid]],'Quipt Prod Data'!L:L,'Quipt Prod Data'!B:B),"")</f>
        <v/>
      </c>
      <c r="E846" s="1" t="str">
        <f>_xlfn.IFNA(_xlfn.XMATCH(Data[[#This Row],[unqid]],'Quipt Prod Data'!L:L,0),"")</f>
        <v/>
      </c>
      <c r="F846" s="1" t="str">
        <f>IF(COUNTIF('Quipt Prod Data'!L:L,Data[[#This Row],[unqid]])=0,"",COUNTIF('Quipt Prod Data'!L:L,Data[[#This Row],[unqid]]))</f>
        <v/>
      </c>
    </row>
    <row r="847" spans="1:6" x14ac:dyDescent="0.3">
      <c r="A847" t="s">
        <v>1061</v>
      </c>
      <c r="B847" t="s">
        <v>41</v>
      </c>
      <c r="C847" t="s">
        <v>54</v>
      </c>
      <c r="D847" s="1" t="str">
        <f>_xlfn.IFNA(_xlfn.XLOOKUP(Data[[#This Row],[unqid]],'Quipt Prod Data'!L:L,'Quipt Prod Data'!B:B),"")</f>
        <v/>
      </c>
      <c r="E847" s="1" t="str">
        <f>_xlfn.IFNA(_xlfn.XMATCH(Data[[#This Row],[unqid]],'Quipt Prod Data'!L:L,0),"")</f>
        <v/>
      </c>
      <c r="F847" s="1" t="str">
        <f>IF(COUNTIF('Quipt Prod Data'!L:L,Data[[#This Row],[unqid]])=0,"",COUNTIF('Quipt Prod Data'!L:L,Data[[#This Row],[unqid]]))</f>
        <v/>
      </c>
    </row>
    <row r="848" spans="1:6" x14ac:dyDescent="0.3">
      <c r="A848" t="s">
        <v>1062</v>
      </c>
      <c r="B848" t="s">
        <v>38</v>
      </c>
      <c r="C848" t="s">
        <v>52</v>
      </c>
      <c r="D848" s="1" t="str">
        <f>_xlfn.IFNA(_xlfn.XLOOKUP(Data[[#This Row],[unqid]],'Quipt Prod Data'!L:L,'Quipt Prod Data'!B:B),"")</f>
        <v/>
      </c>
      <c r="E848" s="1" t="str">
        <f>_xlfn.IFNA(_xlfn.XMATCH(Data[[#This Row],[unqid]],'Quipt Prod Data'!L:L,0),"")</f>
        <v/>
      </c>
      <c r="F848" s="1" t="str">
        <f>IF(COUNTIF('Quipt Prod Data'!L:L,Data[[#This Row],[unqid]])=0,"",COUNTIF('Quipt Prod Data'!L:L,Data[[#This Row],[unqid]]))</f>
        <v/>
      </c>
    </row>
    <row r="849" spans="1:6" x14ac:dyDescent="0.3">
      <c r="A849" t="s">
        <v>1063</v>
      </c>
      <c r="B849" t="s">
        <v>41</v>
      </c>
      <c r="C849" t="s">
        <v>44</v>
      </c>
      <c r="D849" s="1" t="str">
        <f>_xlfn.IFNA(_xlfn.XLOOKUP(Data[[#This Row],[unqid]],'Quipt Prod Data'!L:L,'Quipt Prod Data'!B:B),"")</f>
        <v/>
      </c>
      <c r="E849" s="1" t="str">
        <f>_xlfn.IFNA(_xlfn.XMATCH(Data[[#This Row],[unqid]],'Quipt Prod Data'!L:L,0),"")</f>
        <v/>
      </c>
      <c r="F849" s="1" t="str">
        <f>IF(COUNTIF('Quipt Prod Data'!L:L,Data[[#This Row],[unqid]])=0,"",COUNTIF('Quipt Prod Data'!L:L,Data[[#This Row],[unqid]]))</f>
        <v/>
      </c>
    </row>
    <row r="850" spans="1:6" x14ac:dyDescent="0.3">
      <c r="A850" t="s">
        <v>1064</v>
      </c>
      <c r="B850" t="s">
        <v>41</v>
      </c>
      <c r="C850" t="s">
        <v>54</v>
      </c>
      <c r="D850" s="1" t="str">
        <f>_xlfn.IFNA(_xlfn.XLOOKUP(Data[[#This Row],[unqid]],'Quipt Prod Data'!L:L,'Quipt Prod Data'!B:B),"")</f>
        <v/>
      </c>
      <c r="E850" s="1" t="str">
        <f>_xlfn.IFNA(_xlfn.XMATCH(Data[[#This Row],[unqid]],'Quipt Prod Data'!L:L,0),"")</f>
        <v/>
      </c>
      <c r="F850" s="1" t="str">
        <f>IF(COUNTIF('Quipt Prod Data'!L:L,Data[[#This Row],[unqid]])=0,"",COUNTIF('Quipt Prod Data'!L:L,Data[[#This Row],[unqid]]))</f>
        <v/>
      </c>
    </row>
    <row r="851" spans="1:6" x14ac:dyDescent="0.3">
      <c r="A851" t="s">
        <v>1065</v>
      </c>
      <c r="B851" t="s">
        <v>41</v>
      </c>
      <c r="C851" t="s">
        <v>43</v>
      </c>
      <c r="D851" s="1" t="str">
        <f>_xlfn.IFNA(_xlfn.XLOOKUP(Data[[#This Row],[unqid]],'Quipt Prod Data'!L:L,'Quipt Prod Data'!B:B),"")</f>
        <v/>
      </c>
      <c r="E851" s="1" t="str">
        <f>_xlfn.IFNA(_xlfn.XMATCH(Data[[#This Row],[unqid]],'Quipt Prod Data'!L:L,0),"")</f>
        <v/>
      </c>
      <c r="F851" s="1" t="str">
        <f>IF(COUNTIF('Quipt Prod Data'!L:L,Data[[#This Row],[unqid]])=0,"",COUNTIF('Quipt Prod Data'!L:L,Data[[#This Row],[unqid]]))</f>
        <v/>
      </c>
    </row>
    <row r="852" spans="1:6" x14ac:dyDescent="0.3">
      <c r="A852" t="s">
        <v>1066</v>
      </c>
      <c r="B852" t="s">
        <v>41</v>
      </c>
      <c r="C852" t="s">
        <v>54</v>
      </c>
      <c r="D852" s="1" t="str">
        <f>_xlfn.IFNA(_xlfn.XLOOKUP(Data[[#This Row],[unqid]],'Quipt Prod Data'!L:L,'Quipt Prod Data'!B:B),"")</f>
        <v/>
      </c>
      <c r="E852" s="1" t="str">
        <f>_xlfn.IFNA(_xlfn.XMATCH(Data[[#This Row],[unqid]],'Quipt Prod Data'!L:L,0),"")</f>
        <v/>
      </c>
      <c r="F852" s="1" t="str">
        <f>IF(COUNTIF('Quipt Prod Data'!L:L,Data[[#This Row],[unqid]])=0,"",COUNTIF('Quipt Prod Data'!L:L,Data[[#This Row],[unqid]]))</f>
        <v/>
      </c>
    </row>
    <row r="853" spans="1:6" x14ac:dyDescent="0.3">
      <c r="A853" t="s">
        <v>1067</v>
      </c>
      <c r="B853" t="s">
        <v>50</v>
      </c>
      <c r="C853" t="s">
        <v>43</v>
      </c>
      <c r="D853" s="1" t="str">
        <f>_xlfn.IFNA(_xlfn.XLOOKUP(Data[[#This Row],[unqid]],'Quipt Prod Data'!L:L,'Quipt Prod Data'!B:B),"")</f>
        <v/>
      </c>
      <c r="E853" s="1" t="str">
        <f>_xlfn.IFNA(_xlfn.XMATCH(Data[[#This Row],[unqid]],'Quipt Prod Data'!L:L,0),"")</f>
        <v/>
      </c>
      <c r="F853" s="1" t="str">
        <f>IF(COUNTIF('Quipt Prod Data'!L:L,Data[[#This Row],[unqid]])=0,"",COUNTIF('Quipt Prod Data'!L:L,Data[[#This Row],[unqid]]))</f>
        <v/>
      </c>
    </row>
    <row r="854" spans="1:6" x14ac:dyDescent="0.3">
      <c r="A854" t="s">
        <v>1068</v>
      </c>
      <c r="B854" t="s">
        <v>41</v>
      </c>
      <c r="C854" t="s">
        <v>44</v>
      </c>
      <c r="D854" s="1" t="str">
        <f>_xlfn.IFNA(_xlfn.XLOOKUP(Data[[#This Row],[unqid]],'Quipt Prod Data'!L:L,'Quipt Prod Data'!B:B),"")</f>
        <v/>
      </c>
      <c r="E854" s="1" t="str">
        <f>_xlfn.IFNA(_xlfn.XMATCH(Data[[#This Row],[unqid]],'Quipt Prod Data'!L:L,0),"")</f>
        <v/>
      </c>
      <c r="F854" s="1" t="str">
        <f>IF(COUNTIF('Quipt Prod Data'!L:L,Data[[#This Row],[unqid]])=0,"",COUNTIF('Quipt Prod Data'!L:L,Data[[#This Row],[unqid]]))</f>
        <v/>
      </c>
    </row>
    <row r="855" spans="1:6" x14ac:dyDescent="0.3">
      <c r="A855" t="s">
        <v>1069</v>
      </c>
      <c r="B855" t="s">
        <v>41</v>
      </c>
      <c r="C855" t="s">
        <v>54</v>
      </c>
      <c r="D855" s="1" t="str">
        <f>_xlfn.IFNA(_xlfn.XLOOKUP(Data[[#This Row],[unqid]],'Quipt Prod Data'!L:L,'Quipt Prod Data'!B:B),"")</f>
        <v/>
      </c>
      <c r="E855" s="1" t="str">
        <f>_xlfn.IFNA(_xlfn.XMATCH(Data[[#This Row],[unqid]],'Quipt Prod Data'!L:L,0),"")</f>
        <v/>
      </c>
      <c r="F855" s="1" t="str">
        <f>IF(COUNTIF('Quipt Prod Data'!L:L,Data[[#This Row],[unqid]])=0,"",COUNTIF('Quipt Prod Data'!L:L,Data[[#This Row],[unqid]]))</f>
        <v/>
      </c>
    </row>
    <row r="856" spans="1:6" x14ac:dyDescent="0.3">
      <c r="A856" t="s">
        <v>1070</v>
      </c>
      <c r="B856" t="s">
        <v>41</v>
      </c>
      <c r="C856" t="s">
        <v>54</v>
      </c>
      <c r="D856" s="1" t="str">
        <f>_xlfn.IFNA(_xlfn.XLOOKUP(Data[[#This Row],[unqid]],'Quipt Prod Data'!L:L,'Quipt Prod Data'!B:B),"")</f>
        <v/>
      </c>
      <c r="E856" s="1" t="str">
        <f>_xlfn.IFNA(_xlfn.XMATCH(Data[[#This Row],[unqid]],'Quipt Prod Data'!L:L,0),"")</f>
        <v/>
      </c>
      <c r="F856" s="1" t="str">
        <f>IF(COUNTIF('Quipt Prod Data'!L:L,Data[[#This Row],[unqid]])=0,"",COUNTIF('Quipt Prod Data'!L:L,Data[[#This Row],[unqid]]))</f>
        <v/>
      </c>
    </row>
    <row r="857" spans="1:6" x14ac:dyDescent="0.3">
      <c r="A857" t="s">
        <v>1071</v>
      </c>
      <c r="B857" t="s">
        <v>42</v>
      </c>
      <c r="C857" t="s">
        <v>43</v>
      </c>
      <c r="D857" s="1" t="str">
        <f>_xlfn.IFNA(_xlfn.XLOOKUP(Data[[#This Row],[unqid]],'Quipt Prod Data'!L:L,'Quipt Prod Data'!B:B),"")</f>
        <v/>
      </c>
      <c r="E857" s="1" t="str">
        <f>_xlfn.IFNA(_xlfn.XMATCH(Data[[#This Row],[unqid]],'Quipt Prod Data'!L:L,0),"")</f>
        <v/>
      </c>
      <c r="F857" s="1" t="str">
        <f>IF(COUNTIF('Quipt Prod Data'!L:L,Data[[#This Row],[unqid]])=0,"",COUNTIF('Quipt Prod Data'!L:L,Data[[#This Row],[unqid]]))</f>
        <v/>
      </c>
    </row>
    <row r="858" spans="1:6" x14ac:dyDescent="0.3">
      <c r="A858" t="s">
        <v>1072</v>
      </c>
      <c r="B858" t="s">
        <v>41</v>
      </c>
      <c r="C858" t="s">
        <v>54</v>
      </c>
      <c r="D858" s="1" t="str">
        <f>_xlfn.IFNA(_xlfn.XLOOKUP(Data[[#This Row],[unqid]],'Quipt Prod Data'!L:L,'Quipt Prod Data'!B:B),"")</f>
        <v/>
      </c>
      <c r="E858" s="1" t="str">
        <f>_xlfn.IFNA(_xlfn.XMATCH(Data[[#This Row],[unqid]],'Quipt Prod Data'!L:L,0),"")</f>
        <v/>
      </c>
      <c r="F858" s="1" t="str">
        <f>IF(COUNTIF('Quipt Prod Data'!L:L,Data[[#This Row],[unqid]])=0,"",COUNTIF('Quipt Prod Data'!L:L,Data[[#This Row],[unqid]]))</f>
        <v/>
      </c>
    </row>
    <row r="859" spans="1:6" x14ac:dyDescent="0.3">
      <c r="A859" t="s">
        <v>1073</v>
      </c>
      <c r="B859" t="s">
        <v>41</v>
      </c>
      <c r="C859" t="s">
        <v>53</v>
      </c>
      <c r="D859" s="1" t="str">
        <f>_xlfn.IFNA(_xlfn.XLOOKUP(Data[[#This Row],[unqid]],'Quipt Prod Data'!L:L,'Quipt Prod Data'!B:B),"")</f>
        <v/>
      </c>
      <c r="E859" s="1" t="str">
        <f>_xlfn.IFNA(_xlfn.XMATCH(Data[[#This Row],[unqid]],'Quipt Prod Data'!L:L,0),"")</f>
        <v/>
      </c>
      <c r="F859" s="1" t="str">
        <f>IF(COUNTIF('Quipt Prod Data'!L:L,Data[[#This Row],[unqid]])=0,"",COUNTIF('Quipt Prod Data'!L:L,Data[[#This Row],[unqid]]))</f>
        <v/>
      </c>
    </row>
    <row r="860" spans="1:6" x14ac:dyDescent="0.3">
      <c r="A860" t="s">
        <v>1074</v>
      </c>
      <c r="B860" t="s">
        <v>41</v>
      </c>
      <c r="C860" t="s">
        <v>54</v>
      </c>
      <c r="D860" s="1" t="str">
        <f>_xlfn.IFNA(_xlfn.XLOOKUP(Data[[#This Row],[unqid]],'Quipt Prod Data'!L:L,'Quipt Prod Data'!B:B),"")</f>
        <v/>
      </c>
      <c r="E860" s="1" t="str">
        <f>_xlfn.IFNA(_xlfn.XMATCH(Data[[#This Row],[unqid]],'Quipt Prod Data'!L:L,0),"")</f>
        <v/>
      </c>
      <c r="F860" s="1" t="str">
        <f>IF(COUNTIF('Quipt Prod Data'!L:L,Data[[#This Row],[unqid]])=0,"",COUNTIF('Quipt Prod Data'!L:L,Data[[#This Row],[unqid]]))</f>
        <v/>
      </c>
    </row>
    <row r="861" spans="1:6" x14ac:dyDescent="0.3">
      <c r="A861" t="s">
        <v>1075</v>
      </c>
      <c r="B861" t="s">
        <v>41</v>
      </c>
      <c r="C861" t="s">
        <v>54</v>
      </c>
      <c r="D861" s="1" t="str">
        <f>_xlfn.IFNA(_xlfn.XLOOKUP(Data[[#This Row],[unqid]],'Quipt Prod Data'!L:L,'Quipt Prod Data'!B:B),"")</f>
        <v/>
      </c>
      <c r="E861" s="1" t="str">
        <f>_xlfn.IFNA(_xlfn.XMATCH(Data[[#This Row],[unqid]],'Quipt Prod Data'!L:L,0),"")</f>
        <v/>
      </c>
      <c r="F861" s="1" t="str">
        <f>IF(COUNTIF('Quipt Prod Data'!L:L,Data[[#This Row],[unqid]])=0,"",COUNTIF('Quipt Prod Data'!L:L,Data[[#This Row],[unqid]]))</f>
        <v/>
      </c>
    </row>
    <row r="862" spans="1:6" x14ac:dyDescent="0.3">
      <c r="A862" t="s">
        <v>1076</v>
      </c>
      <c r="B862" t="s">
        <v>41</v>
      </c>
      <c r="C862" t="s">
        <v>44</v>
      </c>
      <c r="D862" s="1" t="str">
        <f>_xlfn.IFNA(_xlfn.XLOOKUP(Data[[#This Row],[unqid]],'Quipt Prod Data'!L:L,'Quipt Prod Data'!B:B),"")</f>
        <v/>
      </c>
      <c r="E862" s="1" t="str">
        <f>_xlfn.IFNA(_xlfn.XMATCH(Data[[#This Row],[unqid]],'Quipt Prod Data'!L:L,0),"")</f>
        <v/>
      </c>
      <c r="F862" s="1" t="str">
        <f>IF(COUNTIF('Quipt Prod Data'!L:L,Data[[#This Row],[unqid]])=0,"",COUNTIF('Quipt Prod Data'!L:L,Data[[#This Row],[unqid]]))</f>
        <v/>
      </c>
    </row>
    <row r="863" spans="1:6" x14ac:dyDescent="0.3">
      <c r="A863" t="s">
        <v>1077</v>
      </c>
      <c r="B863" t="s">
        <v>41</v>
      </c>
      <c r="C863" t="s">
        <v>44</v>
      </c>
      <c r="D863" s="1" t="str">
        <f>_xlfn.IFNA(_xlfn.XLOOKUP(Data[[#This Row],[unqid]],'Quipt Prod Data'!L:L,'Quipt Prod Data'!B:B),"")</f>
        <v/>
      </c>
      <c r="E863" s="1" t="str">
        <f>_xlfn.IFNA(_xlfn.XMATCH(Data[[#This Row],[unqid]],'Quipt Prod Data'!L:L,0),"")</f>
        <v/>
      </c>
      <c r="F863" s="1" t="str">
        <f>IF(COUNTIF('Quipt Prod Data'!L:L,Data[[#This Row],[unqid]])=0,"",COUNTIF('Quipt Prod Data'!L:L,Data[[#This Row],[unqid]]))</f>
        <v/>
      </c>
    </row>
    <row r="864" spans="1:6" x14ac:dyDescent="0.3">
      <c r="A864" t="s">
        <v>1078</v>
      </c>
      <c r="B864" t="s">
        <v>55</v>
      </c>
      <c r="C864" t="s">
        <v>44</v>
      </c>
      <c r="D864" s="1" t="str">
        <f>_xlfn.IFNA(_xlfn.XLOOKUP(Data[[#This Row],[unqid]],'Quipt Prod Data'!L:L,'Quipt Prod Data'!B:B),"")</f>
        <v/>
      </c>
      <c r="E864" s="1" t="str">
        <f>_xlfn.IFNA(_xlfn.XMATCH(Data[[#This Row],[unqid]],'Quipt Prod Data'!L:L,0),"")</f>
        <v/>
      </c>
      <c r="F864" s="1" t="str">
        <f>IF(COUNTIF('Quipt Prod Data'!L:L,Data[[#This Row],[unqid]])=0,"",COUNTIF('Quipt Prod Data'!L:L,Data[[#This Row],[unqid]]))</f>
        <v/>
      </c>
    </row>
    <row r="865" spans="1:6" x14ac:dyDescent="0.3">
      <c r="A865" t="s">
        <v>1079</v>
      </c>
      <c r="B865" t="s">
        <v>41</v>
      </c>
      <c r="C865" t="s">
        <v>54</v>
      </c>
      <c r="D865" s="1" t="str">
        <f>_xlfn.IFNA(_xlfn.XLOOKUP(Data[[#This Row],[unqid]],'Quipt Prod Data'!L:L,'Quipt Prod Data'!B:B),"")</f>
        <v/>
      </c>
      <c r="E865" s="1" t="str">
        <f>_xlfn.IFNA(_xlfn.XMATCH(Data[[#This Row],[unqid]],'Quipt Prod Data'!L:L,0),"")</f>
        <v/>
      </c>
      <c r="F865" s="1" t="str">
        <f>IF(COUNTIF('Quipt Prod Data'!L:L,Data[[#This Row],[unqid]])=0,"",COUNTIF('Quipt Prod Data'!L:L,Data[[#This Row],[unqid]]))</f>
        <v/>
      </c>
    </row>
    <row r="866" spans="1:6" x14ac:dyDescent="0.3">
      <c r="A866" t="s">
        <v>1080</v>
      </c>
      <c r="B866" t="s">
        <v>56</v>
      </c>
      <c r="C866" t="s">
        <v>43</v>
      </c>
      <c r="D866" s="1" t="str">
        <f>_xlfn.IFNA(_xlfn.XLOOKUP(Data[[#This Row],[unqid]],'Quipt Prod Data'!L:L,'Quipt Prod Data'!B:B),"")</f>
        <v/>
      </c>
      <c r="E866" s="1" t="str">
        <f>_xlfn.IFNA(_xlfn.XMATCH(Data[[#This Row],[unqid]],'Quipt Prod Data'!L:L,0),"")</f>
        <v/>
      </c>
      <c r="F866" s="1" t="str">
        <f>IF(COUNTIF('Quipt Prod Data'!L:L,Data[[#This Row],[unqid]])=0,"",COUNTIF('Quipt Prod Data'!L:L,Data[[#This Row],[unqid]]))</f>
        <v/>
      </c>
    </row>
    <row r="867" spans="1:6" x14ac:dyDescent="0.3">
      <c r="A867" t="s">
        <v>1081</v>
      </c>
      <c r="B867" t="s">
        <v>41</v>
      </c>
      <c r="C867" t="s">
        <v>44</v>
      </c>
      <c r="D867" s="1" t="str">
        <f>_xlfn.IFNA(_xlfn.XLOOKUP(Data[[#This Row],[unqid]],'Quipt Prod Data'!L:L,'Quipt Prod Data'!B:B),"")</f>
        <v/>
      </c>
      <c r="E867" s="1" t="str">
        <f>_xlfn.IFNA(_xlfn.XMATCH(Data[[#This Row],[unqid]],'Quipt Prod Data'!L:L,0),"")</f>
        <v/>
      </c>
      <c r="F867" s="1" t="str">
        <f>IF(COUNTIF('Quipt Prod Data'!L:L,Data[[#This Row],[unqid]])=0,"",COUNTIF('Quipt Prod Data'!L:L,Data[[#This Row],[unqid]]))</f>
        <v/>
      </c>
    </row>
    <row r="868" spans="1:6" x14ac:dyDescent="0.3">
      <c r="A868" t="s">
        <v>1082</v>
      </c>
      <c r="B868" t="s">
        <v>41</v>
      </c>
      <c r="C868" t="s">
        <v>54</v>
      </c>
      <c r="D868" s="1" t="str">
        <f>_xlfn.IFNA(_xlfn.XLOOKUP(Data[[#This Row],[unqid]],'Quipt Prod Data'!L:L,'Quipt Prod Data'!B:B),"")</f>
        <v/>
      </c>
      <c r="E868" s="1" t="str">
        <f>_xlfn.IFNA(_xlfn.XMATCH(Data[[#This Row],[unqid]],'Quipt Prod Data'!L:L,0),"")</f>
        <v/>
      </c>
      <c r="F868" s="1" t="str">
        <f>IF(COUNTIF('Quipt Prod Data'!L:L,Data[[#This Row],[unqid]])=0,"",COUNTIF('Quipt Prod Data'!L:L,Data[[#This Row],[unqid]]))</f>
        <v/>
      </c>
    </row>
    <row r="869" spans="1:6" x14ac:dyDescent="0.3">
      <c r="A869" t="s">
        <v>1083</v>
      </c>
      <c r="B869" t="s">
        <v>49</v>
      </c>
      <c r="C869" t="s">
        <v>46</v>
      </c>
      <c r="D869" s="1" t="str">
        <f>_xlfn.IFNA(_xlfn.XLOOKUP(Data[[#This Row],[unqid]],'Quipt Prod Data'!L:L,'Quipt Prod Data'!B:B),"")</f>
        <v/>
      </c>
      <c r="E869" s="1" t="str">
        <f>_xlfn.IFNA(_xlfn.XMATCH(Data[[#This Row],[unqid]],'Quipt Prod Data'!L:L,0),"")</f>
        <v/>
      </c>
      <c r="F869" s="1" t="str">
        <f>IF(COUNTIF('Quipt Prod Data'!L:L,Data[[#This Row],[unqid]])=0,"",COUNTIF('Quipt Prod Data'!L:L,Data[[#This Row],[unqid]]))</f>
        <v/>
      </c>
    </row>
    <row r="870" spans="1:6" x14ac:dyDescent="0.3">
      <c r="A870" t="s">
        <v>1084</v>
      </c>
      <c r="B870" t="s">
        <v>50</v>
      </c>
      <c r="C870" t="s">
        <v>27</v>
      </c>
      <c r="D870" s="1" t="str">
        <f>_xlfn.IFNA(_xlfn.XLOOKUP(Data[[#This Row],[unqid]],'Quipt Prod Data'!L:L,'Quipt Prod Data'!B:B),"")</f>
        <v/>
      </c>
      <c r="E870" s="1" t="str">
        <f>_xlfn.IFNA(_xlfn.XMATCH(Data[[#This Row],[unqid]],'Quipt Prod Data'!L:L,0),"")</f>
        <v/>
      </c>
      <c r="F870" s="1" t="str">
        <f>IF(COUNTIF('Quipt Prod Data'!L:L,Data[[#This Row],[unqid]])=0,"",COUNTIF('Quipt Prod Data'!L:L,Data[[#This Row],[unqid]]))</f>
        <v/>
      </c>
    </row>
    <row r="871" spans="1:6" x14ac:dyDescent="0.3">
      <c r="A871" t="s">
        <v>1085</v>
      </c>
      <c r="B871" t="s">
        <v>41</v>
      </c>
      <c r="C871" t="s">
        <v>54</v>
      </c>
      <c r="D871" s="1" t="str">
        <f>_xlfn.IFNA(_xlfn.XLOOKUP(Data[[#This Row],[unqid]],'Quipt Prod Data'!L:L,'Quipt Prod Data'!B:B),"")</f>
        <v/>
      </c>
      <c r="E871" s="1" t="str">
        <f>_xlfn.IFNA(_xlfn.XMATCH(Data[[#This Row],[unqid]],'Quipt Prod Data'!L:L,0),"")</f>
        <v/>
      </c>
      <c r="F871" s="1" t="str">
        <f>IF(COUNTIF('Quipt Prod Data'!L:L,Data[[#This Row],[unqid]])=0,"",COUNTIF('Quipt Prod Data'!L:L,Data[[#This Row],[unqid]]))</f>
        <v/>
      </c>
    </row>
    <row r="872" spans="1:6" x14ac:dyDescent="0.3">
      <c r="A872" t="s">
        <v>1086</v>
      </c>
      <c r="B872" t="s">
        <v>31</v>
      </c>
      <c r="C872" t="s">
        <v>43</v>
      </c>
      <c r="D872" s="1" t="str">
        <f>_xlfn.IFNA(_xlfn.XLOOKUP(Data[[#This Row],[unqid]],'Quipt Prod Data'!L:L,'Quipt Prod Data'!B:B),"")</f>
        <v/>
      </c>
      <c r="E872" s="1" t="str">
        <f>_xlfn.IFNA(_xlfn.XMATCH(Data[[#This Row],[unqid]],'Quipt Prod Data'!L:L,0),"")</f>
        <v/>
      </c>
      <c r="F872" s="1" t="str">
        <f>IF(COUNTIF('Quipt Prod Data'!L:L,Data[[#This Row],[unqid]])=0,"",COUNTIF('Quipt Prod Data'!L:L,Data[[#This Row],[unqid]]))</f>
        <v/>
      </c>
    </row>
    <row r="873" spans="1:6" x14ac:dyDescent="0.3">
      <c r="A873" t="s">
        <v>1087</v>
      </c>
      <c r="B873" t="s">
        <v>41</v>
      </c>
      <c r="C873" t="s">
        <v>54</v>
      </c>
      <c r="D873" s="1" t="str">
        <f>_xlfn.IFNA(_xlfn.XLOOKUP(Data[[#This Row],[unqid]],'Quipt Prod Data'!L:L,'Quipt Prod Data'!B:B),"")</f>
        <v/>
      </c>
      <c r="E873" s="1" t="str">
        <f>_xlfn.IFNA(_xlfn.XMATCH(Data[[#This Row],[unqid]],'Quipt Prod Data'!L:L,0),"")</f>
        <v/>
      </c>
      <c r="F873" s="1" t="str">
        <f>IF(COUNTIF('Quipt Prod Data'!L:L,Data[[#This Row],[unqid]])=0,"",COUNTIF('Quipt Prod Data'!L:L,Data[[#This Row],[unqid]]))</f>
        <v/>
      </c>
    </row>
    <row r="874" spans="1:6" x14ac:dyDescent="0.3">
      <c r="A874" t="s">
        <v>1088</v>
      </c>
      <c r="B874" t="s">
        <v>41</v>
      </c>
      <c r="C874" t="s">
        <v>44</v>
      </c>
      <c r="D874" s="1" t="str">
        <f>_xlfn.IFNA(_xlfn.XLOOKUP(Data[[#This Row],[unqid]],'Quipt Prod Data'!L:L,'Quipt Prod Data'!B:B),"")</f>
        <v/>
      </c>
      <c r="E874" s="1" t="str">
        <f>_xlfn.IFNA(_xlfn.XMATCH(Data[[#This Row],[unqid]],'Quipt Prod Data'!L:L,0),"")</f>
        <v/>
      </c>
      <c r="F874" s="1" t="str">
        <f>IF(COUNTIF('Quipt Prod Data'!L:L,Data[[#This Row],[unqid]])=0,"",COUNTIF('Quipt Prod Data'!L:L,Data[[#This Row],[unqid]]))</f>
        <v/>
      </c>
    </row>
    <row r="875" spans="1:6" x14ac:dyDescent="0.3">
      <c r="A875" t="s">
        <v>1089</v>
      </c>
      <c r="B875" t="s">
        <v>41</v>
      </c>
      <c r="C875" t="s">
        <v>48</v>
      </c>
      <c r="D875" s="1" t="str">
        <f>_xlfn.IFNA(_xlfn.XLOOKUP(Data[[#This Row],[unqid]],'Quipt Prod Data'!L:L,'Quipt Prod Data'!B:B),"")</f>
        <v/>
      </c>
      <c r="E875" s="1" t="str">
        <f>_xlfn.IFNA(_xlfn.XMATCH(Data[[#This Row],[unqid]],'Quipt Prod Data'!L:L,0),"")</f>
        <v/>
      </c>
      <c r="F875" s="1" t="str">
        <f>IF(COUNTIF('Quipt Prod Data'!L:L,Data[[#This Row],[unqid]])=0,"",COUNTIF('Quipt Prod Data'!L:L,Data[[#This Row],[unqid]]))</f>
        <v/>
      </c>
    </row>
    <row r="876" spans="1:6" x14ac:dyDescent="0.3">
      <c r="A876" t="s">
        <v>1090</v>
      </c>
      <c r="B876" t="s">
        <v>32</v>
      </c>
      <c r="C876" t="s">
        <v>27</v>
      </c>
      <c r="D876" s="1" t="str">
        <f>_xlfn.IFNA(_xlfn.XLOOKUP(Data[[#This Row],[unqid]],'Quipt Prod Data'!L:L,'Quipt Prod Data'!B:B),"")</f>
        <v/>
      </c>
      <c r="E876" s="1" t="str">
        <f>_xlfn.IFNA(_xlfn.XMATCH(Data[[#This Row],[unqid]],'Quipt Prod Data'!L:L,0),"")</f>
        <v/>
      </c>
      <c r="F876" s="1" t="str">
        <f>IF(COUNTIF('Quipt Prod Data'!L:L,Data[[#This Row],[unqid]])=0,"",COUNTIF('Quipt Prod Data'!L:L,Data[[#This Row],[unqid]]))</f>
        <v/>
      </c>
    </row>
    <row r="877" spans="1:6" x14ac:dyDescent="0.3">
      <c r="A877" t="s">
        <v>1091</v>
      </c>
      <c r="B877" t="s">
        <v>42</v>
      </c>
      <c r="C877" t="s">
        <v>27</v>
      </c>
      <c r="D877" s="1" t="str">
        <f>_xlfn.IFNA(_xlfn.XLOOKUP(Data[[#This Row],[unqid]],'Quipt Prod Data'!L:L,'Quipt Prod Data'!B:B),"")</f>
        <v/>
      </c>
      <c r="E877" s="1" t="str">
        <f>_xlfn.IFNA(_xlfn.XMATCH(Data[[#This Row],[unqid]],'Quipt Prod Data'!L:L,0),"")</f>
        <v/>
      </c>
      <c r="F877" s="1" t="str">
        <f>IF(COUNTIF('Quipt Prod Data'!L:L,Data[[#This Row],[unqid]])=0,"",COUNTIF('Quipt Prod Data'!L:L,Data[[#This Row],[unqid]]))</f>
        <v/>
      </c>
    </row>
    <row r="878" spans="1:6" x14ac:dyDescent="0.3">
      <c r="A878" t="s">
        <v>1092</v>
      </c>
      <c r="B878" t="s">
        <v>31</v>
      </c>
      <c r="C878" t="s">
        <v>43</v>
      </c>
      <c r="D878" s="1" t="str">
        <f>_xlfn.IFNA(_xlfn.XLOOKUP(Data[[#This Row],[unqid]],'Quipt Prod Data'!L:L,'Quipt Prod Data'!B:B),"")</f>
        <v/>
      </c>
      <c r="E878" s="1" t="str">
        <f>_xlfn.IFNA(_xlfn.XMATCH(Data[[#This Row],[unqid]],'Quipt Prod Data'!L:L,0),"")</f>
        <v/>
      </c>
      <c r="F878" s="1" t="str">
        <f>IF(COUNTIF('Quipt Prod Data'!L:L,Data[[#This Row],[unqid]])=0,"",COUNTIF('Quipt Prod Data'!L:L,Data[[#This Row],[unqid]]))</f>
        <v/>
      </c>
    </row>
    <row r="879" spans="1:6" x14ac:dyDescent="0.3">
      <c r="A879" t="s">
        <v>1093</v>
      </c>
      <c r="B879" t="s">
        <v>33</v>
      </c>
      <c r="C879" t="s">
        <v>52</v>
      </c>
      <c r="D879" s="1" t="str">
        <f>_xlfn.IFNA(_xlfn.XLOOKUP(Data[[#This Row],[unqid]],'Quipt Prod Data'!L:L,'Quipt Prod Data'!B:B),"")</f>
        <v/>
      </c>
      <c r="E879" s="1" t="str">
        <f>_xlfn.IFNA(_xlfn.XMATCH(Data[[#This Row],[unqid]],'Quipt Prod Data'!L:L,0),"")</f>
        <v/>
      </c>
      <c r="F879" s="1" t="str">
        <f>IF(COUNTIF('Quipt Prod Data'!L:L,Data[[#This Row],[unqid]])=0,"",COUNTIF('Quipt Prod Data'!L:L,Data[[#This Row],[unqid]]))</f>
        <v/>
      </c>
    </row>
    <row r="880" spans="1:6" x14ac:dyDescent="0.3">
      <c r="A880" t="s">
        <v>1094</v>
      </c>
      <c r="B880" t="s">
        <v>32</v>
      </c>
      <c r="C880" t="s">
        <v>27</v>
      </c>
      <c r="D880" s="1" t="str">
        <f>_xlfn.IFNA(_xlfn.XLOOKUP(Data[[#This Row],[unqid]],'Quipt Prod Data'!L:L,'Quipt Prod Data'!B:B),"")</f>
        <v/>
      </c>
      <c r="E880" s="1" t="str">
        <f>_xlfn.IFNA(_xlfn.XMATCH(Data[[#This Row],[unqid]],'Quipt Prod Data'!L:L,0),"")</f>
        <v/>
      </c>
      <c r="F880" s="1" t="str">
        <f>IF(COUNTIF('Quipt Prod Data'!L:L,Data[[#This Row],[unqid]])=0,"",COUNTIF('Quipt Prod Data'!L:L,Data[[#This Row],[unqid]]))</f>
        <v/>
      </c>
    </row>
    <row r="881" spans="1:6" x14ac:dyDescent="0.3">
      <c r="A881" t="s">
        <v>1095</v>
      </c>
      <c r="B881" t="s">
        <v>41</v>
      </c>
      <c r="C881" t="s">
        <v>54</v>
      </c>
      <c r="D881" s="1" t="str">
        <f>_xlfn.IFNA(_xlfn.XLOOKUP(Data[[#This Row],[unqid]],'Quipt Prod Data'!L:L,'Quipt Prod Data'!B:B),"")</f>
        <v/>
      </c>
      <c r="E881" s="1" t="str">
        <f>_xlfn.IFNA(_xlfn.XMATCH(Data[[#This Row],[unqid]],'Quipt Prod Data'!L:L,0),"")</f>
        <v/>
      </c>
      <c r="F881" s="1" t="str">
        <f>IF(COUNTIF('Quipt Prod Data'!L:L,Data[[#This Row],[unqid]])=0,"",COUNTIF('Quipt Prod Data'!L:L,Data[[#This Row],[unqid]]))</f>
        <v/>
      </c>
    </row>
    <row r="882" spans="1:6" x14ac:dyDescent="0.3">
      <c r="A882" t="s">
        <v>1096</v>
      </c>
      <c r="B882" t="s">
        <v>32</v>
      </c>
      <c r="C882" t="s">
        <v>27</v>
      </c>
      <c r="D882" s="1" t="str">
        <f>_xlfn.IFNA(_xlfn.XLOOKUP(Data[[#This Row],[unqid]],'Quipt Prod Data'!L:L,'Quipt Prod Data'!B:B),"")</f>
        <v/>
      </c>
      <c r="E882" s="1" t="str">
        <f>_xlfn.IFNA(_xlfn.XMATCH(Data[[#This Row],[unqid]],'Quipt Prod Data'!L:L,0),"")</f>
        <v/>
      </c>
      <c r="F882" s="1" t="str">
        <f>IF(COUNTIF('Quipt Prod Data'!L:L,Data[[#This Row],[unqid]])=0,"",COUNTIF('Quipt Prod Data'!L:L,Data[[#This Row],[unqid]]))</f>
        <v/>
      </c>
    </row>
    <row r="883" spans="1:6" x14ac:dyDescent="0.3">
      <c r="A883" t="s">
        <v>1097</v>
      </c>
      <c r="B883" t="s">
        <v>32</v>
      </c>
      <c r="C883" t="s">
        <v>27</v>
      </c>
      <c r="D883" s="1" t="str">
        <f>_xlfn.IFNA(_xlfn.XLOOKUP(Data[[#This Row],[unqid]],'Quipt Prod Data'!L:L,'Quipt Prod Data'!B:B),"")</f>
        <v/>
      </c>
      <c r="E883" s="1" t="str">
        <f>_xlfn.IFNA(_xlfn.XMATCH(Data[[#This Row],[unqid]],'Quipt Prod Data'!L:L,0),"")</f>
        <v/>
      </c>
      <c r="F883" s="1" t="str">
        <f>IF(COUNTIF('Quipt Prod Data'!L:L,Data[[#This Row],[unqid]])=0,"",COUNTIF('Quipt Prod Data'!L:L,Data[[#This Row],[unqid]]))</f>
        <v/>
      </c>
    </row>
    <row r="884" spans="1:6" x14ac:dyDescent="0.3">
      <c r="A884" t="s">
        <v>1098</v>
      </c>
      <c r="B884" t="s">
        <v>32</v>
      </c>
      <c r="C884" t="s">
        <v>27</v>
      </c>
      <c r="D884" s="1" t="str">
        <f>_xlfn.IFNA(_xlfn.XLOOKUP(Data[[#This Row],[unqid]],'Quipt Prod Data'!L:L,'Quipt Prod Data'!B:B),"")</f>
        <v/>
      </c>
      <c r="E884" s="1" t="str">
        <f>_xlfn.IFNA(_xlfn.XMATCH(Data[[#This Row],[unqid]],'Quipt Prod Data'!L:L,0),"")</f>
        <v/>
      </c>
      <c r="F884" s="1" t="str">
        <f>IF(COUNTIF('Quipt Prod Data'!L:L,Data[[#This Row],[unqid]])=0,"",COUNTIF('Quipt Prod Data'!L:L,Data[[#This Row],[unqid]]))</f>
        <v/>
      </c>
    </row>
    <row r="885" spans="1:6" x14ac:dyDescent="0.3">
      <c r="A885" t="s">
        <v>1099</v>
      </c>
      <c r="B885" t="s">
        <v>41</v>
      </c>
      <c r="C885" t="s">
        <v>54</v>
      </c>
      <c r="D885" s="1" t="str">
        <f>_xlfn.IFNA(_xlfn.XLOOKUP(Data[[#This Row],[unqid]],'Quipt Prod Data'!L:L,'Quipt Prod Data'!B:B),"")</f>
        <v/>
      </c>
      <c r="E885" s="1" t="str">
        <f>_xlfn.IFNA(_xlfn.XMATCH(Data[[#This Row],[unqid]],'Quipt Prod Data'!L:L,0),"")</f>
        <v/>
      </c>
      <c r="F885" s="1" t="str">
        <f>IF(COUNTIF('Quipt Prod Data'!L:L,Data[[#This Row],[unqid]])=0,"",COUNTIF('Quipt Prod Data'!L:L,Data[[#This Row],[unqid]]))</f>
        <v/>
      </c>
    </row>
    <row r="886" spans="1:6" x14ac:dyDescent="0.3">
      <c r="A886" t="s">
        <v>1100</v>
      </c>
      <c r="B886" t="s">
        <v>41</v>
      </c>
      <c r="C886" t="s">
        <v>54</v>
      </c>
      <c r="D886" s="1" t="str">
        <f>_xlfn.IFNA(_xlfn.XLOOKUP(Data[[#This Row],[unqid]],'Quipt Prod Data'!L:L,'Quipt Prod Data'!B:B),"")</f>
        <v/>
      </c>
      <c r="E886" s="1" t="str">
        <f>_xlfn.IFNA(_xlfn.XMATCH(Data[[#This Row],[unqid]],'Quipt Prod Data'!L:L,0),"")</f>
        <v/>
      </c>
      <c r="F886" s="1" t="str">
        <f>IF(COUNTIF('Quipt Prod Data'!L:L,Data[[#This Row],[unqid]])=0,"",COUNTIF('Quipt Prod Data'!L:L,Data[[#This Row],[unqid]]))</f>
        <v/>
      </c>
    </row>
    <row r="887" spans="1:6" x14ac:dyDescent="0.3">
      <c r="A887" t="s">
        <v>1101</v>
      </c>
      <c r="B887" t="s">
        <v>41</v>
      </c>
      <c r="C887" t="s">
        <v>54</v>
      </c>
      <c r="D887" s="1" t="str">
        <f>_xlfn.IFNA(_xlfn.XLOOKUP(Data[[#This Row],[unqid]],'Quipt Prod Data'!L:L,'Quipt Prod Data'!B:B),"")</f>
        <v/>
      </c>
      <c r="E887" s="1" t="str">
        <f>_xlfn.IFNA(_xlfn.XMATCH(Data[[#This Row],[unqid]],'Quipt Prod Data'!L:L,0),"")</f>
        <v/>
      </c>
      <c r="F887" s="1" t="str">
        <f>IF(COUNTIF('Quipt Prod Data'!L:L,Data[[#This Row],[unqid]])=0,"",COUNTIF('Quipt Prod Data'!L:L,Data[[#This Row],[unqid]]))</f>
        <v/>
      </c>
    </row>
    <row r="888" spans="1:6" x14ac:dyDescent="0.3">
      <c r="A888" t="s">
        <v>1102</v>
      </c>
      <c r="B888" t="s">
        <v>32</v>
      </c>
      <c r="C888" t="s">
        <v>27</v>
      </c>
      <c r="D888" s="1" t="str">
        <f>_xlfn.IFNA(_xlfn.XLOOKUP(Data[[#This Row],[unqid]],'Quipt Prod Data'!L:L,'Quipt Prod Data'!B:B),"")</f>
        <v/>
      </c>
      <c r="E888" s="1" t="str">
        <f>_xlfn.IFNA(_xlfn.XMATCH(Data[[#This Row],[unqid]],'Quipt Prod Data'!L:L,0),"")</f>
        <v/>
      </c>
      <c r="F888" s="1" t="str">
        <f>IF(COUNTIF('Quipt Prod Data'!L:L,Data[[#This Row],[unqid]])=0,"",COUNTIF('Quipt Prod Data'!L:L,Data[[#This Row],[unqid]]))</f>
        <v/>
      </c>
    </row>
    <row r="889" spans="1:6" x14ac:dyDescent="0.3">
      <c r="A889" t="s">
        <v>1103</v>
      </c>
      <c r="B889" t="s">
        <v>41</v>
      </c>
      <c r="C889" t="s">
        <v>48</v>
      </c>
      <c r="D889" s="1" t="str">
        <f>_xlfn.IFNA(_xlfn.XLOOKUP(Data[[#This Row],[unqid]],'Quipt Prod Data'!L:L,'Quipt Prod Data'!B:B),"")</f>
        <v/>
      </c>
      <c r="E889" s="1" t="str">
        <f>_xlfn.IFNA(_xlfn.XMATCH(Data[[#This Row],[unqid]],'Quipt Prod Data'!L:L,0),"")</f>
        <v/>
      </c>
      <c r="F889" s="1" t="str">
        <f>IF(COUNTIF('Quipt Prod Data'!L:L,Data[[#This Row],[unqid]])=0,"",COUNTIF('Quipt Prod Data'!L:L,Data[[#This Row],[unqid]]))</f>
        <v/>
      </c>
    </row>
    <row r="890" spans="1:6" x14ac:dyDescent="0.3">
      <c r="A890" t="s">
        <v>1104</v>
      </c>
      <c r="B890" t="s">
        <v>41</v>
      </c>
      <c r="C890" t="s">
        <v>53</v>
      </c>
      <c r="D890" s="1" t="str">
        <f>_xlfn.IFNA(_xlfn.XLOOKUP(Data[[#This Row],[unqid]],'Quipt Prod Data'!L:L,'Quipt Prod Data'!B:B),"")</f>
        <v/>
      </c>
      <c r="E890" s="1" t="str">
        <f>_xlfn.IFNA(_xlfn.XMATCH(Data[[#This Row],[unqid]],'Quipt Prod Data'!L:L,0),"")</f>
        <v/>
      </c>
      <c r="F890" s="1" t="str">
        <f>IF(COUNTIF('Quipt Prod Data'!L:L,Data[[#This Row],[unqid]])=0,"",COUNTIF('Quipt Prod Data'!L:L,Data[[#This Row],[unqid]]))</f>
        <v/>
      </c>
    </row>
    <row r="891" spans="1:6" x14ac:dyDescent="0.3">
      <c r="A891" t="s">
        <v>1105</v>
      </c>
      <c r="B891" t="s">
        <v>41</v>
      </c>
      <c r="C891" t="s">
        <v>44</v>
      </c>
      <c r="D891" s="1" t="str">
        <f>_xlfn.IFNA(_xlfn.XLOOKUP(Data[[#This Row],[unqid]],'Quipt Prod Data'!L:L,'Quipt Prod Data'!B:B),"")</f>
        <v/>
      </c>
      <c r="E891" s="1" t="str">
        <f>_xlfn.IFNA(_xlfn.XMATCH(Data[[#This Row],[unqid]],'Quipt Prod Data'!L:L,0),"")</f>
        <v/>
      </c>
      <c r="F891" s="1" t="str">
        <f>IF(COUNTIF('Quipt Prod Data'!L:L,Data[[#This Row],[unqid]])=0,"",COUNTIF('Quipt Prod Data'!L:L,Data[[#This Row],[unqid]]))</f>
        <v/>
      </c>
    </row>
    <row r="892" spans="1:6" x14ac:dyDescent="0.3">
      <c r="A892" t="s">
        <v>1106</v>
      </c>
      <c r="B892" t="s">
        <v>41</v>
      </c>
      <c r="C892" t="s">
        <v>53</v>
      </c>
      <c r="D892" s="1" t="str">
        <f>_xlfn.IFNA(_xlfn.XLOOKUP(Data[[#This Row],[unqid]],'Quipt Prod Data'!L:L,'Quipt Prod Data'!B:B),"")</f>
        <v/>
      </c>
      <c r="E892" s="1" t="str">
        <f>_xlfn.IFNA(_xlfn.XMATCH(Data[[#This Row],[unqid]],'Quipt Prod Data'!L:L,0),"")</f>
        <v/>
      </c>
      <c r="F892" s="1" t="str">
        <f>IF(COUNTIF('Quipt Prod Data'!L:L,Data[[#This Row],[unqid]])=0,"",COUNTIF('Quipt Prod Data'!L:L,Data[[#This Row],[unqid]]))</f>
        <v/>
      </c>
    </row>
    <row r="893" spans="1:6" x14ac:dyDescent="0.3">
      <c r="A893" t="s">
        <v>1107</v>
      </c>
      <c r="B893" t="s">
        <v>41</v>
      </c>
      <c r="C893" t="s">
        <v>54</v>
      </c>
      <c r="D893" s="1" t="str">
        <f>_xlfn.IFNA(_xlfn.XLOOKUP(Data[[#This Row],[unqid]],'Quipt Prod Data'!L:L,'Quipt Prod Data'!B:B),"")</f>
        <v/>
      </c>
      <c r="E893" s="1" t="str">
        <f>_xlfn.IFNA(_xlfn.XMATCH(Data[[#This Row],[unqid]],'Quipt Prod Data'!L:L,0),"")</f>
        <v/>
      </c>
      <c r="F893" s="1" t="str">
        <f>IF(COUNTIF('Quipt Prod Data'!L:L,Data[[#This Row],[unqid]])=0,"",COUNTIF('Quipt Prod Data'!L:L,Data[[#This Row],[unqid]]))</f>
        <v/>
      </c>
    </row>
    <row r="894" spans="1:6" x14ac:dyDescent="0.3">
      <c r="A894" t="s">
        <v>1108</v>
      </c>
      <c r="B894" t="s">
        <v>41</v>
      </c>
      <c r="C894" t="s">
        <v>54</v>
      </c>
      <c r="D894" s="1" t="str">
        <f>_xlfn.IFNA(_xlfn.XLOOKUP(Data[[#This Row],[unqid]],'Quipt Prod Data'!L:L,'Quipt Prod Data'!B:B),"")</f>
        <v/>
      </c>
      <c r="E894" s="1" t="str">
        <f>_xlfn.IFNA(_xlfn.XMATCH(Data[[#This Row],[unqid]],'Quipt Prod Data'!L:L,0),"")</f>
        <v/>
      </c>
      <c r="F894" s="1" t="str">
        <f>IF(COUNTIF('Quipt Prod Data'!L:L,Data[[#This Row],[unqid]])=0,"",COUNTIF('Quipt Prod Data'!L:L,Data[[#This Row],[unqid]]))</f>
        <v/>
      </c>
    </row>
    <row r="895" spans="1:6" x14ac:dyDescent="0.3">
      <c r="A895" t="s">
        <v>1109</v>
      </c>
      <c r="B895" t="s">
        <v>26</v>
      </c>
      <c r="C895" t="s">
        <v>27</v>
      </c>
      <c r="D895" s="1" t="str">
        <f>_xlfn.IFNA(_xlfn.XLOOKUP(Data[[#This Row],[unqid]],'Quipt Prod Data'!L:L,'Quipt Prod Data'!B:B),"")</f>
        <v/>
      </c>
      <c r="E895" s="1" t="str">
        <f>_xlfn.IFNA(_xlfn.XMATCH(Data[[#This Row],[unqid]],'Quipt Prod Data'!L:L,0),"")</f>
        <v/>
      </c>
      <c r="F895" s="1" t="str">
        <f>IF(COUNTIF('Quipt Prod Data'!L:L,Data[[#This Row],[unqid]])=0,"",COUNTIF('Quipt Prod Data'!L:L,Data[[#This Row],[unqid]]))</f>
        <v/>
      </c>
    </row>
    <row r="896" spans="1:6" x14ac:dyDescent="0.3">
      <c r="A896" t="s">
        <v>1110</v>
      </c>
      <c r="B896" t="s">
        <v>34</v>
      </c>
      <c r="C896" t="s">
        <v>48</v>
      </c>
      <c r="D896" s="1" t="str">
        <f>_xlfn.IFNA(_xlfn.XLOOKUP(Data[[#This Row],[unqid]],'Quipt Prod Data'!L:L,'Quipt Prod Data'!B:B),"")</f>
        <v/>
      </c>
      <c r="E896" s="1" t="str">
        <f>_xlfn.IFNA(_xlfn.XMATCH(Data[[#This Row],[unqid]],'Quipt Prod Data'!L:L,0),"")</f>
        <v/>
      </c>
      <c r="F896" s="1" t="str">
        <f>IF(COUNTIF('Quipt Prod Data'!L:L,Data[[#This Row],[unqid]])=0,"",COUNTIF('Quipt Prod Data'!L:L,Data[[#This Row],[unqid]]))</f>
        <v/>
      </c>
    </row>
    <row r="897" spans="1:6" x14ac:dyDescent="0.3">
      <c r="A897" t="s">
        <v>1111</v>
      </c>
      <c r="B897" t="s">
        <v>41</v>
      </c>
      <c r="C897" t="s">
        <v>53</v>
      </c>
      <c r="D897" s="1" t="str">
        <f>_xlfn.IFNA(_xlfn.XLOOKUP(Data[[#This Row],[unqid]],'Quipt Prod Data'!L:L,'Quipt Prod Data'!B:B),"")</f>
        <v/>
      </c>
      <c r="E897" s="1" t="str">
        <f>_xlfn.IFNA(_xlfn.XMATCH(Data[[#This Row],[unqid]],'Quipt Prod Data'!L:L,0),"")</f>
        <v/>
      </c>
      <c r="F897" s="1" t="str">
        <f>IF(COUNTIF('Quipt Prod Data'!L:L,Data[[#This Row],[unqid]])=0,"",COUNTIF('Quipt Prod Data'!L:L,Data[[#This Row],[unqid]]))</f>
        <v/>
      </c>
    </row>
    <row r="898" spans="1:6" x14ac:dyDescent="0.3">
      <c r="A898" t="s">
        <v>1112</v>
      </c>
      <c r="B898" t="s">
        <v>41</v>
      </c>
      <c r="C898" t="s">
        <v>44</v>
      </c>
      <c r="D898" s="1" t="str">
        <f>_xlfn.IFNA(_xlfn.XLOOKUP(Data[[#This Row],[unqid]],'Quipt Prod Data'!L:L,'Quipt Prod Data'!B:B),"")</f>
        <v/>
      </c>
      <c r="E898" s="1" t="str">
        <f>_xlfn.IFNA(_xlfn.XMATCH(Data[[#This Row],[unqid]],'Quipt Prod Data'!L:L,0),"")</f>
        <v/>
      </c>
      <c r="F898" s="1" t="str">
        <f>IF(COUNTIF('Quipt Prod Data'!L:L,Data[[#This Row],[unqid]])=0,"",COUNTIF('Quipt Prod Data'!L:L,Data[[#This Row],[unqid]]))</f>
        <v/>
      </c>
    </row>
    <row r="899" spans="1:6" x14ac:dyDescent="0.3">
      <c r="A899" t="s">
        <v>1113</v>
      </c>
      <c r="B899" t="s">
        <v>41</v>
      </c>
      <c r="C899" t="s">
        <v>52</v>
      </c>
      <c r="D899" s="1" t="str">
        <f>_xlfn.IFNA(_xlfn.XLOOKUP(Data[[#This Row],[unqid]],'Quipt Prod Data'!L:L,'Quipt Prod Data'!B:B),"")</f>
        <v/>
      </c>
      <c r="E899" s="1" t="str">
        <f>_xlfn.IFNA(_xlfn.XMATCH(Data[[#This Row],[unqid]],'Quipt Prod Data'!L:L,0),"")</f>
        <v/>
      </c>
      <c r="F899" s="1" t="str">
        <f>IF(COUNTIF('Quipt Prod Data'!L:L,Data[[#This Row],[unqid]])=0,"",COUNTIF('Quipt Prod Data'!L:L,Data[[#This Row],[unqid]]))</f>
        <v/>
      </c>
    </row>
    <row r="900" spans="1:6" x14ac:dyDescent="0.3">
      <c r="A900" t="s">
        <v>1114</v>
      </c>
      <c r="B900" t="s">
        <v>41</v>
      </c>
      <c r="C900" t="s">
        <v>53</v>
      </c>
      <c r="D900" s="1" t="str">
        <f>_xlfn.IFNA(_xlfn.XLOOKUP(Data[[#This Row],[unqid]],'Quipt Prod Data'!L:L,'Quipt Prod Data'!B:B),"")</f>
        <v/>
      </c>
      <c r="E900" s="1" t="str">
        <f>_xlfn.IFNA(_xlfn.XMATCH(Data[[#This Row],[unqid]],'Quipt Prod Data'!L:L,0),"")</f>
        <v/>
      </c>
      <c r="F900" s="1" t="str">
        <f>IF(COUNTIF('Quipt Prod Data'!L:L,Data[[#This Row],[unqid]])=0,"",COUNTIF('Quipt Prod Data'!L:L,Data[[#This Row],[unqid]]))</f>
        <v/>
      </c>
    </row>
    <row r="901" spans="1:6" x14ac:dyDescent="0.3">
      <c r="A901" t="s">
        <v>1115</v>
      </c>
      <c r="B901" t="s">
        <v>41</v>
      </c>
      <c r="C901" t="s">
        <v>46</v>
      </c>
      <c r="D901" s="1" t="str">
        <f>_xlfn.IFNA(_xlfn.XLOOKUP(Data[[#This Row],[unqid]],'Quipt Prod Data'!L:L,'Quipt Prod Data'!B:B),"")</f>
        <v/>
      </c>
      <c r="E901" s="1" t="str">
        <f>_xlfn.IFNA(_xlfn.XMATCH(Data[[#This Row],[unqid]],'Quipt Prod Data'!L:L,0),"")</f>
        <v/>
      </c>
      <c r="F901" s="1" t="str">
        <f>IF(COUNTIF('Quipt Prod Data'!L:L,Data[[#This Row],[unqid]])=0,"",COUNTIF('Quipt Prod Data'!L:L,Data[[#This Row],[unqid]]))</f>
        <v/>
      </c>
    </row>
    <row r="902" spans="1:6" x14ac:dyDescent="0.3">
      <c r="A902" t="s">
        <v>1116</v>
      </c>
      <c r="B902" t="s">
        <v>41</v>
      </c>
      <c r="C902" t="s">
        <v>53</v>
      </c>
      <c r="D902" s="1" t="str">
        <f>_xlfn.IFNA(_xlfn.XLOOKUP(Data[[#This Row],[unqid]],'Quipt Prod Data'!L:L,'Quipt Prod Data'!B:B),"")</f>
        <v/>
      </c>
      <c r="E902" s="1" t="str">
        <f>_xlfn.IFNA(_xlfn.XMATCH(Data[[#This Row],[unqid]],'Quipt Prod Data'!L:L,0),"")</f>
        <v/>
      </c>
      <c r="F902" s="1" t="str">
        <f>IF(COUNTIF('Quipt Prod Data'!L:L,Data[[#This Row],[unqid]])=0,"",COUNTIF('Quipt Prod Data'!L:L,Data[[#This Row],[unqid]]))</f>
        <v/>
      </c>
    </row>
    <row r="903" spans="1:6" x14ac:dyDescent="0.3">
      <c r="A903" t="s">
        <v>1117</v>
      </c>
      <c r="B903" t="s">
        <v>41</v>
      </c>
      <c r="C903" t="s">
        <v>53</v>
      </c>
      <c r="D903" s="1" t="str">
        <f>_xlfn.IFNA(_xlfn.XLOOKUP(Data[[#This Row],[unqid]],'Quipt Prod Data'!L:L,'Quipt Prod Data'!B:B),"")</f>
        <v/>
      </c>
      <c r="E903" s="1" t="str">
        <f>_xlfn.IFNA(_xlfn.XMATCH(Data[[#This Row],[unqid]],'Quipt Prod Data'!L:L,0),"")</f>
        <v/>
      </c>
      <c r="F903" s="1" t="str">
        <f>IF(COUNTIF('Quipt Prod Data'!L:L,Data[[#This Row],[unqid]])=0,"",COUNTIF('Quipt Prod Data'!L:L,Data[[#This Row],[unqid]]))</f>
        <v/>
      </c>
    </row>
    <row r="904" spans="1:6" x14ac:dyDescent="0.3">
      <c r="A904" t="s">
        <v>1118</v>
      </c>
      <c r="B904" t="s">
        <v>56</v>
      </c>
      <c r="C904" t="s">
        <v>27</v>
      </c>
      <c r="D904" s="1" t="str">
        <f>_xlfn.IFNA(_xlfn.XLOOKUP(Data[[#This Row],[unqid]],'Quipt Prod Data'!L:L,'Quipt Prod Data'!B:B),"")</f>
        <v/>
      </c>
      <c r="E904" s="1" t="str">
        <f>_xlfn.IFNA(_xlfn.XMATCH(Data[[#This Row],[unqid]],'Quipt Prod Data'!L:L,0),"")</f>
        <v/>
      </c>
      <c r="F904" s="1" t="str">
        <f>IF(COUNTIF('Quipt Prod Data'!L:L,Data[[#This Row],[unqid]])=0,"",COUNTIF('Quipt Prod Data'!L:L,Data[[#This Row],[unqid]]))</f>
        <v/>
      </c>
    </row>
    <row r="905" spans="1:6" x14ac:dyDescent="0.3">
      <c r="A905" t="s">
        <v>1119</v>
      </c>
      <c r="B905" t="s">
        <v>42</v>
      </c>
      <c r="C905" t="s">
        <v>27</v>
      </c>
      <c r="D905" s="1" t="str">
        <f>_xlfn.IFNA(_xlfn.XLOOKUP(Data[[#This Row],[unqid]],'Quipt Prod Data'!L:L,'Quipt Prod Data'!B:B),"")</f>
        <v/>
      </c>
      <c r="E905" s="1" t="str">
        <f>_xlfn.IFNA(_xlfn.XMATCH(Data[[#This Row],[unqid]],'Quipt Prod Data'!L:L,0),"")</f>
        <v/>
      </c>
      <c r="F905" s="1" t="str">
        <f>IF(COUNTIF('Quipt Prod Data'!L:L,Data[[#This Row],[unqid]])=0,"",COUNTIF('Quipt Prod Data'!L:L,Data[[#This Row],[unqid]]))</f>
        <v/>
      </c>
    </row>
    <row r="906" spans="1:6" x14ac:dyDescent="0.3">
      <c r="A906" t="s">
        <v>1120</v>
      </c>
      <c r="B906" t="s">
        <v>41</v>
      </c>
      <c r="C906" t="s">
        <v>54</v>
      </c>
      <c r="D906" s="1" t="str">
        <f>_xlfn.IFNA(_xlfn.XLOOKUP(Data[[#This Row],[unqid]],'Quipt Prod Data'!L:L,'Quipt Prod Data'!B:B),"")</f>
        <v/>
      </c>
      <c r="E906" s="1" t="str">
        <f>_xlfn.IFNA(_xlfn.XMATCH(Data[[#This Row],[unqid]],'Quipt Prod Data'!L:L,0),"")</f>
        <v/>
      </c>
      <c r="F906" s="1" t="str">
        <f>IF(COUNTIF('Quipt Prod Data'!L:L,Data[[#This Row],[unqid]])=0,"",COUNTIF('Quipt Prod Data'!L:L,Data[[#This Row],[unqid]]))</f>
        <v/>
      </c>
    </row>
    <row r="907" spans="1:6" x14ac:dyDescent="0.3">
      <c r="A907" t="s">
        <v>1121</v>
      </c>
      <c r="B907" t="s">
        <v>32</v>
      </c>
      <c r="C907" t="s">
        <v>27</v>
      </c>
      <c r="D907" s="1" t="str">
        <f>_xlfn.IFNA(_xlfn.XLOOKUP(Data[[#This Row],[unqid]],'Quipt Prod Data'!L:L,'Quipt Prod Data'!B:B),"")</f>
        <v/>
      </c>
      <c r="E907" s="1" t="str">
        <f>_xlfn.IFNA(_xlfn.XMATCH(Data[[#This Row],[unqid]],'Quipt Prod Data'!L:L,0),"")</f>
        <v/>
      </c>
      <c r="F907" s="1" t="str">
        <f>IF(COUNTIF('Quipt Prod Data'!L:L,Data[[#This Row],[unqid]])=0,"",COUNTIF('Quipt Prod Data'!L:L,Data[[#This Row],[unqid]]))</f>
        <v/>
      </c>
    </row>
    <row r="908" spans="1:6" x14ac:dyDescent="0.3">
      <c r="A908" t="s">
        <v>1122</v>
      </c>
      <c r="B908" t="s">
        <v>41</v>
      </c>
      <c r="C908" t="s">
        <v>54</v>
      </c>
      <c r="D908" s="1" t="str">
        <f>_xlfn.IFNA(_xlfn.XLOOKUP(Data[[#This Row],[unqid]],'Quipt Prod Data'!L:L,'Quipt Prod Data'!B:B),"")</f>
        <v/>
      </c>
      <c r="E908" s="1" t="str">
        <f>_xlfn.IFNA(_xlfn.XMATCH(Data[[#This Row],[unqid]],'Quipt Prod Data'!L:L,0),"")</f>
        <v/>
      </c>
      <c r="F908" s="1" t="str">
        <f>IF(COUNTIF('Quipt Prod Data'!L:L,Data[[#This Row],[unqid]])=0,"",COUNTIF('Quipt Prod Data'!L:L,Data[[#This Row],[unqid]]))</f>
        <v/>
      </c>
    </row>
    <row r="909" spans="1:6" x14ac:dyDescent="0.3">
      <c r="A909" t="s">
        <v>1123</v>
      </c>
      <c r="B909" t="s">
        <v>34</v>
      </c>
      <c r="C909" t="s">
        <v>54</v>
      </c>
      <c r="D909" s="1" t="str">
        <f>_xlfn.IFNA(_xlfn.XLOOKUP(Data[[#This Row],[unqid]],'Quipt Prod Data'!L:L,'Quipt Prod Data'!B:B),"")</f>
        <v/>
      </c>
      <c r="E909" s="1" t="str">
        <f>_xlfn.IFNA(_xlfn.XMATCH(Data[[#This Row],[unqid]],'Quipt Prod Data'!L:L,0),"")</f>
        <v/>
      </c>
      <c r="F909" s="1" t="str">
        <f>IF(COUNTIF('Quipt Prod Data'!L:L,Data[[#This Row],[unqid]])=0,"",COUNTIF('Quipt Prod Data'!L:L,Data[[#This Row],[unqid]]))</f>
        <v/>
      </c>
    </row>
    <row r="910" spans="1:6" x14ac:dyDescent="0.3">
      <c r="A910" t="s">
        <v>1124</v>
      </c>
      <c r="B910" t="s">
        <v>41</v>
      </c>
      <c r="C910" t="s">
        <v>44</v>
      </c>
      <c r="D910" s="1" t="str">
        <f>_xlfn.IFNA(_xlfn.XLOOKUP(Data[[#This Row],[unqid]],'Quipt Prod Data'!L:L,'Quipt Prod Data'!B:B),"")</f>
        <v/>
      </c>
      <c r="E910" s="1" t="str">
        <f>_xlfn.IFNA(_xlfn.XMATCH(Data[[#This Row],[unqid]],'Quipt Prod Data'!L:L,0),"")</f>
        <v/>
      </c>
      <c r="F910" s="1" t="str">
        <f>IF(COUNTIF('Quipt Prod Data'!L:L,Data[[#This Row],[unqid]])=0,"",COUNTIF('Quipt Prod Data'!L:L,Data[[#This Row],[unqid]]))</f>
        <v/>
      </c>
    </row>
    <row r="911" spans="1:6" x14ac:dyDescent="0.3">
      <c r="A911" t="s">
        <v>1125</v>
      </c>
      <c r="B911" t="s">
        <v>41</v>
      </c>
      <c r="C911" t="s">
        <v>46</v>
      </c>
      <c r="D911" s="1" t="str">
        <f>_xlfn.IFNA(_xlfn.XLOOKUP(Data[[#This Row],[unqid]],'Quipt Prod Data'!L:L,'Quipt Prod Data'!B:B),"")</f>
        <v/>
      </c>
      <c r="E911" s="1" t="str">
        <f>_xlfn.IFNA(_xlfn.XMATCH(Data[[#This Row],[unqid]],'Quipt Prod Data'!L:L,0),"")</f>
        <v/>
      </c>
      <c r="F911" s="1" t="str">
        <f>IF(COUNTIF('Quipt Prod Data'!L:L,Data[[#This Row],[unqid]])=0,"",COUNTIF('Quipt Prod Data'!L:L,Data[[#This Row],[unqid]]))</f>
        <v/>
      </c>
    </row>
    <row r="912" spans="1:6" x14ac:dyDescent="0.3">
      <c r="A912" t="s">
        <v>1126</v>
      </c>
      <c r="B912" t="s">
        <v>33</v>
      </c>
      <c r="C912" t="s">
        <v>43</v>
      </c>
      <c r="D912" s="1" t="str">
        <f>_xlfn.IFNA(_xlfn.XLOOKUP(Data[[#This Row],[unqid]],'Quipt Prod Data'!L:L,'Quipt Prod Data'!B:B),"")</f>
        <v/>
      </c>
      <c r="E912" s="1" t="str">
        <f>_xlfn.IFNA(_xlfn.XMATCH(Data[[#This Row],[unqid]],'Quipt Prod Data'!L:L,0),"")</f>
        <v/>
      </c>
      <c r="F912" s="1" t="str">
        <f>IF(COUNTIF('Quipt Prod Data'!L:L,Data[[#This Row],[unqid]])=0,"",COUNTIF('Quipt Prod Data'!L:L,Data[[#This Row],[unqid]]))</f>
        <v/>
      </c>
    </row>
    <row r="913" spans="1:6" x14ac:dyDescent="0.3">
      <c r="A913" t="s">
        <v>1127</v>
      </c>
      <c r="B913" t="s">
        <v>41</v>
      </c>
      <c r="C913" t="s">
        <v>27</v>
      </c>
      <c r="D913" s="1" t="str">
        <f>_xlfn.IFNA(_xlfn.XLOOKUP(Data[[#This Row],[unqid]],'Quipt Prod Data'!L:L,'Quipt Prod Data'!B:B),"")</f>
        <v/>
      </c>
      <c r="E913" s="1" t="str">
        <f>_xlfn.IFNA(_xlfn.XMATCH(Data[[#This Row],[unqid]],'Quipt Prod Data'!L:L,0),"")</f>
        <v/>
      </c>
      <c r="F913" s="1" t="str">
        <f>IF(COUNTIF('Quipt Prod Data'!L:L,Data[[#This Row],[unqid]])=0,"",COUNTIF('Quipt Prod Data'!L:L,Data[[#This Row],[unqid]]))</f>
        <v/>
      </c>
    </row>
    <row r="914" spans="1:6" x14ac:dyDescent="0.3">
      <c r="A914" t="s">
        <v>1128</v>
      </c>
      <c r="B914" t="s">
        <v>41</v>
      </c>
      <c r="C914" t="s">
        <v>54</v>
      </c>
      <c r="D914" s="1" t="str">
        <f>_xlfn.IFNA(_xlfn.XLOOKUP(Data[[#This Row],[unqid]],'Quipt Prod Data'!L:L,'Quipt Prod Data'!B:B),"")</f>
        <v/>
      </c>
      <c r="E914" s="1" t="str">
        <f>_xlfn.IFNA(_xlfn.XMATCH(Data[[#This Row],[unqid]],'Quipt Prod Data'!L:L,0),"")</f>
        <v/>
      </c>
      <c r="F914" s="1" t="str">
        <f>IF(COUNTIF('Quipt Prod Data'!L:L,Data[[#This Row],[unqid]])=0,"",COUNTIF('Quipt Prod Data'!L:L,Data[[#This Row],[unqid]]))</f>
        <v/>
      </c>
    </row>
    <row r="915" spans="1:6" x14ac:dyDescent="0.3">
      <c r="A915" t="s">
        <v>1129</v>
      </c>
      <c r="B915" t="s">
        <v>41</v>
      </c>
      <c r="C915" t="s">
        <v>45</v>
      </c>
      <c r="D915" s="1" t="str">
        <f>_xlfn.IFNA(_xlfn.XLOOKUP(Data[[#This Row],[unqid]],'Quipt Prod Data'!L:L,'Quipt Prod Data'!B:B),"")</f>
        <v/>
      </c>
      <c r="E915" s="1" t="str">
        <f>_xlfn.IFNA(_xlfn.XMATCH(Data[[#This Row],[unqid]],'Quipt Prod Data'!L:L,0),"")</f>
        <v/>
      </c>
      <c r="F915" s="1" t="str">
        <f>IF(COUNTIF('Quipt Prod Data'!L:L,Data[[#This Row],[unqid]])=0,"",COUNTIF('Quipt Prod Data'!L:L,Data[[#This Row],[unqid]]))</f>
        <v/>
      </c>
    </row>
    <row r="916" spans="1:6" x14ac:dyDescent="0.3">
      <c r="A916" t="s">
        <v>1130</v>
      </c>
      <c r="B916" t="s">
        <v>41</v>
      </c>
      <c r="C916" t="s">
        <v>54</v>
      </c>
      <c r="D916" s="1" t="str">
        <f>_xlfn.IFNA(_xlfn.XLOOKUP(Data[[#This Row],[unqid]],'Quipt Prod Data'!L:L,'Quipt Prod Data'!B:B),"")</f>
        <v/>
      </c>
      <c r="E916" s="1" t="str">
        <f>_xlfn.IFNA(_xlfn.XMATCH(Data[[#This Row],[unqid]],'Quipt Prod Data'!L:L,0),"")</f>
        <v/>
      </c>
      <c r="F916" s="1" t="str">
        <f>IF(COUNTIF('Quipt Prod Data'!L:L,Data[[#This Row],[unqid]])=0,"",COUNTIF('Quipt Prod Data'!L:L,Data[[#This Row],[unqid]]))</f>
        <v/>
      </c>
    </row>
    <row r="917" spans="1:6" x14ac:dyDescent="0.3">
      <c r="A917" t="s">
        <v>1131</v>
      </c>
      <c r="B917" t="s">
        <v>32</v>
      </c>
      <c r="C917" t="s">
        <v>27</v>
      </c>
      <c r="D917" s="1" t="str">
        <f>_xlfn.IFNA(_xlfn.XLOOKUP(Data[[#This Row],[unqid]],'Quipt Prod Data'!L:L,'Quipt Prod Data'!B:B),"")</f>
        <v/>
      </c>
      <c r="E917" s="1" t="str">
        <f>_xlfn.IFNA(_xlfn.XMATCH(Data[[#This Row],[unqid]],'Quipt Prod Data'!L:L,0),"")</f>
        <v/>
      </c>
      <c r="F917" s="1" t="str">
        <f>IF(COUNTIF('Quipt Prod Data'!L:L,Data[[#This Row],[unqid]])=0,"",COUNTIF('Quipt Prod Data'!L:L,Data[[#This Row],[unqid]]))</f>
        <v/>
      </c>
    </row>
    <row r="918" spans="1:6" x14ac:dyDescent="0.3">
      <c r="A918" t="s">
        <v>1132</v>
      </c>
      <c r="B918" t="s">
        <v>41</v>
      </c>
      <c r="C918" t="s">
        <v>53</v>
      </c>
      <c r="D918" s="1" t="str">
        <f>_xlfn.IFNA(_xlfn.XLOOKUP(Data[[#This Row],[unqid]],'Quipt Prod Data'!L:L,'Quipt Prod Data'!B:B),"")</f>
        <v/>
      </c>
      <c r="E918" s="1" t="str">
        <f>_xlfn.IFNA(_xlfn.XMATCH(Data[[#This Row],[unqid]],'Quipt Prod Data'!L:L,0),"")</f>
        <v/>
      </c>
      <c r="F918" s="1" t="str">
        <f>IF(COUNTIF('Quipt Prod Data'!L:L,Data[[#This Row],[unqid]])=0,"",COUNTIF('Quipt Prod Data'!L:L,Data[[#This Row],[unqid]]))</f>
        <v/>
      </c>
    </row>
    <row r="919" spans="1:6" x14ac:dyDescent="0.3">
      <c r="A919" t="s">
        <v>1133</v>
      </c>
      <c r="B919" t="s">
        <v>55</v>
      </c>
      <c r="C919" t="s">
        <v>48</v>
      </c>
      <c r="D919" s="1" t="str">
        <f>_xlfn.IFNA(_xlfn.XLOOKUP(Data[[#This Row],[unqid]],'Quipt Prod Data'!L:L,'Quipt Prod Data'!B:B),"")</f>
        <v/>
      </c>
      <c r="E919" s="1" t="str">
        <f>_xlfn.IFNA(_xlfn.XMATCH(Data[[#This Row],[unqid]],'Quipt Prod Data'!L:L,0),"")</f>
        <v/>
      </c>
      <c r="F919" s="1" t="str">
        <f>IF(COUNTIF('Quipt Prod Data'!L:L,Data[[#This Row],[unqid]])=0,"",COUNTIF('Quipt Prod Data'!L:L,Data[[#This Row],[unqid]]))</f>
        <v/>
      </c>
    </row>
    <row r="920" spans="1:6" x14ac:dyDescent="0.3">
      <c r="A920" t="s">
        <v>1134</v>
      </c>
      <c r="B920" t="s">
        <v>41</v>
      </c>
      <c r="C920" t="s">
        <v>54</v>
      </c>
      <c r="D920" s="1" t="str">
        <f>_xlfn.IFNA(_xlfn.XLOOKUP(Data[[#This Row],[unqid]],'Quipt Prod Data'!L:L,'Quipt Prod Data'!B:B),"")</f>
        <v/>
      </c>
      <c r="E920" s="1" t="str">
        <f>_xlfn.IFNA(_xlfn.XMATCH(Data[[#This Row],[unqid]],'Quipt Prod Data'!L:L,0),"")</f>
        <v/>
      </c>
      <c r="F920" s="1" t="str">
        <f>IF(COUNTIF('Quipt Prod Data'!L:L,Data[[#This Row],[unqid]])=0,"",COUNTIF('Quipt Prod Data'!L:L,Data[[#This Row],[unqid]]))</f>
        <v/>
      </c>
    </row>
    <row r="921" spans="1:6" x14ac:dyDescent="0.3">
      <c r="A921" t="s">
        <v>1135</v>
      </c>
      <c r="B921" t="s">
        <v>32</v>
      </c>
      <c r="C921" t="s">
        <v>27</v>
      </c>
      <c r="D921" s="1" t="str">
        <f>_xlfn.IFNA(_xlfn.XLOOKUP(Data[[#This Row],[unqid]],'Quipt Prod Data'!L:L,'Quipt Prod Data'!B:B),"")</f>
        <v/>
      </c>
      <c r="E921" s="1" t="str">
        <f>_xlfn.IFNA(_xlfn.XMATCH(Data[[#This Row],[unqid]],'Quipt Prod Data'!L:L,0),"")</f>
        <v/>
      </c>
      <c r="F921" s="1" t="str">
        <f>IF(COUNTIF('Quipt Prod Data'!L:L,Data[[#This Row],[unqid]])=0,"",COUNTIF('Quipt Prod Data'!L:L,Data[[#This Row],[unqid]]))</f>
        <v/>
      </c>
    </row>
    <row r="922" spans="1:6" x14ac:dyDescent="0.3">
      <c r="A922" t="s">
        <v>1136</v>
      </c>
      <c r="B922" t="s">
        <v>42</v>
      </c>
      <c r="C922" t="s">
        <v>27</v>
      </c>
      <c r="D922" s="1" t="str">
        <f>_xlfn.IFNA(_xlfn.XLOOKUP(Data[[#This Row],[unqid]],'Quipt Prod Data'!L:L,'Quipt Prod Data'!B:B),"")</f>
        <v/>
      </c>
      <c r="E922" s="1" t="str">
        <f>_xlfn.IFNA(_xlfn.XMATCH(Data[[#This Row],[unqid]],'Quipt Prod Data'!L:L,0),"")</f>
        <v/>
      </c>
      <c r="F922" s="1" t="str">
        <f>IF(COUNTIF('Quipt Prod Data'!L:L,Data[[#This Row],[unqid]])=0,"",COUNTIF('Quipt Prod Data'!L:L,Data[[#This Row],[unqid]]))</f>
        <v/>
      </c>
    </row>
    <row r="923" spans="1:6" x14ac:dyDescent="0.3">
      <c r="A923" t="s">
        <v>1137</v>
      </c>
      <c r="B923" t="s">
        <v>32</v>
      </c>
      <c r="C923" t="s">
        <v>27</v>
      </c>
      <c r="D923" s="1" t="str">
        <f>_xlfn.IFNA(_xlfn.XLOOKUP(Data[[#This Row],[unqid]],'Quipt Prod Data'!L:L,'Quipt Prod Data'!B:B),"")</f>
        <v/>
      </c>
      <c r="E923" s="1" t="str">
        <f>_xlfn.IFNA(_xlfn.XMATCH(Data[[#This Row],[unqid]],'Quipt Prod Data'!L:L,0),"")</f>
        <v/>
      </c>
      <c r="F923" s="1" t="str">
        <f>IF(COUNTIF('Quipt Prod Data'!L:L,Data[[#This Row],[unqid]])=0,"",COUNTIF('Quipt Prod Data'!L:L,Data[[#This Row],[unqid]]))</f>
        <v/>
      </c>
    </row>
    <row r="924" spans="1:6" x14ac:dyDescent="0.3">
      <c r="A924" t="s">
        <v>1138</v>
      </c>
      <c r="B924" t="s">
        <v>41</v>
      </c>
      <c r="C924" t="s">
        <v>53</v>
      </c>
      <c r="D924" s="1" t="str">
        <f>_xlfn.IFNA(_xlfn.XLOOKUP(Data[[#This Row],[unqid]],'Quipt Prod Data'!L:L,'Quipt Prod Data'!B:B),"")</f>
        <v/>
      </c>
      <c r="E924" s="1" t="str">
        <f>_xlfn.IFNA(_xlfn.XMATCH(Data[[#This Row],[unqid]],'Quipt Prod Data'!L:L,0),"")</f>
        <v/>
      </c>
      <c r="F924" s="1" t="str">
        <f>IF(COUNTIF('Quipt Prod Data'!L:L,Data[[#This Row],[unqid]])=0,"",COUNTIF('Quipt Prod Data'!L:L,Data[[#This Row],[unqid]]))</f>
        <v/>
      </c>
    </row>
    <row r="925" spans="1:6" x14ac:dyDescent="0.3">
      <c r="A925" t="s">
        <v>1139</v>
      </c>
      <c r="B925" t="s">
        <v>32</v>
      </c>
      <c r="C925" t="s">
        <v>27</v>
      </c>
      <c r="D925" s="1" t="str">
        <f>_xlfn.IFNA(_xlfn.XLOOKUP(Data[[#This Row],[unqid]],'Quipt Prod Data'!L:L,'Quipt Prod Data'!B:B),"")</f>
        <v/>
      </c>
      <c r="E925" s="1" t="str">
        <f>_xlfn.IFNA(_xlfn.XMATCH(Data[[#This Row],[unqid]],'Quipt Prod Data'!L:L,0),"")</f>
        <v/>
      </c>
      <c r="F925" s="1" t="str">
        <f>IF(COUNTIF('Quipt Prod Data'!L:L,Data[[#This Row],[unqid]])=0,"",COUNTIF('Quipt Prod Data'!L:L,Data[[#This Row],[unqid]]))</f>
        <v/>
      </c>
    </row>
    <row r="926" spans="1:6" x14ac:dyDescent="0.3">
      <c r="A926" t="s">
        <v>1140</v>
      </c>
      <c r="B926" t="s">
        <v>41</v>
      </c>
      <c r="C926" t="s">
        <v>54</v>
      </c>
      <c r="D926" s="1" t="str">
        <f>_xlfn.IFNA(_xlfn.XLOOKUP(Data[[#This Row],[unqid]],'Quipt Prod Data'!L:L,'Quipt Prod Data'!B:B),"")</f>
        <v/>
      </c>
      <c r="E926" s="1" t="str">
        <f>_xlfn.IFNA(_xlfn.XMATCH(Data[[#This Row],[unqid]],'Quipt Prod Data'!L:L,0),"")</f>
        <v/>
      </c>
      <c r="F926" s="1" t="str">
        <f>IF(COUNTIF('Quipt Prod Data'!L:L,Data[[#This Row],[unqid]])=0,"",COUNTIF('Quipt Prod Data'!L:L,Data[[#This Row],[unqid]]))</f>
        <v/>
      </c>
    </row>
    <row r="927" spans="1:6" x14ac:dyDescent="0.3">
      <c r="A927" t="s">
        <v>1141</v>
      </c>
      <c r="B927" t="s">
        <v>41</v>
      </c>
      <c r="C927" t="s">
        <v>54</v>
      </c>
      <c r="D927" s="1" t="str">
        <f>_xlfn.IFNA(_xlfn.XLOOKUP(Data[[#This Row],[unqid]],'Quipt Prod Data'!L:L,'Quipt Prod Data'!B:B),"")</f>
        <v/>
      </c>
      <c r="E927" s="1" t="str">
        <f>_xlfn.IFNA(_xlfn.XMATCH(Data[[#This Row],[unqid]],'Quipt Prod Data'!L:L,0),"")</f>
        <v/>
      </c>
      <c r="F927" s="1" t="str">
        <f>IF(COUNTIF('Quipt Prod Data'!L:L,Data[[#This Row],[unqid]])=0,"",COUNTIF('Quipt Prod Data'!L:L,Data[[#This Row],[unqid]]))</f>
        <v/>
      </c>
    </row>
    <row r="928" spans="1:6" x14ac:dyDescent="0.3">
      <c r="A928" t="s">
        <v>1142</v>
      </c>
      <c r="B928" t="s">
        <v>41</v>
      </c>
      <c r="C928" t="s">
        <v>54</v>
      </c>
      <c r="D928" s="1" t="str">
        <f>_xlfn.IFNA(_xlfn.XLOOKUP(Data[[#This Row],[unqid]],'Quipt Prod Data'!L:L,'Quipt Prod Data'!B:B),"")</f>
        <v/>
      </c>
      <c r="E928" s="1" t="str">
        <f>_xlfn.IFNA(_xlfn.XMATCH(Data[[#This Row],[unqid]],'Quipt Prod Data'!L:L,0),"")</f>
        <v/>
      </c>
      <c r="F928" s="1" t="str">
        <f>IF(COUNTIF('Quipt Prod Data'!L:L,Data[[#This Row],[unqid]])=0,"",COUNTIF('Quipt Prod Data'!L:L,Data[[#This Row],[unqid]]))</f>
        <v/>
      </c>
    </row>
    <row r="929" spans="1:6" x14ac:dyDescent="0.3">
      <c r="A929" t="s">
        <v>1143</v>
      </c>
      <c r="B929" t="s">
        <v>41</v>
      </c>
      <c r="C929" t="s">
        <v>54</v>
      </c>
      <c r="D929" s="1" t="str">
        <f>_xlfn.IFNA(_xlfn.XLOOKUP(Data[[#This Row],[unqid]],'Quipt Prod Data'!L:L,'Quipt Prod Data'!B:B),"")</f>
        <v/>
      </c>
      <c r="E929" s="1" t="str">
        <f>_xlfn.IFNA(_xlfn.XMATCH(Data[[#This Row],[unqid]],'Quipt Prod Data'!L:L,0),"")</f>
        <v/>
      </c>
      <c r="F929" s="1" t="str">
        <f>IF(COUNTIF('Quipt Prod Data'!L:L,Data[[#This Row],[unqid]])=0,"",COUNTIF('Quipt Prod Data'!L:L,Data[[#This Row],[unqid]]))</f>
        <v/>
      </c>
    </row>
    <row r="930" spans="1:6" x14ac:dyDescent="0.3">
      <c r="A930" t="s">
        <v>1144</v>
      </c>
      <c r="B930" t="s">
        <v>49</v>
      </c>
      <c r="C930" t="s">
        <v>27</v>
      </c>
      <c r="D930" s="1" t="str">
        <f>_xlfn.IFNA(_xlfn.XLOOKUP(Data[[#This Row],[unqid]],'Quipt Prod Data'!L:L,'Quipt Prod Data'!B:B),"")</f>
        <v/>
      </c>
      <c r="E930" s="1" t="str">
        <f>_xlfn.IFNA(_xlfn.XMATCH(Data[[#This Row],[unqid]],'Quipt Prod Data'!L:L,0),"")</f>
        <v/>
      </c>
      <c r="F930" s="1" t="str">
        <f>IF(COUNTIF('Quipt Prod Data'!L:L,Data[[#This Row],[unqid]])=0,"",COUNTIF('Quipt Prod Data'!L:L,Data[[#This Row],[unqid]]))</f>
        <v/>
      </c>
    </row>
    <row r="931" spans="1:6" x14ac:dyDescent="0.3">
      <c r="A931" t="s">
        <v>1145</v>
      </c>
      <c r="B931" t="s">
        <v>41</v>
      </c>
      <c r="C931" t="s">
        <v>54</v>
      </c>
      <c r="D931" s="1" t="str">
        <f>_xlfn.IFNA(_xlfn.XLOOKUP(Data[[#This Row],[unqid]],'Quipt Prod Data'!L:L,'Quipt Prod Data'!B:B),"")</f>
        <v/>
      </c>
      <c r="E931" s="1" t="str">
        <f>_xlfn.IFNA(_xlfn.XMATCH(Data[[#This Row],[unqid]],'Quipt Prod Data'!L:L,0),"")</f>
        <v/>
      </c>
      <c r="F931" s="1" t="str">
        <f>IF(COUNTIF('Quipt Prod Data'!L:L,Data[[#This Row],[unqid]])=0,"",COUNTIF('Quipt Prod Data'!L:L,Data[[#This Row],[unqid]]))</f>
        <v/>
      </c>
    </row>
    <row r="932" spans="1:6" x14ac:dyDescent="0.3">
      <c r="A932" t="s">
        <v>1146</v>
      </c>
      <c r="B932" t="s">
        <v>41</v>
      </c>
      <c r="C932" t="s">
        <v>53</v>
      </c>
      <c r="D932" s="1" t="str">
        <f>_xlfn.IFNA(_xlfn.XLOOKUP(Data[[#This Row],[unqid]],'Quipt Prod Data'!L:L,'Quipt Prod Data'!B:B),"")</f>
        <v/>
      </c>
      <c r="E932" s="1" t="str">
        <f>_xlfn.IFNA(_xlfn.XMATCH(Data[[#This Row],[unqid]],'Quipt Prod Data'!L:L,0),"")</f>
        <v/>
      </c>
      <c r="F932" s="1" t="str">
        <f>IF(COUNTIF('Quipt Prod Data'!L:L,Data[[#This Row],[unqid]])=0,"",COUNTIF('Quipt Prod Data'!L:L,Data[[#This Row],[unqid]]))</f>
        <v/>
      </c>
    </row>
    <row r="933" spans="1:6" x14ac:dyDescent="0.3">
      <c r="A933" t="s">
        <v>1147</v>
      </c>
      <c r="B933" t="s">
        <v>41</v>
      </c>
      <c r="C933" t="s">
        <v>54</v>
      </c>
      <c r="D933" s="1" t="str">
        <f>_xlfn.IFNA(_xlfn.XLOOKUP(Data[[#This Row],[unqid]],'Quipt Prod Data'!L:L,'Quipt Prod Data'!B:B),"")</f>
        <v/>
      </c>
      <c r="E933" s="1" t="str">
        <f>_xlfn.IFNA(_xlfn.XMATCH(Data[[#This Row],[unqid]],'Quipt Prod Data'!L:L,0),"")</f>
        <v/>
      </c>
      <c r="F933" s="1" t="str">
        <f>IF(COUNTIF('Quipt Prod Data'!L:L,Data[[#This Row],[unqid]])=0,"",COUNTIF('Quipt Prod Data'!L:L,Data[[#This Row],[unqid]]))</f>
        <v/>
      </c>
    </row>
    <row r="934" spans="1:6" x14ac:dyDescent="0.3">
      <c r="A934" t="s">
        <v>1148</v>
      </c>
      <c r="B934" t="s">
        <v>41</v>
      </c>
      <c r="C934" t="s">
        <v>44</v>
      </c>
      <c r="D934" s="1" t="str">
        <f>_xlfn.IFNA(_xlfn.XLOOKUP(Data[[#This Row],[unqid]],'Quipt Prod Data'!L:L,'Quipt Prod Data'!B:B),"")</f>
        <v/>
      </c>
      <c r="E934" s="1" t="str">
        <f>_xlfn.IFNA(_xlfn.XMATCH(Data[[#This Row],[unqid]],'Quipt Prod Data'!L:L,0),"")</f>
        <v/>
      </c>
      <c r="F934" s="1" t="str">
        <f>IF(COUNTIF('Quipt Prod Data'!L:L,Data[[#This Row],[unqid]])=0,"",COUNTIF('Quipt Prod Data'!L:L,Data[[#This Row],[unqid]]))</f>
        <v/>
      </c>
    </row>
    <row r="935" spans="1:6" x14ac:dyDescent="0.3">
      <c r="A935" t="s">
        <v>1149</v>
      </c>
      <c r="B935" t="s">
        <v>41</v>
      </c>
      <c r="C935" t="s">
        <v>44</v>
      </c>
      <c r="D935" s="1" t="str">
        <f>_xlfn.IFNA(_xlfn.XLOOKUP(Data[[#This Row],[unqid]],'Quipt Prod Data'!L:L,'Quipt Prod Data'!B:B),"")</f>
        <v/>
      </c>
      <c r="E935" s="1" t="str">
        <f>_xlfn.IFNA(_xlfn.XMATCH(Data[[#This Row],[unqid]],'Quipt Prod Data'!L:L,0),"")</f>
        <v/>
      </c>
      <c r="F935" s="1" t="str">
        <f>IF(COUNTIF('Quipt Prod Data'!L:L,Data[[#This Row],[unqid]])=0,"",COUNTIF('Quipt Prod Data'!L:L,Data[[#This Row],[unqid]]))</f>
        <v/>
      </c>
    </row>
    <row r="936" spans="1:6" x14ac:dyDescent="0.3">
      <c r="A936" t="s">
        <v>1150</v>
      </c>
      <c r="B936" t="s">
        <v>47</v>
      </c>
      <c r="C936" t="s">
        <v>54</v>
      </c>
      <c r="D936" s="1" t="str">
        <f>_xlfn.IFNA(_xlfn.XLOOKUP(Data[[#This Row],[unqid]],'Quipt Prod Data'!L:L,'Quipt Prod Data'!B:B),"")</f>
        <v/>
      </c>
      <c r="E936" s="1" t="str">
        <f>_xlfn.IFNA(_xlfn.XMATCH(Data[[#This Row],[unqid]],'Quipt Prod Data'!L:L,0),"")</f>
        <v/>
      </c>
      <c r="F936" s="1" t="str">
        <f>IF(COUNTIF('Quipt Prod Data'!L:L,Data[[#This Row],[unqid]])=0,"",COUNTIF('Quipt Prod Data'!L:L,Data[[#This Row],[unqid]]))</f>
        <v/>
      </c>
    </row>
    <row r="937" spans="1:6" x14ac:dyDescent="0.3">
      <c r="A937" t="s">
        <v>1151</v>
      </c>
      <c r="B937" t="s">
        <v>41</v>
      </c>
      <c r="C937" t="s">
        <v>53</v>
      </c>
      <c r="D937" s="1" t="str">
        <f>_xlfn.IFNA(_xlfn.XLOOKUP(Data[[#This Row],[unqid]],'Quipt Prod Data'!L:L,'Quipt Prod Data'!B:B),"")</f>
        <v/>
      </c>
      <c r="E937" s="1" t="str">
        <f>_xlfn.IFNA(_xlfn.XMATCH(Data[[#This Row],[unqid]],'Quipt Prod Data'!L:L,0),"")</f>
        <v/>
      </c>
      <c r="F937" s="1" t="str">
        <f>IF(COUNTIF('Quipt Prod Data'!L:L,Data[[#This Row],[unqid]])=0,"",COUNTIF('Quipt Prod Data'!L:L,Data[[#This Row],[unqid]]))</f>
        <v/>
      </c>
    </row>
    <row r="938" spans="1:6" x14ac:dyDescent="0.3">
      <c r="A938" t="s">
        <v>1152</v>
      </c>
      <c r="B938" t="s">
        <v>32</v>
      </c>
      <c r="C938" t="s">
        <v>27</v>
      </c>
      <c r="D938" s="1" t="str">
        <f>_xlfn.IFNA(_xlfn.XLOOKUP(Data[[#This Row],[unqid]],'Quipt Prod Data'!L:L,'Quipt Prod Data'!B:B),"")</f>
        <v/>
      </c>
      <c r="E938" s="1" t="str">
        <f>_xlfn.IFNA(_xlfn.XMATCH(Data[[#This Row],[unqid]],'Quipt Prod Data'!L:L,0),"")</f>
        <v/>
      </c>
      <c r="F938" s="1" t="str">
        <f>IF(COUNTIF('Quipt Prod Data'!L:L,Data[[#This Row],[unqid]])=0,"",COUNTIF('Quipt Prod Data'!L:L,Data[[#This Row],[unqid]]))</f>
        <v/>
      </c>
    </row>
    <row r="939" spans="1:6" x14ac:dyDescent="0.3">
      <c r="A939" t="s">
        <v>1153</v>
      </c>
      <c r="B939" t="s">
        <v>41</v>
      </c>
      <c r="C939" t="s">
        <v>54</v>
      </c>
      <c r="D939" s="1" t="str">
        <f>_xlfn.IFNA(_xlfn.XLOOKUP(Data[[#This Row],[unqid]],'Quipt Prod Data'!L:L,'Quipt Prod Data'!B:B),"")</f>
        <v/>
      </c>
      <c r="E939" s="1" t="str">
        <f>_xlfn.IFNA(_xlfn.XMATCH(Data[[#This Row],[unqid]],'Quipt Prod Data'!L:L,0),"")</f>
        <v/>
      </c>
      <c r="F939" s="1" t="str">
        <f>IF(COUNTIF('Quipt Prod Data'!L:L,Data[[#This Row],[unqid]])=0,"",COUNTIF('Quipt Prod Data'!L:L,Data[[#This Row],[unqid]]))</f>
        <v/>
      </c>
    </row>
    <row r="940" spans="1:6" x14ac:dyDescent="0.3">
      <c r="A940" t="s">
        <v>1154</v>
      </c>
      <c r="B940" t="s">
        <v>31</v>
      </c>
      <c r="C940" t="s">
        <v>46</v>
      </c>
      <c r="D940" s="1" t="str">
        <f>_xlfn.IFNA(_xlfn.XLOOKUP(Data[[#This Row],[unqid]],'Quipt Prod Data'!L:L,'Quipt Prod Data'!B:B),"")</f>
        <v/>
      </c>
      <c r="E940" s="1" t="str">
        <f>_xlfn.IFNA(_xlfn.XMATCH(Data[[#This Row],[unqid]],'Quipt Prod Data'!L:L,0),"")</f>
        <v/>
      </c>
      <c r="F940" s="1" t="str">
        <f>IF(COUNTIF('Quipt Prod Data'!L:L,Data[[#This Row],[unqid]])=0,"",COUNTIF('Quipt Prod Data'!L:L,Data[[#This Row],[unqid]]))</f>
        <v/>
      </c>
    </row>
    <row r="941" spans="1:6" x14ac:dyDescent="0.3">
      <c r="A941" t="s">
        <v>1155</v>
      </c>
      <c r="B941" t="s">
        <v>41</v>
      </c>
      <c r="C941" t="s">
        <v>54</v>
      </c>
      <c r="D941" s="1" t="str">
        <f>_xlfn.IFNA(_xlfn.XLOOKUP(Data[[#This Row],[unqid]],'Quipt Prod Data'!L:L,'Quipt Prod Data'!B:B),"")</f>
        <v/>
      </c>
      <c r="E941" s="1" t="str">
        <f>_xlfn.IFNA(_xlfn.XMATCH(Data[[#This Row],[unqid]],'Quipt Prod Data'!L:L,0),"")</f>
        <v/>
      </c>
      <c r="F941" s="1" t="str">
        <f>IF(COUNTIF('Quipt Prod Data'!L:L,Data[[#This Row],[unqid]])=0,"",COUNTIF('Quipt Prod Data'!L:L,Data[[#This Row],[unqid]]))</f>
        <v/>
      </c>
    </row>
    <row r="942" spans="1:6" x14ac:dyDescent="0.3">
      <c r="A942" t="s">
        <v>1156</v>
      </c>
      <c r="B942" t="s">
        <v>41</v>
      </c>
      <c r="C942" t="s">
        <v>54</v>
      </c>
      <c r="D942" s="1" t="str">
        <f>_xlfn.IFNA(_xlfn.XLOOKUP(Data[[#This Row],[unqid]],'Quipt Prod Data'!L:L,'Quipt Prod Data'!B:B),"")</f>
        <v/>
      </c>
      <c r="E942" s="1" t="str">
        <f>_xlfn.IFNA(_xlfn.XMATCH(Data[[#This Row],[unqid]],'Quipt Prod Data'!L:L,0),"")</f>
        <v/>
      </c>
      <c r="F942" s="1" t="str">
        <f>IF(COUNTIF('Quipt Prod Data'!L:L,Data[[#This Row],[unqid]])=0,"",COUNTIF('Quipt Prod Data'!L:L,Data[[#This Row],[unqid]]))</f>
        <v/>
      </c>
    </row>
    <row r="943" spans="1:6" x14ac:dyDescent="0.3">
      <c r="A943" t="s">
        <v>1157</v>
      </c>
      <c r="B943" t="s">
        <v>41</v>
      </c>
      <c r="C943" t="s">
        <v>46</v>
      </c>
      <c r="D943" s="1" t="str">
        <f>_xlfn.IFNA(_xlfn.XLOOKUP(Data[[#This Row],[unqid]],'Quipt Prod Data'!L:L,'Quipt Prod Data'!B:B),"")</f>
        <v/>
      </c>
      <c r="E943" s="1" t="str">
        <f>_xlfn.IFNA(_xlfn.XMATCH(Data[[#This Row],[unqid]],'Quipt Prod Data'!L:L,0),"")</f>
        <v/>
      </c>
      <c r="F943" s="1" t="str">
        <f>IF(COUNTIF('Quipt Prod Data'!L:L,Data[[#This Row],[unqid]])=0,"",COUNTIF('Quipt Prod Data'!L:L,Data[[#This Row],[unqid]]))</f>
        <v/>
      </c>
    </row>
    <row r="944" spans="1:6" x14ac:dyDescent="0.3">
      <c r="A944" t="s">
        <v>1158</v>
      </c>
      <c r="B944" t="s">
        <v>41</v>
      </c>
      <c r="C944" t="s">
        <v>52</v>
      </c>
      <c r="D944" s="1" t="str">
        <f>_xlfn.IFNA(_xlfn.XLOOKUP(Data[[#This Row],[unqid]],'Quipt Prod Data'!L:L,'Quipt Prod Data'!B:B),"")</f>
        <v/>
      </c>
      <c r="E944" s="1" t="str">
        <f>_xlfn.IFNA(_xlfn.XMATCH(Data[[#This Row],[unqid]],'Quipt Prod Data'!L:L,0),"")</f>
        <v/>
      </c>
      <c r="F944" s="1" t="str">
        <f>IF(COUNTIF('Quipt Prod Data'!L:L,Data[[#This Row],[unqid]])=0,"",COUNTIF('Quipt Prod Data'!L:L,Data[[#This Row],[unqid]]))</f>
        <v/>
      </c>
    </row>
    <row r="945" spans="1:6" x14ac:dyDescent="0.3">
      <c r="A945" t="s">
        <v>1159</v>
      </c>
      <c r="B945" t="s">
        <v>56</v>
      </c>
      <c r="C945" t="s">
        <v>43</v>
      </c>
      <c r="D945" s="1" t="str">
        <f>_xlfn.IFNA(_xlfn.XLOOKUP(Data[[#This Row],[unqid]],'Quipt Prod Data'!L:L,'Quipt Prod Data'!B:B),"")</f>
        <v/>
      </c>
      <c r="E945" s="1" t="str">
        <f>_xlfn.IFNA(_xlfn.XMATCH(Data[[#This Row],[unqid]],'Quipt Prod Data'!L:L,0),"")</f>
        <v/>
      </c>
      <c r="F945" s="1" t="str">
        <f>IF(COUNTIF('Quipt Prod Data'!L:L,Data[[#This Row],[unqid]])=0,"",COUNTIF('Quipt Prod Data'!L:L,Data[[#This Row],[unqid]]))</f>
        <v/>
      </c>
    </row>
    <row r="946" spans="1:6" x14ac:dyDescent="0.3">
      <c r="A946" t="s">
        <v>1160</v>
      </c>
      <c r="B946" t="s">
        <v>41</v>
      </c>
      <c r="C946" t="s">
        <v>53</v>
      </c>
      <c r="D946" s="1" t="str">
        <f>_xlfn.IFNA(_xlfn.XLOOKUP(Data[[#This Row],[unqid]],'Quipt Prod Data'!L:L,'Quipt Prod Data'!B:B),"")</f>
        <v/>
      </c>
      <c r="E946" s="1" t="str">
        <f>_xlfn.IFNA(_xlfn.XMATCH(Data[[#This Row],[unqid]],'Quipt Prod Data'!L:L,0),"")</f>
        <v/>
      </c>
      <c r="F946" s="1" t="str">
        <f>IF(COUNTIF('Quipt Prod Data'!L:L,Data[[#This Row],[unqid]])=0,"",COUNTIF('Quipt Prod Data'!L:L,Data[[#This Row],[unqid]]))</f>
        <v/>
      </c>
    </row>
    <row r="947" spans="1:6" x14ac:dyDescent="0.3">
      <c r="A947" t="s">
        <v>1161</v>
      </c>
      <c r="B947" t="s">
        <v>41</v>
      </c>
      <c r="C947" t="s">
        <v>53</v>
      </c>
      <c r="D947" s="1" t="str">
        <f>_xlfn.IFNA(_xlfn.XLOOKUP(Data[[#This Row],[unqid]],'Quipt Prod Data'!L:L,'Quipt Prod Data'!B:B),"")</f>
        <v/>
      </c>
      <c r="E947" s="1" t="str">
        <f>_xlfn.IFNA(_xlfn.XMATCH(Data[[#This Row],[unqid]],'Quipt Prod Data'!L:L,0),"")</f>
        <v/>
      </c>
      <c r="F947" s="1" t="str">
        <f>IF(COUNTIF('Quipt Prod Data'!L:L,Data[[#This Row],[unqid]])=0,"",COUNTIF('Quipt Prod Data'!L:L,Data[[#This Row],[unqid]]))</f>
        <v/>
      </c>
    </row>
    <row r="948" spans="1:6" x14ac:dyDescent="0.3">
      <c r="A948" t="s">
        <v>1162</v>
      </c>
      <c r="B948" t="s">
        <v>41</v>
      </c>
      <c r="C948" t="s">
        <v>44</v>
      </c>
      <c r="D948" s="1" t="str">
        <f>_xlfn.IFNA(_xlfn.XLOOKUP(Data[[#This Row],[unqid]],'Quipt Prod Data'!L:L,'Quipt Prod Data'!B:B),"")</f>
        <v/>
      </c>
      <c r="E948" s="1" t="str">
        <f>_xlfn.IFNA(_xlfn.XMATCH(Data[[#This Row],[unqid]],'Quipt Prod Data'!L:L,0),"")</f>
        <v/>
      </c>
      <c r="F948" s="1" t="str">
        <f>IF(COUNTIF('Quipt Prod Data'!L:L,Data[[#This Row],[unqid]])=0,"",COUNTIF('Quipt Prod Data'!L:L,Data[[#This Row],[unqid]]))</f>
        <v/>
      </c>
    </row>
    <row r="949" spans="1:6" x14ac:dyDescent="0.3">
      <c r="A949" t="s">
        <v>1163</v>
      </c>
      <c r="B949" t="s">
        <v>41</v>
      </c>
      <c r="C949" t="s">
        <v>53</v>
      </c>
      <c r="D949" s="1" t="str">
        <f>_xlfn.IFNA(_xlfn.XLOOKUP(Data[[#This Row],[unqid]],'Quipt Prod Data'!L:L,'Quipt Prod Data'!B:B),"")</f>
        <v/>
      </c>
      <c r="E949" s="1" t="str">
        <f>_xlfn.IFNA(_xlfn.XMATCH(Data[[#This Row],[unqid]],'Quipt Prod Data'!L:L,0),"")</f>
        <v/>
      </c>
      <c r="F949" s="1" t="str">
        <f>IF(COUNTIF('Quipt Prod Data'!L:L,Data[[#This Row],[unqid]])=0,"",COUNTIF('Quipt Prod Data'!L:L,Data[[#This Row],[unqid]]))</f>
        <v/>
      </c>
    </row>
    <row r="950" spans="1:6" x14ac:dyDescent="0.3">
      <c r="A950" t="s">
        <v>1164</v>
      </c>
      <c r="B950" t="s">
        <v>41</v>
      </c>
      <c r="C950" t="s">
        <v>54</v>
      </c>
      <c r="D950" s="1" t="str">
        <f>_xlfn.IFNA(_xlfn.XLOOKUP(Data[[#This Row],[unqid]],'Quipt Prod Data'!L:L,'Quipt Prod Data'!B:B),"")</f>
        <v/>
      </c>
      <c r="E950" s="1" t="str">
        <f>_xlfn.IFNA(_xlfn.XMATCH(Data[[#This Row],[unqid]],'Quipt Prod Data'!L:L,0),"")</f>
        <v/>
      </c>
      <c r="F950" s="1" t="str">
        <f>IF(COUNTIF('Quipt Prod Data'!L:L,Data[[#This Row],[unqid]])=0,"",COUNTIF('Quipt Prod Data'!L:L,Data[[#This Row],[unqid]]))</f>
        <v/>
      </c>
    </row>
    <row r="951" spans="1:6" x14ac:dyDescent="0.3">
      <c r="A951" t="s">
        <v>1165</v>
      </c>
      <c r="B951" t="s">
        <v>41</v>
      </c>
      <c r="C951" t="s">
        <v>53</v>
      </c>
      <c r="D951" s="1" t="str">
        <f>_xlfn.IFNA(_xlfn.XLOOKUP(Data[[#This Row],[unqid]],'Quipt Prod Data'!L:L,'Quipt Prod Data'!B:B),"")</f>
        <v/>
      </c>
      <c r="E951" s="1" t="str">
        <f>_xlfn.IFNA(_xlfn.XMATCH(Data[[#This Row],[unqid]],'Quipt Prod Data'!L:L,0),"")</f>
        <v/>
      </c>
      <c r="F951" s="1" t="str">
        <f>IF(COUNTIF('Quipt Prod Data'!L:L,Data[[#This Row],[unqid]])=0,"",COUNTIF('Quipt Prod Data'!L:L,Data[[#This Row],[unqid]]))</f>
        <v/>
      </c>
    </row>
    <row r="952" spans="1:6" x14ac:dyDescent="0.3">
      <c r="A952" t="s">
        <v>1166</v>
      </c>
      <c r="B952" t="s">
        <v>41</v>
      </c>
      <c r="C952" t="s">
        <v>44</v>
      </c>
      <c r="D952" s="1" t="str">
        <f>_xlfn.IFNA(_xlfn.XLOOKUP(Data[[#This Row],[unqid]],'Quipt Prod Data'!L:L,'Quipt Prod Data'!B:B),"")</f>
        <v/>
      </c>
      <c r="E952" s="1" t="str">
        <f>_xlfn.IFNA(_xlfn.XMATCH(Data[[#This Row],[unqid]],'Quipt Prod Data'!L:L,0),"")</f>
        <v/>
      </c>
      <c r="F952" s="1" t="str">
        <f>IF(COUNTIF('Quipt Prod Data'!L:L,Data[[#This Row],[unqid]])=0,"",COUNTIF('Quipt Prod Data'!L:L,Data[[#This Row],[unqid]]))</f>
        <v/>
      </c>
    </row>
    <row r="953" spans="1:6" x14ac:dyDescent="0.3">
      <c r="A953" t="s">
        <v>1167</v>
      </c>
      <c r="B953" t="s">
        <v>41</v>
      </c>
      <c r="C953" t="s">
        <v>52</v>
      </c>
      <c r="D953" s="1" t="str">
        <f>_xlfn.IFNA(_xlfn.XLOOKUP(Data[[#This Row],[unqid]],'Quipt Prod Data'!L:L,'Quipt Prod Data'!B:B),"")</f>
        <v/>
      </c>
      <c r="E953" s="1" t="str">
        <f>_xlfn.IFNA(_xlfn.XMATCH(Data[[#This Row],[unqid]],'Quipt Prod Data'!L:L,0),"")</f>
        <v/>
      </c>
      <c r="F953" s="1" t="str">
        <f>IF(COUNTIF('Quipt Prod Data'!L:L,Data[[#This Row],[unqid]])=0,"",COUNTIF('Quipt Prod Data'!L:L,Data[[#This Row],[unqid]]))</f>
        <v/>
      </c>
    </row>
    <row r="954" spans="1:6" x14ac:dyDescent="0.3">
      <c r="A954" t="s">
        <v>1168</v>
      </c>
      <c r="B954" t="s">
        <v>41</v>
      </c>
      <c r="C954" t="s">
        <v>53</v>
      </c>
      <c r="D954" s="1" t="str">
        <f>_xlfn.IFNA(_xlfn.XLOOKUP(Data[[#This Row],[unqid]],'Quipt Prod Data'!L:L,'Quipt Prod Data'!B:B),"")</f>
        <v/>
      </c>
      <c r="E954" s="1" t="str">
        <f>_xlfn.IFNA(_xlfn.XMATCH(Data[[#This Row],[unqid]],'Quipt Prod Data'!L:L,0),"")</f>
        <v/>
      </c>
      <c r="F954" s="1" t="str">
        <f>IF(COUNTIF('Quipt Prod Data'!L:L,Data[[#This Row],[unqid]])=0,"",COUNTIF('Quipt Prod Data'!L:L,Data[[#This Row],[unqid]]))</f>
        <v/>
      </c>
    </row>
    <row r="955" spans="1:6" x14ac:dyDescent="0.3">
      <c r="A955" t="s">
        <v>1169</v>
      </c>
      <c r="B955" t="s">
        <v>31</v>
      </c>
      <c r="C955" t="s">
        <v>46</v>
      </c>
      <c r="D955" s="1" t="str">
        <f>_xlfn.IFNA(_xlfn.XLOOKUP(Data[[#This Row],[unqid]],'Quipt Prod Data'!L:L,'Quipt Prod Data'!B:B),"")</f>
        <v/>
      </c>
      <c r="E955" s="1" t="str">
        <f>_xlfn.IFNA(_xlfn.XMATCH(Data[[#This Row],[unqid]],'Quipt Prod Data'!L:L,0),"")</f>
        <v/>
      </c>
      <c r="F955" s="1" t="str">
        <f>IF(COUNTIF('Quipt Prod Data'!L:L,Data[[#This Row],[unqid]])=0,"",COUNTIF('Quipt Prod Data'!L:L,Data[[#This Row],[unqid]]))</f>
        <v/>
      </c>
    </row>
    <row r="956" spans="1:6" x14ac:dyDescent="0.3">
      <c r="A956" t="s">
        <v>1170</v>
      </c>
      <c r="B956" t="s">
        <v>41</v>
      </c>
      <c r="C956" t="s">
        <v>54</v>
      </c>
      <c r="D956" s="1" t="str">
        <f>_xlfn.IFNA(_xlfn.XLOOKUP(Data[[#This Row],[unqid]],'Quipt Prod Data'!L:L,'Quipt Prod Data'!B:B),"")</f>
        <v/>
      </c>
      <c r="E956" s="1" t="str">
        <f>_xlfn.IFNA(_xlfn.XMATCH(Data[[#This Row],[unqid]],'Quipt Prod Data'!L:L,0),"")</f>
        <v/>
      </c>
      <c r="F956" s="1" t="str">
        <f>IF(COUNTIF('Quipt Prod Data'!L:L,Data[[#This Row],[unqid]])=0,"",COUNTIF('Quipt Prod Data'!L:L,Data[[#This Row],[unqid]]))</f>
        <v/>
      </c>
    </row>
    <row r="957" spans="1:6" x14ac:dyDescent="0.3">
      <c r="A957" t="s">
        <v>1171</v>
      </c>
      <c r="B957" t="s">
        <v>41</v>
      </c>
      <c r="C957" t="s">
        <v>53</v>
      </c>
      <c r="D957" s="1" t="str">
        <f>_xlfn.IFNA(_xlfn.XLOOKUP(Data[[#This Row],[unqid]],'Quipt Prod Data'!L:L,'Quipt Prod Data'!B:B),"")</f>
        <v/>
      </c>
      <c r="E957" s="1" t="str">
        <f>_xlfn.IFNA(_xlfn.XMATCH(Data[[#This Row],[unqid]],'Quipt Prod Data'!L:L,0),"")</f>
        <v/>
      </c>
      <c r="F957" s="1" t="str">
        <f>IF(COUNTIF('Quipt Prod Data'!L:L,Data[[#This Row],[unqid]])=0,"",COUNTIF('Quipt Prod Data'!L:L,Data[[#This Row],[unqid]]))</f>
        <v/>
      </c>
    </row>
    <row r="958" spans="1:6" x14ac:dyDescent="0.3">
      <c r="A958" t="s">
        <v>1172</v>
      </c>
      <c r="B958" t="s">
        <v>41</v>
      </c>
      <c r="C958" t="s">
        <v>53</v>
      </c>
      <c r="D958" s="1" t="str">
        <f>_xlfn.IFNA(_xlfn.XLOOKUP(Data[[#This Row],[unqid]],'Quipt Prod Data'!L:L,'Quipt Prod Data'!B:B),"")</f>
        <v/>
      </c>
      <c r="E958" s="1" t="str">
        <f>_xlfn.IFNA(_xlfn.XMATCH(Data[[#This Row],[unqid]],'Quipt Prod Data'!L:L,0),"")</f>
        <v/>
      </c>
      <c r="F958" s="1" t="str">
        <f>IF(COUNTIF('Quipt Prod Data'!L:L,Data[[#This Row],[unqid]])=0,"",COUNTIF('Quipt Prod Data'!L:L,Data[[#This Row],[unqid]]))</f>
        <v/>
      </c>
    </row>
    <row r="959" spans="1:6" x14ac:dyDescent="0.3">
      <c r="A959" t="s">
        <v>1173</v>
      </c>
      <c r="B959" t="s">
        <v>47</v>
      </c>
      <c r="C959" t="s">
        <v>54</v>
      </c>
      <c r="D959" s="1" t="str">
        <f>_xlfn.IFNA(_xlfn.XLOOKUP(Data[[#This Row],[unqid]],'Quipt Prod Data'!L:L,'Quipt Prod Data'!B:B),"")</f>
        <v/>
      </c>
      <c r="E959" s="1" t="str">
        <f>_xlfn.IFNA(_xlfn.XMATCH(Data[[#This Row],[unqid]],'Quipt Prod Data'!L:L,0),"")</f>
        <v/>
      </c>
      <c r="F959" s="1" t="str">
        <f>IF(COUNTIF('Quipt Prod Data'!L:L,Data[[#This Row],[unqid]])=0,"",COUNTIF('Quipt Prod Data'!L:L,Data[[#This Row],[unqid]]))</f>
        <v/>
      </c>
    </row>
    <row r="960" spans="1:6" x14ac:dyDescent="0.3">
      <c r="A960" t="s">
        <v>1174</v>
      </c>
      <c r="B960" t="s">
        <v>41</v>
      </c>
      <c r="C960" t="s">
        <v>54</v>
      </c>
      <c r="D960" s="1" t="str">
        <f>_xlfn.IFNA(_xlfn.XLOOKUP(Data[[#This Row],[unqid]],'Quipt Prod Data'!L:L,'Quipt Prod Data'!B:B),"")</f>
        <v/>
      </c>
      <c r="E960" s="1" t="str">
        <f>_xlfn.IFNA(_xlfn.XMATCH(Data[[#This Row],[unqid]],'Quipt Prod Data'!L:L,0),"")</f>
        <v/>
      </c>
      <c r="F960" s="1" t="str">
        <f>IF(COUNTIF('Quipt Prod Data'!L:L,Data[[#This Row],[unqid]])=0,"",COUNTIF('Quipt Prod Data'!L:L,Data[[#This Row],[unqid]]))</f>
        <v/>
      </c>
    </row>
    <row r="961" spans="1:6" x14ac:dyDescent="0.3">
      <c r="A961" t="s">
        <v>1175</v>
      </c>
      <c r="B961" t="s">
        <v>41</v>
      </c>
      <c r="C961" t="s">
        <v>54</v>
      </c>
      <c r="D961" s="1" t="str">
        <f>_xlfn.IFNA(_xlfn.XLOOKUP(Data[[#This Row],[unqid]],'Quipt Prod Data'!L:L,'Quipt Prod Data'!B:B),"")</f>
        <v/>
      </c>
      <c r="E961" s="1" t="str">
        <f>_xlfn.IFNA(_xlfn.XMATCH(Data[[#This Row],[unqid]],'Quipt Prod Data'!L:L,0),"")</f>
        <v/>
      </c>
      <c r="F961" s="1" t="str">
        <f>IF(COUNTIF('Quipt Prod Data'!L:L,Data[[#This Row],[unqid]])=0,"",COUNTIF('Quipt Prod Data'!L:L,Data[[#This Row],[unqid]]))</f>
        <v/>
      </c>
    </row>
    <row r="962" spans="1:6" x14ac:dyDescent="0.3">
      <c r="A962" t="s">
        <v>1176</v>
      </c>
      <c r="B962" t="s">
        <v>41</v>
      </c>
      <c r="C962" t="s">
        <v>54</v>
      </c>
      <c r="D962" s="1" t="str">
        <f>_xlfn.IFNA(_xlfn.XLOOKUP(Data[[#This Row],[unqid]],'Quipt Prod Data'!L:L,'Quipt Prod Data'!B:B),"")</f>
        <v/>
      </c>
      <c r="E962" s="1" t="str">
        <f>_xlfn.IFNA(_xlfn.XMATCH(Data[[#This Row],[unqid]],'Quipt Prod Data'!L:L,0),"")</f>
        <v/>
      </c>
      <c r="F962" s="1" t="str">
        <f>IF(COUNTIF('Quipt Prod Data'!L:L,Data[[#This Row],[unqid]])=0,"",COUNTIF('Quipt Prod Data'!L:L,Data[[#This Row],[unqid]]))</f>
        <v/>
      </c>
    </row>
    <row r="963" spans="1:6" x14ac:dyDescent="0.3">
      <c r="A963" t="s">
        <v>1177</v>
      </c>
      <c r="B963" t="s">
        <v>32</v>
      </c>
      <c r="C963" t="s">
        <v>27</v>
      </c>
      <c r="D963" s="1" t="str">
        <f>_xlfn.IFNA(_xlfn.XLOOKUP(Data[[#This Row],[unqid]],'Quipt Prod Data'!L:L,'Quipt Prod Data'!B:B),"")</f>
        <v/>
      </c>
      <c r="E963" s="1" t="str">
        <f>_xlfn.IFNA(_xlfn.XMATCH(Data[[#This Row],[unqid]],'Quipt Prod Data'!L:L,0),"")</f>
        <v/>
      </c>
      <c r="F963" s="1" t="str">
        <f>IF(COUNTIF('Quipt Prod Data'!L:L,Data[[#This Row],[unqid]])=0,"",COUNTIF('Quipt Prod Data'!L:L,Data[[#This Row],[unqid]]))</f>
        <v/>
      </c>
    </row>
    <row r="964" spans="1:6" x14ac:dyDescent="0.3">
      <c r="A964" t="s">
        <v>1178</v>
      </c>
      <c r="B964" t="s">
        <v>41</v>
      </c>
      <c r="C964" t="s">
        <v>54</v>
      </c>
      <c r="D964" s="1" t="str">
        <f>_xlfn.IFNA(_xlfn.XLOOKUP(Data[[#This Row],[unqid]],'Quipt Prod Data'!L:L,'Quipt Prod Data'!B:B),"")</f>
        <v/>
      </c>
      <c r="E964" s="1" t="str">
        <f>_xlfn.IFNA(_xlfn.XMATCH(Data[[#This Row],[unqid]],'Quipt Prod Data'!L:L,0),"")</f>
        <v/>
      </c>
      <c r="F964" s="1" t="str">
        <f>IF(COUNTIF('Quipt Prod Data'!L:L,Data[[#This Row],[unqid]])=0,"",COUNTIF('Quipt Prod Data'!L:L,Data[[#This Row],[unqid]]))</f>
        <v/>
      </c>
    </row>
    <row r="965" spans="1:6" x14ac:dyDescent="0.3">
      <c r="A965" t="s">
        <v>1179</v>
      </c>
      <c r="B965" t="s">
        <v>49</v>
      </c>
      <c r="C965" t="s">
        <v>46</v>
      </c>
      <c r="D965" s="1" t="str">
        <f>_xlfn.IFNA(_xlfn.XLOOKUP(Data[[#This Row],[unqid]],'Quipt Prod Data'!L:L,'Quipt Prod Data'!B:B),"")</f>
        <v/>
      </c>
      <c r="E965" s="1" t="str">
        <f>_xlfn.IFNA(_xlfn.XMATCH(Data[[#This Row],[unqid]],'Quipt Prod Data'!L:L,0),"")</f>
        <v/>
      </c>
      <c r="F965" s="1" t="str">
        <f>IF(COUNTIF('Quipt Prod Data'!L:L,Data[[#This Row],[unqid]])=0,"",COUNTIF('Quipt Prod Data'!L:L,Data[[#This Row],[unqid]]))</f>
        <v/>
      </c>
    </row>
    <row r="966" spans="1:6" x14ac:dyDescent="0.3">
      <c r="A966" t="s">
        <v>1180</v>
      </c>
      <c r="B966" t="s">
        <v>41</v>
      </c>
      <c r="C966" t="s">
        <v>44</v>
      </c>
      <c r="D966" s="1" t="str">
        <f>_xlfn.IFNA(_xlfn.XLOOKUP(Data[[#This Row],[unqid]],'Quipt Prod Data'!L:L,'Quipt Prod Data'!B:B),"")</f>
        <v/>
      </c>
      <c r="E966" s="1" t="str">
        <f>_xlfn.IFNA(_xlfn.XMATCH(Data[[#This Row],[unqid]],'Quipt Prod Data'!L:L,0),"")</f>
        <v/>
      </c>
      <c r="F966" s="1" t="str">
        <f>IF(COUNTIF('Quipt Prod Data'!L:L,Data[[#This Row],[unqid]])=0,"",COUNTIF('Quipt Prod Data'!L:L,Data[[#This Row],[unqid]]))</f>
        <v/>
      </c>
    </row>
    <row r="967" spans="1:6" x14ac:dyDescent="0.3">
      <c r="A967" t="s">
        <v>1181</v>
      </c>
      <c r="B967" t="s">
        <v>41</v>
      </c>
      <c r="C967" t="s">
        <v>44</v>
      </c>
      <c r="D967" s="1" t="str">
        <f>_xlfn.IFNA(_xlfn.XLOOKUP(Data[[#This Row],[unqid]],'Quipt Prod Data'!L:L,'Quipt Prod Data'!B:B),"")</f>
        <v/>
      </c>
      <c r="E967" s="1" t="str">
        <f>_xlfn.IFNA(_xlfn.XMATCH(Data[[#This Row],[unqid]],'Quipt Prod Data'!L:L,0),"")</f>
        <v/>
      </c>
      <c r="F967" s="1" t="str">
        <f>IF(COUNTIF('Quipt Prod Data'!L:L,Data[[#This Row],[unqid]])=0,"",COUNTIF('Quipt Prod Data'!L:L,Data[[#This Row],[unqid]]))</f>
        <v/>
      </c>
    </row>
    <row r="968" spans="1:6" x14ac:dyDescent="0.3">
      <c r="A968" t="s">
        <v>1182</v>
      </c>
      <c r="B968" t="s">
        <v>28</v>
      </c>
      <c r="C968" t="s">
        <v>46</v>
      </c>
      <c r="D968" s="1" t="str">
        <f>_xlfn.IFNA(_xlfn.XLOOKUP(Data[[#This Row],[unqid]],'Quipt Prod Data'!L:L,'Quipt Prod Data'!B:B),"")</f>
        <v/>
      </c>
      <c r="E968" s="1" t="str">
        <f>_xlfn.IFNA(_xlfn.XMATCH(Data[[#This Row],[unqid]],'Quipt Prod Data'!L:L,0),"")</f>
        <v/>
      </c>
      <c r="F968" s="1" t="str">
        <f>IF(COUNTIF('Quipt Prod Data'!L:L,Data[[#This Row],[unqid]])=0,"",COUNTIF('Quipt Prod Data'!L:L,Data[[#This Row],[unqid]]))</f>
        <v/>
      </c>
    </row>
    <row r="969" spans="1:6" x14ac:dyDescent="0.3">
      <c r="A969" t="s">
        <v>1183</v>
      </c>
      <c r="B969" t="s">
        <v>47</v>
      </c>
      <c r="C969" t="s">
        <v>54</v>
      </c>
      <c r="D969" s="1" t="str">
        <f>_xlfn.IFNA(_xlfn.XLOOKUP(Data[[#This Row],[unqid]],'Quipt Prod Data'!L:L,'Quipt Prod Data'!B:B),"")</f>
        <v/>
      </c>
      <c r="E969" s="1" t="str">
        <f>_xlfn.IFNA(_xlfn.XMATCH(Data[[#This Row],[unqid]],'Quipt Prod Data'!L:L,0),"")</f>
        <v/>
      </c>
      <c r="F969" s="1" t="str">
        <f>IF(COUNTIF('Quipt Prod Data'!L:L,Data[[#This Row],[unqid]])=0,"",COUNTIF('Quipt Prod Data'!L:L,Data[[#This Row],[unqid]]))</f>
        <v/>
      </c>
    </row>
    <row r="970" spans="1:6" x14ac:dyDescent="0.3">
      <c r="A970" t="s">
        <v>1184</v>
      </c>
      <c r="B970" t="s">
        <v>41</v>
      </c>
      <c r="C970" t="s">
        <v>48</v>
      </c>
      <c r="D970" s="1" t="str">
        <f>_xlfn.IFNA(_xlfn.XLOOKUP(Data[[#This Row],[unqid]],'Quipt Prod Data'!L:L,'Quipt Prod Data'!B:B),"")</f>
        <v/>
      </c>
      <c r="E970" s="1" t="str">
        <f>_xlfn.IFNA(_xlfn.XMATCH(Data[[#This Row],[unqid]],'Quipt Prod Data'!L:L,0),"")</f>
        <v/>
      </c>
      <c r="F970" s="1" t="str">
        <f>IF(COUNTIF('Quipt Prod Data'!L:L,Data[[#This Row],[unqid]])=0,"",COUNTIF('Quipt Prod Data'!L:L,Data[[#This Row],[unqid]]))</f>
        <v/>
      </c>
    </row>
    <row r="971" spans="1:6" x14ac:dyDescent="0.3">
      <c r="A971" t="s">
        <v>1185</v>
      </c>
      <c r="B971" t="s">
        <v>29</v>
      </c>
      <c r="C971" t="s">
        <v>27</v>
      </c>
      <c r="D971" s="1" t="str">
        <f>_xlfn.IFNA(_xlfn.XLOOKUP(Data[[#This Row],[unqid]],'Quipt Prod Data'!L:L,'Quipt Prod Data'!B:B),"")</f>
        <v/>
      </c>
      <c r="E971" s="1" t="str">
        <f>_xlfn.IFNA(_xlfn.XMATCH(Data[[#This Row],[unqid]],'Quipt Prod Data'!L:L,0),"")</f>
        <v/>
      </c>
      <c r="F971" s="1" t="str">
        <f>IF(COUNTIF('Quipt Prod Data'!L:L,Data[[#This Row],[unqid]])=0,"",COUNTIF('Quipt Prod Data'!L:L,Data[[#This Row],[unqid]]))</f>
        <v/>
      </c>
    </row>
    <row r="972" spans="1:6" x14ac:dyDescent="0.3">
      <c r="A972" t="s">
        <v>1186</v>
      </c>
      <c r="B972" t="s">
        <v>41</v>
      </c>
      <c r="C972" t="s">
        <v>54</v>
      </c>
      <c r="D972" s="1" t="str">
        <f>_xlfn.IFNA(_xlfn.XLOOKUP(Data[[#This Row],[unqid]],'Quipt Prod Data'!L:L,'Quipt Prod Data'!B:B),"")</f>
        <v/>
      </c>
      <c r="E972" s="1" t="str">
        <f>_xlfn.IFNA(_xlfn.XMATCH(Data[[#This Row],[unqid]],'Quipt Prod Data'!L:L,0),"")</f>
        <v/>
      </c>
      <c r="F972" s="1" t="str">
        <f>IF(COUNTIF('Quipt Prod Data'!L:L,Data[[#This Row],[unqid]])=0,"",COUNTIF('Quipt Prod Data'!L:L,Data[[#This Row],[unqid]]))</f>
        <v/>
      </c>
    </row>
    <row r="973" spans="1:6" x14ac:dyDescent="0.3">
      <c r="A973" t="s">
        <v>1187</v>
      </c>
      <c r="B973" t="s">
        <v>41</v>
      </c>
      <c r="C973" t="s">
        <v>54</v>
      </c>
      <c r="D973" s="1" t="str">
        <f>_xlfn.IFNA(_xlfn.XLOOKUP(Data[[#This Row],[unqid]],'Quipt Prod Data'!L:L,'Quipt Prod Data'!B:B),"")</f>
        <v/>
      </c>
      <c r="E973" s="1" t="str">
        <f>_xlfn.IFNA(_xlfn.XMATCH(Data[[#This Row],[unqid]],'Quipt Prod Data'!L:L,0),"")</f>
        <v/>
      </c>
      <c r="F973" s="1" t="str">
        <f>IF(COUNTIF('Quipt Prod Data'!L:L,Data[[#This Row],[unqid]])=0,"",COUNTIF('Quipt Prod Data'!L:L,Data[[#This Row],[unqid]]))</f>
        <v/>
      </c>
    </row>
    <row r="974" spans="1:6" x14ac:dyDescent="0.3">
      <c r="A974" t="s">
        <v>1188</v>
      </c>
      <c r="B974" t="s">
        <v>41</v>
      </c>
      <c r="C974" t="s">
        <v>53</v>
      </c>
      <c r="D974" s="1" t="str">
        <f>_xlfn.IFNA(_xlfn.XLOOKUP(Data[[#This Row],[unqid]],'Quipt Prod Data'!L:L,'Quipt Prod Data'!B:B),"")</f>
        <v/>
      </c>
      <c r="E974" s="1" t="str">
        <f>_xlfn.IFNA(_xlfn.XMATCH(Data[[#This Row],[unqid]],'Quipt Prod Data'!L:L,0),"")</f>
        <v/>
      </c>
      <c r="F974" s="1" t="str">
        <f>IF(COUNTIF('Quipt Prod Data'!L:L,Data[[#This Row],[unqid]])=0,"",COUNTIF('Quipt Prod Data'!L:L,Data[[#This Row],[unqid]]))</f>
        <v/>
      </c>
    </row>
    <row r="975" spans="1:6" x14ac:dyDescent="0.3">
      <c r="A975" t="s">
        <v>1189</v>
      </c>
      <c r="B975" t="s">
        <v>41</v>
      </c>
      <c r="C975" t="s">
        <v>54</v>
      </c>
      <c r="D975" s="1" t="str">
        <f>_xlfn.IFNA(_xlfn.XLOOKUP(Data[[#This Row],[unqid]],'Quipt Prod Data'!L:L,'Quipt Prod Data'!B:B),"")</f>
        <v/>
      </c>
      <c r="E975" s="1" t="str">
        <f>_xlfn.IFNA(_xlfn.XMATCH(Data[[#This Row],[unqid]],'Quipt Prod Data'!L:L,0),"")</f>
        <v/>
      </c>
      <c r="F975" s="1" t="str">
        <f>IF(COUNTIF('Quipt Prod Data'!L:L,Data[[#This Row],[unqid]])=0,"",COUNTIF('Quipt Prod Data'!L:L,Data[[#This Row],[unqid]]))</f>
        <v/>
      </c>
    </row>
    <row r="976" spans="1:6" x14ac:dyDescent="0.3">
      <c r="A976" t="s">
        <v>1190</v>
      </c>
      <c r="B976" t="s">
        <v>32</v>
      </c>
      <c r="C976" t="s">
        <v>27</v>
      </c>
      <c r="D976" s="1" t="str">
        <f>_xlfn.IFNA(_xlfn.XLOOKUP(Data[[#This Row],[unqid]],'Quipt Prod Data'!L:L,'Quipt Prod Data'!B:B),"")</f>
        <v/>
      </c>
      <c r="E976" s="1" t="str">
        <f>_xlfn.IFNA(_xlfn.XMATCH(Data[[#This Row],[unqid]],'Quipt Prod Data'!L:L,0),"")</f>
        <v/>
      </c>
      <c r="F976" s="1" t="str">
        <f>IF(COUNTIF('Quipt Prod Data'!L:L,Data[[#This Row],[unqid]])=0,"",COUNTIF('Quipt Prod Data'!L:L,Data[[#This Row],[unqid]]))</f>
        <v/>
      </c>
    </row>
    <row r="977" spans="1:6" x14ac:dyDescent="0.3">
      <c r="A977" t="s">
        <v>1191</v>
      </c>
      <c r="B977" t="s">
        <v>41</v>
      </c>
      <c r="C977" t="s">
        <v>44</v>
      </c>
      <c r="D977" s="1" t="str">
        <f>_xlfn.IFNA(_xlfn.XLOOKUP(Data[[#This Row],[unqid]],'Quipt Prod Data'!L:L,'Quipt Prod Data'!B:B),"")</f>
        <v/>
      </c>
      <c r="E977" s="1" t="str">
        <f>_xlfn.IFNA(_xlfn.XMATCH(Data[[#This Row],[unqid]],'Quipt Prod Data'!L:L,0),"")</f>
        <v/>
      </c>
      <c r="F977" s="1" t="str">
        <f>IF(COUNTIF('Quipt Prod Data'!L:L,Data[[#This Row],[unqid]])=0,"",COUNTIF('Quipt Prod Data'!L:L,Data[[#This Row],[unqid]]))</f>
        <v/>
      </c>
    </row>
    <row r="978" spans="1:6" x14ac:dyDescent="0.3">
      <c r="A978" t="s">
        <v>1192</v>
      </c>
      <c r="B978" t="s">
        <v>41</v>
      </c>
      <c r="C978" t="s">
        <v>44</v>
      </c>
      <c r="D978" s="1" t="str">
        <f>_xlfn.IFNA(_xlfn.XLOOKUP(Data[[#This Row],[unqid]],'Quipt Prod Data'!L:L,'Quipt Prod Data'!B:B),"")</f>
        <v/>
      </c>
      <c r="E978" s="1" t="str">
        <f>_xlfn.IFNA(_xlfn.XMATCH(Data[[#This Row],[unqid]],'Quipt Prod Data'!L:L,0),"")</f>
        <v/>
      </c>
      <c r="F978" s="1" t="str">
        <f>IF(COUNTIF('Quipt Prod Data'!L:L,Data[[#This Row],[unqid]])=0,"",COUNTIF('Quipt Prod Data'!L:L,Data[[#This Row],[unqid]]))</f>
        <v/>
      </c>
    </row>
    <row r="979" spans="1:6" x14ac:dyDescent="0.3">
      <c r="A979" t="s">
        <v>1193</v>
      </c>
      <c r="B979" t="s">
        <v>41</v>
      </c>
      <c r="C979" t="s">
        <v>53</v>
      </c>
      <c r="D979" s="1" t="str">
        <f>_xlfn.IFNA(_xlfn.XLOOKUP(Data[[#This Row],[unqid]],'Quipt Prod Data'!L:L,'Quipt Prod Data'!B:B),"")</f>
        <v/>
      </c>
      <c r="E979" s="1" t="str">
        <f>_xlfn.IFNA(_xlfn.XMATCH(Data[[#This Row],[unqid]],'Quipt Prod Data'!L:L,0),"")</f>
        <v/>
      </c>
      <c r="F979" s="1" t="str">
        <f>IF(COUNTIF('Quipt Prod Data'!L:L,Data[[#This Row],[unqid]])=0,"",COUNTIF('Quipt Prod Data'!L:L,Data[[#This Row],[unqid]]))</f>
        <v/>
      </c>
    </row>
    <row r="980" spans="1:6" x14ac:dyDescent="0.3">
      <c r="A980" t="s">
        <v>1194</v>
      </c>
      <c r="B980" t="s">
        <v>34</v>
      </c>
      <c r="C980" t="s">
        <v>44</v>
      </c>
      <c r="D980" s="1" t="str">
        <f>_xlfn.IFNA(_xlfn.XLOOKUP(Data[[#This Row],[unqid]],'Quipt Prod Data'!L:L,'Quipt Prod Data'!B:B),"")</f>
        <v/>
      </c>
      <c r="E980" s="1" t="str">
        <f>_xlfn.IFNA(_xlfn.XMATCH(Data[[#This Row],[unqid]],'Quipt Prod Data'!L:L,0),"")</f>
        <v/>
      </c>
      <c r="F980" s="1" t="str">
        <f>IF(COUNTIF('Quipt Prod Data'!L:L,Data[[#This Row],[unqid]])=0,"",COUNTIF('Quipt Prod Data'!L:L,Data[[#This Row],[unqid]]))</f>
        <v/>
      </c>
    </row>
    <row r="981" spans="1:6" x14ac:dyDescent="0.3">
      <c r="A981" t="s">
        <v>1195</v>
      </c>
      <c r="B981" t="s">
        <v>34</v>
      </c>
      <c r="C981" t="s">
        <v>44</v>
      </c>
      <c r="D981" s="1" t="str">
        <f>_xlfn.IFNA(_xlfn.XLOOKUP(Data[[#This Row],[unqid]],'Quipt Prod Data'!L:L,'Quipt Prod Data'!B:B),"")</f>
        <v/>
      </c>
      <c r="E981" s="1" t="str">
        <f>_xlfn.IFNA(_xlfn.XMATCH(Data[[#This Row],[unqid]],'Quipt Prod Data'!L:L,0),"")</f>
        <v/>
      </c>
      <c r="F981" s="1" t="str">
        <f>IF(COUNTIF('Quipt Prod Data'!L:L,Data[[#This Row],[unqid]])=0,"",COUNTIF('Quipt Prod Data'!L:L,Data[[#This Row],[unqid]]))</f>
        <v/>
      </c>
    </row>
    <row r="982" spans="1:6" x14ac:dyDescent="0.3">
      <c r="A982" t="s">
        <v>1196</v>
      </c>
      <c r="B982" t="s">
        <v>41</v>
      </c>
      <c r="C982" t="s">
        <v>44</v>
      </c>
      <c r="D982" s="1" t="str">
        <f>_xlfn.IFNA(_xlfn.XLOOKUP(Data[[#This Row],[unqid]],'Quipt Prod Data'!L:L,'Quipt Prod Data'!B:B),"")</f>
        <v/>
      </c>
      <c r="E982" s="1" t="str">
        <f>_xlfn.IFNA(_xlfn.XMATCH(Data[[#This Row],[unqid]],'Quipt Prod Data'!L:L,0),"")</f>
        <v/>
      </c>
      <c r="F982" s="1" t="str">
        <f>IF(COUNTIF('Quipt Prod Data'!L:L,Data[[#This Row],[unqid]])=0,"",COUNTIF('Quipt Prod Data'!L:L,Data[[#This Row],[unqid]]))</f>
        <v/>
      </c>
    </row>
    <row r="983" spans="1:6" x14ac:dyDescent="0.3">
      <c r="A983" t="s">
        <v>1197</v>
      </c>
      <c r="B983" t="s">
        <v>47</v>
      </c>
      <c r="C983" t="s">
        <v>54</v>
      </c>
      <c r="D983" s="1" t="str">
        <f>_xlfn.IFNA(_xlfn.XLOOKUP(Data[[#This Row],[unqid]],'Quipt Prod Data'!L:L,'Quipt Prod Data'!B:B),"")</f>
        <v/>
      </c>
      <c r="E983" s="1" t="str">
        <f>_xlfn.IFNA(_xlfn.XMATCH(Data[[#This Row],[unqid]],'Quipt Prod Data'!L:L,0),"")</f>
        <v/>
      </c>
      <c r="F983" s="1" t="str">
        <f>IF(COUNTIF('Quipt Prod Data'!L:L,Data[[#This Row],[unqid]])=0,"",COUNTIF('Quipt Prod Data'!L:L,Data[[#This Row],[unqid]]))</f>
        <v/>
      </c>
    </row>
    <row r="984" spans="1:6" x14ac:dyDescent="0.3">
      <c r="A984" t="s">
        <v>1198</v>
      </c>
      <c r="B984" t="s">
        <v>41</v>
      </c>
      <c r="C984" t="s">
        <v>54</v>
      </c>
      <c r="D984" s="1" t="str">
        <f>_xlfn.IFNA(_xlfn.XLOOKUP(Data[[#This Row],[unqid]],'Quipt Prod Data'!L:L,'Quipt Prod Data'!B:B),"")</f>
        <v/>
      </c>
      <c r="E984" s="1" t="str">
        <f>_xlfn.IFNA(_xlfn.XMATCH(Data[[#This Row],[unqid]],'Quipt Prod Data'!L:L,0),"")</f>
        <v/>
      </c>
      <c r="F984" s="1" t="str">
        <f>IF(COUNTIF('Quipt Prod Data'!L:L,Data[[#This Row],[unqid]])=0,"",COUNTIF('Quipt Prod Data'!L:L,Data[[#This Row],[unqid]]))</f>
        <v/>
      </c>
    </row>
    <row r="985" spans="1:6" x14ac:dyDescent="0.3">
      <c r="A985" t="s">
        <v>1199</v>
      </c>
      <c r="B985" t="s">
        <v>41</v>
      </c>
      <c r="C985" t="s">
        <v>43</v>
      </c>
      <c r="D985" s="1" t="str">
        <f>_xlfn.IFNA(_xlfn.XLOOKUP(Data[[#This Row],[unqid]],'Quipt Prod Data'!L:L,'Quipt Prod Data'!B:B),"")</f>
        <v/>
      </c>
      <c r="E985" s="1" t="str">
        <f>_xlfn.IFNA(_xlfn.XMATCH(Data[[#This Row],[unqid]],'Quipt Prod Data'!L:L,0),"")</f>
        <v/>
      </c>
      <c r="F985" s="1" t="str">
        <f>IF(COUNTIF('Quipt Prod Data'!L:L,Data[[#This Row],[unqid]])=0,"",COUNTIF('Quipt Prod Data'!L:L,Data[[#This Row],[unqid]]))</f>
        <v/>
      </c>
    </row>
    <row r="986" spans="1:6" x14ac:dyDescent="0.3">
      <c r="A986" t="s">
        <v>1200</v>
      </c>
      <c r="B986" t="s">
        <v>41</v>
      </c>
      <c r="C986" t="s">
        <v>54</v>
      </c>
      <c r="D986" s="1" t="str">
        <f>_xlfn.IFNA(_xlfn.XLOOKUP(Data[[#This Row],[unqid]],'Quipt Prod Data'!L:L,'Quipt Prod Data'!B:B),"")</f>
        <v/>
      </c>
      <c r="E986" s="1" t="str">
        <f>_xlfn.IFNA(_xlfn.XMATCH(Data[[#This Row],[unqid]],'Quipt Prod Data'!L:L,0),"")</f>
        <v/>
      </c>
      <c r="F986" s="1" t="str">
        <f>IF(COUNTIF('Quipt Prod Data'!L:L,Data[[#This Row],[unqid]])=0,"",COUNTIF('Quipt Prod Data'!L:L,Data[[#This Row],[unqid]]))</f>
        <v/>
      </c>
    </row>
    <row r="987" spans="1:6" x14ac:dyDescent="0.3">
      <c r="A987" t="s">
        <v>1201</v>
      </c>
      <c r="B987" t="s">
        <v>41</v>
      </c>
      <c r="C987" t="s">
        <v>44</v>
      </c>
      <c r="D987" s="1" t="str">
        <f>_xlfn.IFNA(_xlfn.XLOOKUP(Data[[#This Row],[unqid]],'Quipt Prod Data'!L:L,'Quipt Prod Data'!B:B),"")</f>
        <v/>
      </c>
      <c r="E987" s="1" t="str">
        <f>_xlfn.IFNA(_xlfn.XMATCH(Data[[#This Row],[unqid]],'Quipt Prod Data'!L:L,0),"")</f>
        <v/>
      </c>
      <c r="F987" s="1" t="str">
        <f>IF(COUNTIF('Quipt Prod Data'!L:L,Data[[#This Row],[unqid]])=0,"",COUNTIF('Quipt Prod Data'!L:L,Data[[#This Row],[unqid]]))</f>
        <v/>
      </c>
    </row>
    <row r="988" spans="1:6" x14ac:dyDescent="0.3">
      <c r="A988" t="s">
        <v>1202</v>
      </c>
      <c r="B988" t="s">
        <v>41</v>
      </c>
      <c r="C988" t="s">
        <v>53</v>
      </c>
      <c r="D988" s="1" t="str">
        <f>_xlfn.IFNA(_xlfn.XLOOKUP(Data[[#This Row],[unqid]],'Quipt Prod Data'!L:L,'Quipt Prod Data'!B:B),"")</f>
        <v/>
      </c>
      <c r="E988" s="1" t="str">
        <f>_xlfn.IFNA(_xlfn.XMATCH(Data[[#This Row],[unqid]],'Quipt Prod Data'!L:L,0),"")</f>
        <v/>
      </c>
      <c r="F988" s="1" t="str">
        <f>IF(COUNTIF('Quipt Prod Data'!L:L,Data[[#This Row],[unqid]])=0,"",COUNTIF('Quipt Prod Data'!L:L,Data[[#This Row],[unqid]]))</f>
        <v/>
      </c>
    </row>
    <row r="989" spans="1:6" x14ac:dyDescent="0.3">
      <c r="A989" t="s">
        <v>1203</v>
      </c>
      <c r="B989" t="s">
        <v>41</v>
      </c>
      <c r="C989" t="s">
        <v>53</v>
      </c>
      <c r="D989" s="1" t="str">
        <f>_xlfn.IFNA(_xlfn.XLOOKUP(Data[[#This Row],[unqid]],'Quipt Prod Data'!L:L,'Quipt Prod Data'!B:B),"")</f>
        <v/>
      </c>
      <c r="E989" s="1" t="str">
        <f>_xlfn.IFNA(_xlfn.XMATCH(Data[[#This Row],[unqid]],'Quipt Prod Data'!L:L,0),"")</f>
        <v/>
      </c>
      <c r="F989" s="1" t="str">
        <f>IF(COUNTIF('Quipt Prod Data'!L:L,Data[[#This Row],[unqid]])=0,"",COUNTIF('Quipt Prod Data'!L:L,Data[[#This Row],[unqid]]))</f>
        <v/>
      </c>
    </row>
    <row r="990" spans="1:6" x14ac:dyDescent="0.3">
      <c r="A990" t="s">
        <v>1204</v>
      </c>
      <c r="B990" t="s">
        <v>41</v>
      </c>
      <c r="C990" t="s">
        <v>44</v>
      </c>
      <c r="D990" s="1" t="str">
        <f>_xlfn.IFNA(_xlfn.XLOOKUP(Data[[#This Row],[unqid]],'Quipt Prod Data'!L:L,'Quipt Prod Data'!B:B),"")</f>
        <v/>
      </c>
      <c r="E990" s="1" t="str">
        <f>_xlfn.IFNA(_xlfn.XMATCH(Data[[#This Row],[unqid]],'Quipt Prod Data'!L:L,0),"")</f>
        <v/>
      </c>
      <c r="F990" s="1" t="str">
        <f>IF(COUNTIF('Quipt Prod Data'!L:L,Data[[#This Row],[unqid]])=0,"",COUNTIF('Quipt Prod Data'!L:L,Data[[#This Row],[unqid]]))</f>
        <v/>
      </c>
    </row>
    <row r="991" spans="1:6" x14ac:dyDescent="0.3">
      <c r="A991" t="s">
        <v>1205</v>
      </c>
      <c r="B991" t="s">
        <v>47</v>
      </c>
      <c r="C991" t="s">
        <v>54</v>
      </c>
      <c r="D991" s="1" t="str">
        <f>_xlfn.IFNA(_xlfn.XLOOKUP(Data[[#This Row],[unqid]],'Quipt Prod Data'!L:L,'Quipt Prod Data'!B:B),"")</f>
        <v/>
      </c>
      <c r="E991" s="1" t="str">
        <f>_xlfn.IFNA(_xlfn.XMATCH(Data[[#This Row],[unqid]],'Quipt Prod Data'!L:L,0),"")</f>
        <v/>
      </c>
      <c r="F991" s="1" t="str">
        <f>IF(COUNTIF('Quipt Prod Data'!L:L,Data[[#This Row],[unqid]])=0,"",COUNTIF('Quipt Prod Data'!L:L,Data[[#This Row],[unqid]]))</f>
        <v/>
      </c>
    </row>
    <row r="992" spans="1:6" x14ac:dyDescent="0.3">
      <c r="A992" t="s">
        <v>1206</v>
      </c>
      <c r="B992" t="s">
        <v>41</v>
      </c>
      <c r="C992" t="s">
        <v>54</v>
      </c>
      <c r="D992" s="1" t="str">
        <f>_xlfn.IFNA(_xlfn.XLOOKUP(Data[[#This Row],[unqid]],'Quipt Prod Data'!L:L,'Quipt Prod Data'!B:B),"")</f>
        <v/>
      </c>
      <c r="E992" s="1" t="str">
        <f>_xlfn.IFNA(_xlfn.XMATCH(Data[[#This Row],[unqid]],'Quipt Prod Data'!L:L,0),"")</f>
        <v/>
      </c>
      <c r="F992" s="1" t="str">
        <f>IF(COUNTIF('Quipt Prod Data'!L:L,Data[[#This Row],[unqid]])=0,"",COUNTIF('Quipt Prod Data'!L:L,Data[[#This Row],[unqid]]))</f>
        <v/>
      </c>
    </row>
    <row r="993" spans="1:6" x14ac:dyDescent="0.3">
      <c r="A993" t="s">
        <v>1207</v>
      </c>
      <c r="B993" t="s">
        <v>41</v>
      </c>
      <c r="C993" t="s">
        <v>53</v>
      </c>
      <c r="D993" s="1" t="str">
        <f>_xlfn.IFNA(_xlfn.XLOOKUP(Data[[#This Row],[unqid]],'Quipt Prod Data'!L:L,'Quipt Prod Data'!B:B),"")</f>
        <v/>
      </c>
      <c r="E993" s="1" t="str">
        <f>_xlfn.IFNA(_xlfn.XMATCH(Data[[#This Row],[unqid]],'Quipt Prod Data'!L:L,0),"")</f>
        <v/>
      </c>
      <c r="F993" s="1" t="str">
        <f>IF(COUNTIF('Quipt Prod Data'!L:L,Data[[#This Row],[unqid]])=0,"",COUNTIF('Quipt Prod Data'!L:L,Data[[#This Row],[unqid]]))</f>
        <v/>
      </c>
    </row>
    <row r="994" spans="1:6" x14ac:dyDescent="0.3">
      <c r="A994" t="s">
        <v>1208</v>
      </c>
      <c r="B994" t="s">
        <v>41</v>
      </c>
      <c r="C994" t="s">
        <v>53</v>
      </c>
      <c r="D994" s="1" t="str">
        <f>_xlfn.IFNA(_xlfn.XLOOKUP(Data[[#This Row],[unqid]],'Quipt Prod Data'!L:L,'Quipt Prod Data'!B:B),"")</f>
        <v/>
      </c>
      <c r="E994" s="1" t="str">
        <f>_xlfn.IFNA(_xlfn.XMATCH(Data[[#This Row],[unqid]],'Quipt Prod Data'!L:L,0),"")</f>
        <v/>
      </c>
      <c r="F994" s="1" t="str">
        <f>IF(COUNTIF('Quipt Prod Data'!L:L,Data[[#This Row],[unqid]])=0,"",COUNTIF('Quipt Prod Data'!L:L,Data[[#This Row],[unqid]]))</f>
        <v/>
      </c>
    </row>
    <row r="995" spans="1:6" x14ac:dyDescent="0.3">
      <c r="A995" t="s">
        <v>1209</v>
      </c>
      <c r="B995" t="s">
        <v>47</v>
      </c>
      <c r="C995" t="s">
        <v>54</v>
      </c>
      <c r="D995" s="1" t="str">
        <f>_xlfn.IFNA(_xlfn.XLOOKUP(Data[[#This Row],[unqid]],'Quipt Prod Data'!L:L,'Quipt Prod Data'!B:B),"")</f>
        <v/>
      </c>
      <c r="E995" s="1" t="str">
        <f>_xlfn.IFNA(_xlfn.XMATCH(Data[[#This Row],[unqid]],'Quipt Prod Data'!L:L,0),"")</f>
        <v/>
      </c>
      <c r="F995" s="1" t="str">
        <f>IF(COUNTIF('Quipt Prod Data'!L:L,Data[[#This Row],[unqid]])=0,"",COUNTIF('Quipt Prod Data'!L:L,Data[[#This Row],[unqid]]))</f>
        <v/>
      </c>
    </row>
    <row r="996" spans="1:6" x14ac:dyDescent="0.3">
      <c r="A996" t="s">
        <v>1210</v>
      </c>
      <c r="B996" t="s">
        <v>41</v>
      </c>
      <c r="C996" t="s">
        <v>53</v>
      </c>
      <c r="D996" s="1" t="str">
        <f>_xlfn.IFNA(_xlfn.XLOOKUP(Data[[#This Row],[unqid]],'Quipt Prod Data'!L:L,'Quipt Prod Data'!B:B),"")</f>
        <v/>
      </c>
      <c r="E996" s="1" t="str">
        <f>_xlfn.IFNA(_xlfn.XMATCH(Data[[#This Row],[unqid]],'Quipt Prod Data'!L:L,0),"")</f>
        <v/>
      </c>
      <c r="F996" s="1" t="str">
        <f>IF(COUNTIF('Quipt Prod Data'!L:L,Data[[#This Row],[unqid]])=0,"",COUNTIF('Quipt Prod Data'!L:L,Data[[#This Row],[unqid]]))</f>
        <v/>
      </c>
    </row>
    <row r="997" spans="1:6" x14ac:dyDescent="0.3">
      <c r="A997" t="s">
        <v>1211</v>
      </c>
      <c r="B997" t="s">
        <v>41</v>
      </c>
      <c r="C997" t="s">
        <v>54</v>
      </c>
      <c r="D997" s="1" t="str">
        <f>_xlfn.IFNA(_xlfn.XLOOKUP(Data[[#This Row],[unqid]],'Quipt Prod Data'!L:L,'Quipt Prod Data'!B:B),"")</f>
        <v/>
      </c>
      <c r="E997" s="1" t="str">
        <f>_xlfn.IFNA(_xlfn.XMATCH(Data[[#This Row],[unqid]],'Quipt Prod Data'!L:L,0),"")</f>
        <v/>
      </c>
      <c r="F997" s="1" t="str">
        <f>IF(COUNTIF('Quipt Prod Data'!L:L,Data[[#This Row],[unqid]])=0,"",COUNTIF('Quipt Prod Data'!L:L,Data[[#This Row],[unqid]]))</f>
        <v/>
      </c>
    </row>
    <row r="998" spans="1:6" x14ac:dyDescent="0.3">
      <c r="A998" t="s">
        <v>1212</v>
      </c>
      <c r="B998" t="s">
        <v>41</v>
      </c>
      <c r="C998" t="s">
        <v>48</v>
      </c>
      <c r="D998" s="1" t="str">
        <f>_xlfn.IFNA(_xlfn.XLOOKUP(Data[[#This Row],[unqid]],'Quipt Prod Data'!L:L,'Quipt Prod Data'!B:B),"")</f>
        <v/>
      </c>
      <c r="E998" s="1" t="str">
        <f>_xlfn.IFNA(_xlfn.XMATCH(Data[[#This Row],[unqid]],'Quipt Prod Data'!L:L,0),"")</f>
        <v/>
      </c>
      <c r="F998" s="1" t="str">
        <f>IF(COUNTIF('Quipt Prod Data'!L:L,Data[[#This Row],[unqid]])=0,"",COUNTIF('Quipt Prod Data'!L:L,Data[[#This Row],[unqid]]))</f>
        <v/>
      </c>
    </row>
    <row r="999" spans="1:6" x14ac:dyDescent="0.3">
      <c r="A999" t="s">
        <v>1213</v>
      </c>
      <c r="B999" t="s">
        <v>41</v>
      </c>
      <c r="C999" t="s">
        <v>54</v>
      </c>
      <c r="D999" s="1" t="str">
        <f>_xlfn.IFNA(_xlfn.XLOOKUP(Data[[#This Row],[unqid]],'Quipt Prod Data'!L:L,'Quipt Prod Data'!B:B),"")</f>
        <v/>
      </c>
      <c r="E999" s="1" t="str">
        <f>_xlfn.IFNA(_xlfn.XMATCH(Data[[#This Row],[unqid]],'Quipt Prod Data'!L:L,0),"")</f>
        <v/>
      </c>
      <c r="F999" s="1" t="str">
        <f>IF(COUNTIF('Quipt Prod Data'!L:L,Data[[#This Row],[unqid]])=0,"",COUNTIF('Quipt Prod Data'!L:L,Data[[#This Row],[unqid]]))</f>
        <v/>
      </c>
    </row>
    <row r="1000" spans="1:6" x14ac:dyDescent="0.3">
      <c r="A1000" t="s">
        <v>1214</v>
      </c>
      <c r="B1000" t="s">
        <v>55</v>
      </c>
      <c r="C1000" t="s">
        <v>44</v>
      </c>
      <c r="D1000" s="1" t="str">
        <f>_xlfn.IFNA(_xlfn.XLOOKUP(Data[[#This Row],[unqid]],'Quipt Prod Data'!L:L,'Quipt Prod Data'!B:B),"")</f>
        <v/>
      </c>
      <c r="E1000" s="1" t="str">
        <f>_xlfn.IFNA(_xlfn.XMATCH(Data[[#This Row],[unqid]],'Quipt Prod Data'!L:L,0),"")</f>
        <v/>
      </c>
      <c r="F1000" s="1" t="str">
        <f>IF(COUNTIF('Quipt Prod Data'!L:L,Data[[#This Row],[unqid]])=0,"",COUNTIF('Quipt Prod Data'!L:L,Data[[#This Row],[unqid]]))</f>
        <v/>
      </c>
    </row>
    <row r="1001" spans="1:6" x14ac:dyDescent="0.3">
      <c r="A1001" t="s">
        <v>1215</v>
      </c>
      <c r="B1001" t="s">
        <v>41</v>
      </c>
      <c r="C1001" t="s">
        <v>54</v>
      </c>
      <c r="D1001" s="1" t="str">
        <f>_xlfn.IFNA(_xlfn.XLOOKUP(Data[[#This Row],[unqid]],'Quipt Prod Data'!L:L,'Quipt Prod Data'!B:B),"")</f>
        <v/>
      </c>
      <c r="E1001" s="1" t="str">
        <f>_xlfn.IFNA(_xlfn.XMATCH(Data[[#This Row],[unqid]],'Quipt Prod Data'!L:L,0),"")</f>
        <v/>
      </c>
      <c r="F1001" s="1" t="str">
        <f>IF(COUNTIF('Quipt Prod Data'!L:L,Data[[#This Row],[unqid]])=0,"",COUNTIF('Quipt Prod Data'!L:L,Data[[#This Row],[unqid]]))</f>
        <v/>
      </c>
    </row>
    <row r="1002" spans="1:6" x14ac:dyDescent="0.3">
      <c r="A1002" t="s">
        <v>1216</v>
      </c>
      <c r="B1002" t="s">
        <v>41</v>
      </c>
      <c r="C1002" t="s">
        <v>54</v>
      </c>
      <c r="D1002" s="1" t="str">
        <f>_xlfn.IFNA(_xlfn.XLOOKUP(Data[[#This Row],[unqid]],'Quipt Prod Data'!L:L,'Quipt Prod Data'!B:B),"")</f>
        <v/>
      </c>
      <c r="E1002" s="1" t="str">
        <f>_xlfn.IFNA(_xlfn.XMATCH(Data[[#This Row],[unqid]],'Quipt Prod Data'!L:L,0),"")</f>
        <v/>
      </c>
      <c r="F1002" s="1" t="str">
        <f>IF(COUNTIF('Quipt Prod Data'!L:L,Data[[#This Row],[unqid]])=0,"",COUNTIF('Quipt Prod Data'!L:L,Data[[#This Row],[unqid]]))</f>
        <v/>
      </c>
    </row>
    <row r="1003" spans="1:6" x14ac:dyDescent="0.3">
      <c r="A1003" t="s">
        <v>1217</v>
      </c>
      <c r="B1003" t="s">
        <v>42</v>
      </c>
      <c r="C1003" t="s">
        <v>27</v>
      </c>
      <c r="D1003" s="1" t="str">
        <f>_xlfn.IFNA(_xlfn.XLOOKUP(Data[[#This Row],[unqid]],'Quipt Prod Data'!L:L,'Quipt Prod Data'!B:B),"")</f>
        <v/>
      </c>
      <c r="E1003" s="1" t="str">
        <f>_xlfn.IFNA(_xlfn.XMATCH(Data[[#This Row],[unqid]],'Quipt Prod Data'!L:L,0),"")</f>
        <v/>
      </c>
      <c r="F1003" s="1" t="str">
        <f>IF(COUNTIF('Quipt Prod Data'!L:L,Data[[#This Row],[unqid]])=0,"",COUNTIF('Quipt Prod Data'!L:L,Data[[#This Row],[unqid]]))</f>
        <v/>
      </c>
    </row>
    <row r="1004" spans="1:6" x14ac:dyDescent="0.3">
      <c r="A1004" t="s">
        <v>1218</v>
      </c>
      <c r="B1004" t="s">
        <v>41</v>
      </c>
      <c r="C1004" t="s">
        <v>54</v>
      </c>
      <c r="D1004" s="1" t="str">
        <f>_xlfn.IFNA(_xlfn.XLOOKUP(Data[[#This Row],[unqid]],'Quipt Prod Data'!L:L,'Quipt Prod Data'!B:B),"")</f>
        <v/>
      </c>
      <c r="E1004" s="1" t="str">
        <f>_xlfn.IFNA(_xlfn.XMATCH(Data[[#This Row],[unqid]],'Quipt Prod Data'!L:L,0),"")</f>
        <v/>
      </c>
      <c r="F1004" s="1" t="str">
        <f>IF(COUNTIF('Quipt Prod Data'!L:L,Data[[#This Row],[unqid]])=0,"",COUNTIF('Quipt Prod Data'!L:L,Data[[#This Row],[unqid]]))</f>
        <v/>
      </c>
    </row>
    <row r="1005" spans="1:6" x14ac:dyDescent="0.3">
      <c r="A1005" t="s">
        <v>1219</v>
      </c>
      <c r="B1005" t="s">
        <v>41</v>
      </c>
      <c r="C1005" t="s">
        <v>54</v>
      </c>
      <c r="D1005" s="1" t="str">
        <f>_xlfn.IFNA(_xlfn.XLOOKUP(Data[[#This Row],[unqid]],'Quipt Prod Data'!L:L,'Quipt Prod Data'!B:B),"")</f>
        <v/>
      </c>
      <c r="E1005" s="1" t="str">
        <f>_xlfn.IFNA(_xlfn.XMATCH(Data[[#This Row],[unqid]],'Quipt Prod Data'!L:L,0),"")</f>
        <v/>
      </c>
      <c r="F1005" s="1" t="str">
        <f>IF(COUNTIF('Quipt Prod Data'!L:L,Data[[#This Row],[unqid]])=0,"",COUNTIF('Quipt Prod Data'!L:L,Data[[#This Row],[unqid]]))</f>
        <v/>
      </c>
    </row>
    <row r="1006" spans="1:6" x14ac:dyDescent="0.3">
      <c r="A1006" t="s">
        <v>1220</v>
      </c>
      <c r="B1006" t="s">
        <v>41</v>
      </c>
      <c r="C1006" t="s">
        <v>44</v>
      </c>
      <c r="D1006" s="1" t="str">
        <f>_xlfn.IFNA(_xlfn.XLOOKUP(Data[[#This Row],[unqid]],'Quipt Prod Data'!L:L,'Quipt Prod Data'!B:B),"")</f>
        <v/>
      </c>
      <c r="E1006" s="1" t="str">
        <f>_xlfn.IFNA(_xlfn.XMATCH(Data[[#This Row],[unqid]],'Quipt Prod Data'!L:L,0),"")</f>
        <v/>
      </c>
      <c r="F1006" s="1" t="str">
        <f>IF(COUNTIF('Quipt Prod Data'!L:L,Data[[#This Row],[unqid]])=0,"",COUNTIF('Quipt Prod Data'!L:L,Data[[#This Row],[unqid]]))</f>
        <v/>
      </c>
    </row>
    <row r="1007" spans="1:6" x14ac:dyDescent="0.3">
      <c r="A1007" t="s">
        <v>1221</v>
      </c>
      <c r="B1007" t="s">
        <v>41</v>
      </c>
      <c r="C1007" t="s">
        <v>53</v>
      </c>
      <c r="D1007" s="1" t="str">
        <f>_xlfn.IFNA(_xlfn.XLOOKUP(Data[[#This Row],[unqid]],'Quipt Prod Data'!L:L,'Quipt Prod Data'!B:B),"")</f>
        <v/>
      </c>
      <c r="E1007" s="1" t="str">
        <f>_xlfn.IFNA(_xlfn.XMATCH(Data[[#This Row],[unqid]],'Quipt Prod Data'!L:L,0),"")</f>
        <v/>
      </c>
      <c r="F1007" s="1" t="str">
        <f>IF(COUNTIF('Quipt Prod Data'!L:L,Data[[#This Row],[unqid]])=0,"",COUNTIF('Quipt Prod Data'!L:L,Data[[#This Row],[unqid]]))</f>
        <v/>
      </c>
    </row>
    <row r="1008" spans="1:6" x14ac:dyDescent="0.3">
      <c r="A1008" t="s">
        <v>1222</v>
      </c>
      <c r="B1008" t="s">
        <v>34</v>
      </c>
      <c r="C1008" t="s">
        <v>44</v>
      </c>
      <c r="D1008" s="1" t="str">
        <f>_xlfn.IFNA(_xlfn.XLOOKUP(Data[[#This Row],[unqid]],'Quipt Prod Data'!L:L,'Quipt Prod Data'!B:B),"")</f>
        <v/>
      </c>
      <c r="E1008" s="1" t="str">
        <f>_xlfn.IFNA(_xlfn.XMATCH(Data[[#This Row],[unqid]],'Quipt Prod Data'!L:L,0),"")</f>
        <v/>
      </c>
      <c r="F1008" s="1" t="str">
        <f>IF(COUNTIF('Quipt Prod Data'!L:L,Data[[#This Row],[unqid]])=0,"",COUNTIF('Quipt Prod Data'!L:L,Data[[#This Row],[unqid]]))</f>
        <v/>
      </c>
    </row>
    <row r="1009" spans="1:6" x14ac:dyDescent="0.3">
      <c r="A1009" t="s">
        <v>1223</v>
      </c>
      <c r="B1009" t="s">
        <v>41</v>
      </c>
      <c r="C1009" t="s">
        <v>48</v>
      </c>
      <c r="D1009" s="1" t="str">
        <f>_xlfn.IFNA(_xlfn.XLOOKUP(Data[[#This Row],[unqid]],'Quipt Prod Data'!L:L,'Quipt Prod Data'!B:B),"")</f>
        <v/>
      </c>
      <c r="E1009" s="1" t="str">
        <f>_xlfn.IFNA(_xlfn.XMATCH(Data[[#This Row],[unqid]],'Quipt Prod Data'!L:L,0),"")</f>
        <v/>
      </c>
      <c r="F1009" s="1" t="str">
        <f>IF(COUNTIF('Quipt Prod Data'!L:L,Data[[#This Row],[unqid]])=0,"",COUNTIF('Quipt Prod Data'!L:L,Data[[#This Row],[unqid]]))</f>
        <v/>
      </c>
    </row>
    <row r="1010" spans="1:6" x14ac:dyDescent="0.3">
      <c r="A1010" t="s">
        <v>1224</v>
      </c>
      <c r="B1010" t="s">
        <v>41</v>
      </c>
      <c r="C1010" t="s">
        <v>54</v>
      </c>
      <c r="D1010" s="1" t="str">
        <f>_xlfn.IFNA(_xlfn.XLOOKUP(Data[[#This Row],[unqid]],'Quipt Prod Data'!L:L,'Quipt Prod Data'!B:B),"")</f>
        <v/>
      </c>
      <c r="E1010" s="1" t="str">
        <f>_xlfn.IFNA(_xlfn.XMATCH(Data[[#This Row],[unqid]],'Quipt Prod Data'!L:L,0),"")</f>
        <v/>
      </c>
      <c r="F1010" s="1" t="str">
        <f>IF(COUNTIF('Quipt Prod Data'!L:L,Data[[#This Row],[unqid]])=0,"",COUNTIF('Quipt Prod Data'!L:L,Data[[#This Row],[unqid]]))</f>
        <v/>
      </c>
    </row>
    <row r="1011" spans="1:6" x14ac:dyDescent="0.3">
      <c r="A1011" t="s">
        <v>1225</v>
      </c>
      <c r="B1011" t="s">
        <v>41</v>
      </c>
      <c r="C1011" t="s">
        <v>53</v>
      </c>
      <c r="D1011" s="1" t="str">
        <f>_xlfn.IFNA(_xlfn.XLOOKUP(Data[[#This Row],[unqid]],'Quipt Prod Data'!L:L,'Quipt Prod Data'!B:B),"")</f>
        <v/>
      </c>
      <c r="E1011" s="1" t="str">
        <f>_xlfn.IFNA(_xlfn.XMATCH(Data[[#This Row],[unqid]],'Quipt Prod Data'!L:L,0),"")</f>
        <v/>
      </c>
      <c r="F1011" s="1" t="str">
        <f>IF(COUNTIF('Quipt Prod Data'!L:L,Data[[#This Row],[unqid]])=0,"",COUNTIF('Quipt Prod Data'!L:L,Data[[#This Row],[unqid]]))</f>
        <v/>
      </c>
    </row>
    <row r="1012" spans="1:6" x14ac:dyDescent="0.3">
      <c r="A1012" t="s">
        <v>1226</v>
      </c>
      <c r="B1012" t="s">
        <v>41</v>
      </c>
      <c r="C1012" t="s">
        <v>54</v>
      </c>
      <c r="D1012" s="1" t="str">
        <f>_xlfn.IFNA(_xlfn.XLOOKUP(Data[[#This Row],[unqid]],'Quipt Prod Data'!L:L,'Quipt Prod Data'!B:B),"")</f>
        <v/>
      </c>
      <c r="E1012" s="1" t="str">
        <f>_xlfn.IFNA(_xlfn.XMATCH(Data[[#This Row],[unqid]],'Quipt Prod Data'!L:L,0),"")</f>
        <v/>
      </c>
      <c r="F1012" s="1" t="str">
        <f>IF(COUNTIF('Quipt Prod Data'!L:L,Data[[#This Row],[unqid]])=0,"",COUNTIF('Quipt Prod Data'!L:L,Data[[#This Row],[unqid]]))</f>
        <v/>
      </c>
    </row>
    <row r="1013" spans="1:6" x14ac:dyDescent="0.3">
      <c r="A1013" t="s">
        <v>1227</v>
      </c>
      <c r="B1013" t="s">
        <v>41</v>
      </c>
      <c r="C1013" t="s">
        <v>44</v>
      </c>
      <c r="D1013" s="1" t="str">
        <f>_xlfn.IFNA(_xlfn.XLOOKUP(Data[[#This Row],[unqid]],'Quipt Prod Data'!L:L,'Quipt Prod Data'!B:B),"")</f>
        <v/>
      </c>
      <c r="E1013" s="1" t="str">
        <f>_xlfn.IFNA(_xlfn.XMATCH(Data[[#This Row],[unqid]],'Quipt Prod Data'!L:L,0),"")</f>
        <v/>
      </c>
      <c r="F1013" s="1" t="str">
        <f>IF(COUNTIF('Quipt Prod Data'!L:L,Data[[#This Row],[unqid]])=0,"",COUNTIF('Quipt Prod Data'!L:L,Data[[#This Row],[unqid]]))</f>
        <v/>
      </c>
    </row>
    <row r="1014" spans="1:6" x14ac:dyDescent="0.3">
      <c r="A1014" t="s">
        <v>1228</v>
      </c>
      <c r="B1014" t="s">
        <v>55</v>
      </c>
      <c r="C1014" t="s">
        <v>44</v>
      </c>
      <c r="D1014" s="1" t="str">
        <f>_xlfn.IFNA(_xlfn.XLOOKUP(Data[[#This Row],[unqid]],'Quipt Prod Data'!L:L,'Quipt Prod Data'!B:B),"")</f>
        <v/>
      </c>
      <c r="E1014" s="1" t="str">
        <f>_xlfn.IFNA(_xlfn.XMATCH(Data[[#This Row],[unqid]],'Quipt Prod Data'!L:L,0),"")</f>
        <v/>
      </c>
      <c r="F1014" s="1" t="str">
        <f>IF(COUNTIF('Quipt Prod Data'!L:L,Data[[#This Row],[unqid]])=0,"",COUNTIF('Quipt Prod Data'!L:L,Data[[#This Row],[unqid]]))</f>
        <v/>
      </c>
    </row>
    <row r="1015" spans="1:6" x14ac:dyDescent="0.3">
      <c r="A1015" t="s">
        <v>1229</v>
      </c>
      <c r="B1015" t="s">
        <v>42</v>
      </c>
      <c r="C1015" t="s">
        <v>45</v>
      </c>
      <c r="D1015" s="1" t="str">
        <f>_xlfn.IFNA(_xlfn.XLOOKUP(Data[[#This Row],[unqid]],'Quipt Prod Data'!L:L,'Quipt Prod Data'!B:B),"")</f>
        <v/>
      </c>
      <c r="E1015" s="1" t="str">
        <f>_xlfn.IFNA(_xlfn.XMATCH(Data[[#This Row],[unqid]],'Quipt Prod Data'!L:L,0),"")</f>
        <v/>
      </c>
      <c r="F1015" s="1" t="str">
        <f>IF(COUNTIF('Quipt Prod Data'!L:L,Data[[#This Row],[unqid]])=0,"",COUNTIF('Quipt Prod Data'!L:L,Data[[#This Row],[unqid]]))</f>
        <v/>
      </c>
    </row>
    <row r="1016" spans="1:6" x14ac:dyDescent="0.3">
      <c r="A1016" t="s">
        <v>1230</v>
      </c>
      <c r="B1016" t="s">
        <v>41</v>
      </c>
      <c r="C1016" t="s">
        <v>54</v>
      </c>
      <c r="D1016" s="1" t="str">
        <f>_xlfn.IFNA(_xlfn.XLOOKUP(Data[[#This Row],[unqid]],'Quipt Prod Data'!L:L,'Quipt Prod Data'!B:B),"")</f>
        <v/>
      </c>
      <c r="E1016" s="1" t="str">
        <f>_xlfn.IFNA(_xlfn.XMATCH(Data[[#This Row],[unqid]],'Quipt Prod Data'!L:L,0),"")</f>
        <v/>
      </c>
      <c r="F1016" s="1" t="str">
        <f>IF(COUNTIF('Quipt Prod Data'!L:L,Data[[#This Row],[unqid]])=0,"",COUNTIF('Quipt Prod Data'!L:L,Data[[#This Row],[unqid]]))</f>
        <v/>
      </c>
    </row>
    <row r="1017" spans="1:6" x14ac:dyDescent="0.3">
      <c r="A1017" t="s">
        <v>1231</v>
      </c>
      <c r="B1017" t="s">
        <v>59</v>
      </c>
      <c r="C1017" t="s">
        <v>54</v>
      </c>
      <c r="D1017" s="1" t="str">
        <f>_xlfn.IFNA(_xlfn.XLOOKUP(Data[[#This Row],[unqid]],'Quipt Prod Data'!L:L,'Quipt Prod Data'!B:B),"")</f>
        <v/>
      </c>
      <c r="E1017" s="1" t="str">
        <f>_xlfn.IFNA(_xlfn.XMATCH(Data[[#This Row],[unqid]],'Quipt Prod Data'!L:L,0),"")</f>
        <v/>
      </c>
      <c r="F1017" s="1" t="str">
        <f>IF(COUNTIF('Quipt Prod Data'!L:L,Data[[#This Row],[unqid]])=0,"",COUNTIF('Quipt Prod Data'!L:L,Data[[#This Row],[unqid]]))</f>
        <v/>
      </c>
    </row>
    <row r="1018" spans="1:6" x14ac:dyDescent="0.3">
      <c r="A1018" t="s">
        <v>1232</v>
      </c>
      <c r="B1018" t="s">
        <v>41</v>
      </c>
      <c r="C1018" t="s">
        <v>53</v>
      </c>
      <c r="D1018" s="1" t="str">
        <f>_xlfn.IFNA(_xlfn.XLOOKUP(Data[[#This Row],[unqid]],'Quipt Prod Data'!L:L,'Quipt Prod Data'!B:B),"")</f>
        <v/>
      </c>
      <c r="E1018" s="1" t="str">
        <f>_xlfn.IFNA(_xlfn.XMATCH(Data[[#This Row],[unqid]],'Quipt Prod Data'!L:L,0),"")</f>
        <v/>
      </c>
      <c r="F1018" s="1" t="str">
        <f>IF(COUNTIF('Quipt Prod Data'!L:L,Data[[#This Row],[unqid]])=0,"",COUNTIF('Quipt Prod Data'!L:L,Data[[#This Row],[unqid]]))</f>
        <v/>
      </c>
    </row>
    <row r="1019" spans="1:6" x14ac:dyDescent="0.3">
      <c r="A1019" t="s">
        <v>1233</v>
      </c>
      <c r="B1019" t="s">
        <v>41</v>
      </c>
      <c r="C1019" t="s">
        <v>44</v>
      </c>
      <c r="D1019" s="1" t="str">
        <f>_xlfn.IFNA(_xlfn.XLOOKUP(Data[[#This Row],[unqid]],'Quipt Prod Data'!L:L,'Quipt Prod Data'!B:B),"")</f>
        <v/>
      </c>
      <c r="E1019" s="1" t="str">
        <f>_xlfn.IFNA(_xlfn.XMATCH(Data[[#This Row],[unqid]],'Quipt Prod Data'!L:L,0),"")</f>
        <v/>
      </c>
      <c r="F1019" s="1" t="str">
        <f>IF(COUNTIF('Quipt Prod Data'!L:L,Data[[#This Row],[unqid]])=0,"",COUNTIF('Quipt Prod Data'!L:L,Data[[#This Row],[unqid]]))</f>
        <v/>
      </c>
    </row>
    <row r="1020" spans="1:6" x14ac:dyDescent="0.3">
      <c r="A1020" t="s">
        <v>1234</v>
      </c>
      <c r="B1020" t="s">
        <v>41</v>
      </c>
      <c r="C1020" t="s">
        <v>44</v>
      </c>
      <c r="D1020" s="1" t="str">
        <f>_xlfn.IFNA(_xlfn.XLOOKUP(Data[[#This Row],[unqid]],'Quipt Prod Data'!L:L,'Quipt Prod Data'!B:B),"")</f>
        <v/>
      </c>
      <c r="E1020" s="1" t="str">
        <f>_xlfn.IFNA(_xlfn.XMATCH(Data[[#This Row],[unqid]],'Quipt Prod Data'!L:L,0),"")</f>
        <v/>
      </c>
      <c r="F1020" s="1" t="str">
        <f>IF(COUNTIF('Quipt Prod Data'!L:L,Data[[#This Row],[unqid]])=0,"",COUNTIF('Quipt Prod Data'!L:L,Data[[#This Row],[unqid]]))</f>
        <v/>
      </c>
    </row>
    <row r="1021" spans="1:6" x14ac:dyDescent="0.3">
      <c r="A1021" t="s">
        <v>1235</v>
      </c>
      <c r="B1021" t="s">
        <v>41</v>
      </c>
      <c r="C1021" t="s">
        <v>54</v>
      </c>
      <c r="D1021" s="1" t="str">
        <f>_xlfn.IFNA(_xlfn.XLOOKUP(Data[[#This Row],[unqid]],'Quipt Prod Data'!L:L,'Quipt Prod Data'!B:B),"")</f>
        <v/>
      </c>
      <c r="E1021" s="1" t="str">
        <f>_xlfn.IFNA(_xlfn.XMATCH(Data[[#This Row],[unqid]],'Quipt Prod Data'!L:L,0),"")</f>
        <v/>
      </c>
      <c r="F1021" s="1" t="str">
        <f>IF(COUNTIF('Quipt Prod Data'!L:L,Data[[#This Row],[unqid]])=0,"",COUNTIF('Quipt Prod Data'!L:L,Data[[#This Row],[unqid]]))</f>
        <v/>
      </c>
    </row>
    <row r="1022" spans="1:6" x14ac:dyDescent="0.3">
      <c r="A1022" t="s">
        <v>1236</v>
      </c>
      <c r="B1022" t="s">
        <v>58</v>
      </c>
      <c r="C1022" t="s">
        <v>43</v>
      </c>
      <c r="D1022" s="1" t="str">
        <f>_xlfn.IFNA(_xlfn.XLOOKUP(Data[[#This Row],[unqid]],'Quipt Prod Data'!L:L,'Quipt Prod Data'!B:B),"")</f>
        <v/>
      </c>
      <c r="E1022" s="1" t="str">
        <f>_xlfn.IFNA(_xlfn.XMATCH(Data[[#This Row],[unqid]],'Quipt Prod Data'!L:L,0),"")</f>
        <v/>
      </c>
      <c r="F1022" s="1" t="str">
        <f>IF(COUNTIF('Quipt Prod Data'!L:L,Data[[#This Row],[unqid]])=0,"",COUNTIF('Quipt Prod Data'!L:L,Data[[#This Row],[unqid]]))</f>
        <v/>
      </c>
    </row>
    <row r="1023" spans="1:6" x14ac:dyDescent="0.3">
      <c r="A1023" t="s">
        <v>1237</v>
      </c>
      <c r="B1023" t="s">
        <v>41</v>
      </c>
      <c r="C1023" t="s">
        <v>44</v>
      </c>
      <c r="D1023" s="1" t="str">
        <f>_xlfn.IFNA(_xlfn.XLOOKUP(Data[[#This Row],[unqid]],'Quipt Prod Data'!L:L,'Quipt Prod Data'!B:B),"")</f>
        <v/>
      </c>
      <c r="E1023" s="1" t="str">
        <f>_xlfn.IFNA(_xlfn.XMATCH(Data[[#This Row],[unqid]],'Quipt Prod Data'!L:L,0),"")</f>
        <v/>
      </c>
      <c r="F1023" s="1" t="str">
        <f>IF(COUNTIF('Quipt Prod Data'!L:L,Data[[#This Row],[unqid]])=0,"",COUNTIF('Quipt Prod Data'!L:L,Data[[#This Row],[unqid]]))</f>
        <v/>
      </c>
    </row>
    <row r="1024" spans="1:6" x14ac:dyDescent="0.3">
      <c r="A1024" t="s">
        <v>1238</v>
      </c>
      <c r="B1024" t="s">
        <v>34</v>
      </c>
      <c r="C1024" t="s">
        <v>27</v>
      </c>
      <c r="D1024" s="1" t="str">
        <f>_xlfn.IFNA(_xlfn.XLOOKUP(Data[[#This Row],[unqid]],'Quipt Prod Data'!L:L,'Quipt Prod Data'!B:B),"")</f>
        <v/>
      </c>
      <c r="E1024" s="1" t="str">
        <f>_xlfn.IFNA(_xlfn.XMATCH(Data[[#This Row],[unqid]],'Quipt Prod Data'!L:L,0),"")</f>
        <v/>
      </c>
      <c r="F1024" s="1" t="str">
        <f>IF(COUNTIF('Quipt Prod Data'!L:L,Data[[#This Row],[unqid]])=0,"",COUNTIF('Quipt Prod Data'!L:L,Data[[#This Row],[unqid]]))</f>
        <v/>
      </c>
    </row>
    <row r="1025" spans="1:6" x14ac:dyDescent="0.3">
      <c r="A1025" t="s">
        <v>1239</v>
      </c>
      <c r="B1025" t="s">
        <v>41</v>
      </c>
      <c r="C1025" t="s">
        <v>53</v>
      </c>
      <c r="D1025" s="1" t="str">
        <f>_xlfn.IFNA(_xlfn.XLOOKUP(Data[[#This Row],[unqid]],'Quipt Prod Data'!L:L,'Quipt Prod Data'!B:B),"")</f>
        <v/>
      </c>
      <c r="E1025" s="1" t="str">
        <f>_xlfn.IFNA(_xlfn.XMATCH(Data[[#This Row],[unqid]],'Quipt Prod Data'!L:L,0),"")</f>
        <v/>
      </c>
      <c r="F1025" s="1" t="str">
        <f>IF(COUNTIF('Quipt Prod Data'!L:L,Data[[#This Row],[unqid]])=0,"",COUNTIF('Quipt Prod Data'!L:L,Data[[#This Row],[unqid]]))</f>
        <v/>
      </c>
    </row>
    <row r="1026" spans="1:6" x14ac:dyDescent="0.3">
      <c r="A1026" t="s">
        <v>1240</v>
      </c>
      <c r="B1026" t="s">
        <v>33</v>
      </c>
      <c r="C1026" t="s">
        <v>43</v>
      </c>
      <c r="D1026" s="1" t="str">
        <f>_xlfn.IFNA(_xlfn.XLOOKUP(Data[[#This Row],[unqid]],'Quipt Prod Data'!L:L,'Quipt Prod Data'!B:B),"")</f>
        <v/>
      </c>
      <c r="E1026" s="1" t="str">
        <f>_xlfn.IFNA(_xlfn.XMATCH(Data[[#This Row],[unqid]],'Quipt Prod Data'!L:L,0),"")</f>
        <v/>
      </c>
      <c r="F1026" s="1" t="str">
        <f>IF(COUNTIF('Quipt Prod Data'!L:L,Data[[#This Row],[unqid]])=0,"",COUNTIF('Quipt Prod Data'!L:L,Data[[#This Row],[unqid]]))</f>
        <v/>
      </c>
    </row>
    <row r="1027" spans="1:6" x14ac:dyDescent="0.3">
      <c r="A1027" t="s">
        <v>1241</v>
      </c>
      <c r="B1027" t="s">
        <v>34</v>
      </c>
      <c r="C1027" t="s">
        <v>46</v>
      </c>
      <c r="D1027" s="1" t="str">
        <f>_xlfn.IFNA(_xlfn.XLOOKUP(Data[[#This Row],[unqid]],'Quipt Prod Data'!L:L,'Quipt Prod Data'!B:B),"")</f>
        <v/>
      </c>
      <c r="E1027" s="1" t="str">
        <f>_xlfn.IFNA(_xlfn.XMATCH(Data[[#This Row],[unqid]],'Quipt Prod Data'!L:L,0),"")</f>
        <v/>
      </c>
      <c r="F1027" s="1" t="str">
        <f>IF(COUNTIF('Quipt Prod Data'!L:L,Data[[#This Row],[unqid]])=0,"",COUNTIF('Quipt Prod Data'!L:L,Data[[#This Row],[unqid]]))</f>
        <v/>
      </c>
    </row>
    <row r="1028" spans="1:6" x14ac:dyDescent="0.3">
      <c r="A1028" t="s">
        <v>1242</v>
      </c>
      <c r="B1028" t="s">
        <v>41</v>
      </c>
      <c r="C1028" t="s">
        <v>54</v>
      </c>
      <c r="D1028" s="1" t="str">
        <f>_xlfn.IFNA(_xlfn.XLOOKUP(Data[[#This Row],[unqid]],'Quipt Prod Data'!L:L,'Quipt Prod Data'!B:B),"")</f>
        <v/>
      </c>
      <c r="E1028" s="1" t="str">
        <f>_xlfn.IFNA(_xlfn.XMATCH(Data[[#This Row],[unqid]],'Quipt Prod Data'!L:L,0),"")</f>
        <v/>
      </c>
      <c r="F1028" s="1" t="str">
        <f>IF(COUNTIF('Quipt Prod Data'!L:L,Data[[#This Row],[unqid]])=0,"",COUNTIF('Quipt Prod Data'!L:L,Data[[#This Row],[unqid]]))</f>
        <v/>
      </c>
    </row>
    <row r="1029" spans="1:6" x14ac:dyDescent="0.3">
      <c r="A1029" t="s">
        <v>1243</v>
      </c>
      <c r="B1029" t="s">
        <v>58</v>
      </c>
      <c r="C1029" t="s">
        <v>54</v>
      </c>
      <c r="D1029" s="1" t="str">
        <f>_xlfn.IFNA(_xlfn.XLOOKUP(Data[[#This Row],[unqid]],'Quipt Prod Data'!L:L,'Quipt Prod Data'!B:B),"")</f>
        <v/>
      </c>
      <c r="E1029" s="1" t="str">
        <f>_xlfn.IFNA(_xlfn.XMATCH(Data[[#This Row],[unqid]],'Quipt Prod Data'!L:L,0),"")</f>
        <v/>
      </c>
      <c r="F1029" s="1" t="str">
        <f>IF(COUNTIF('Quipt Prod Data'!L:L,Data[[#This Row],[unqid]])=0,"",COUNTIF('Quipt Prod Data'!L:L,Data[[#This Row],[unqid]]))</f>
        <v/>
      </c>
    </row>
    <row r="1030" spans="1:6" x14ac:dyDescent="0.3">
      <c r="A1030" t="s">
        <v>1244</v>
      </c>
      <c r="B1030" t="s">
        <v>50</v>
      </c>
      <c r="C1030" t="s">
        <v>52</v>
      </c>
      <c r="D1030" s="1" t="str">
        <f>_xlfn.IFNA(_xlfn.XLOOKUP(Data[[#This Row],[unqid]],'Quipt Prod Data'!L:L,'Quipt Prod Data'!B:B),"")</f>
        <v/>
      </c>
      <c r="E1030" s="1" t="str">
        <f>_xlfn.IFNA(_xlfn.XMATCH(Data[[#This Row],[unqid]],'Quipt Prod Data'!L:L,0),"")</f>
        <v/>
      </c>
      <c r="F1030" s="1" t="str">
        <f>IF(COUNTIF('Quipt Prod Data'!L:L,Data[[#This Row],[unqid]])=0,"",COUNTIF('Quipt Prod Data'!L:L,Data[[#This Row],[unqid]]))</f>
        <v/>
      </c>
    </row>
    <row r="1031" spans="1:6" x14ac:dyDescent="0.3">
      <c r="A1031" t="s">
        <v>1245</v>
      </c>
      <c r="B1031" t="s">
        <v>41</v>
      </c>
      <c r="C1031" t="s">
        <v>54</v>
      </c>
      <c r="D1031" s="1" t="str">
        <f>_xlfn.IFNA(_xlfn.XLOOKUP(Data[[#This Row],[unqid]],'Quipt Prod Data'!L:L,'Quipt Prod Data'!B:B),"")</f>
        <v/>
      </c>
      <c r="E1031" s="1" t="str">
        <f>_xlfn.IFNA(_xlfn.XMATCH(Data[[#This Row],[unqid]],'Quipt Prod Data'!L:L,0),"")</f>
        <v/>
      </c>
      <c r="F1031" s="1" t="str">
        <f>IF(COUNTIF('Quipt Prod Data'!L:L,Data[[#This Row],[unqid]])=0,"",COUNTIF('Quipt Prod Data'!L:L,Data[[#This Row],[unqid]]))</f>
        <v/>
      </c>
    </row>
    <row r="1032" spans="1:6" x14ac:dyDescent="0.3">
      <c r="A1032" t="s">
        <v>1246</v>
      </c>
      <c r="B1032" t="s">
        <v>41</v>
      </c>
      <c r="C1032" t="s">
        <v>53</v>
      </c>
      <c r="D1032" s="1" t="str">
        <f>_xlfn.IFNA(_xlfn.XLOOKUP(Data[[#This Row],[unqid]],'Quipt Prod Data'!L:L,'Quipt Prod Data'!B:B),"")</f>
        <v/>
      </c>
      <c r="E1032" s="1" t="str">
        <f>_xlfn.IFNA(_xlfn.XMATCH(Data[[#This Row],[unqid]],'Quipt Prod Data'!L:L,0),"")</f>
        <v/>
      </c>
      <c r="F1032" s="1" t="str">
        <f>IF(COUNTIF('Quipt Prod Data'!L:L,Data[[#This Row],[unqid]])=0,"",COUNTIF('Quipt Prod Data'!L:L,Data[[#This Row],[unqid]]))</f>
        <v/>
      </c>
    </row>
    <row r="1033" spans="1:6" x14ac:dyDescent="0.3">
      <c r="A1033" t="s">
        <v>1247</v>
      </c>
      <c r="B1033" t="s">
        <v>33</v>
      </c>
      <c r="C1033" t="s">
        <v>43</v>
      </c>
      <c r="D1033" s="1" t="str">
        <f>_xlfn.IFNA(_xlfn.XLOOKUP(Data[[#This Row],[unqid]],'Quipt Prod Data'!L:L,'Quipt Prod Data'!B:B),"")</f>
        <v/>
      </c>
      <c r="E1033" s="1" t="str">
        <f>_xlfn.IFNA(_xlfn.XMATCH(Data[[#This Row],[unqid]],'Quipt Prod Data'!L:L,0),"")</f>
        <v/>
      </c>
      <c r="F1033" s="1" t="str">
        <f>IF(COUNTIF('Quipt Prod Data'!L:L,Data[[#This Row],[unqid]])=0,"",COUNTIF('Quipt Prod Data'!L:L,Data[[#This Row],[unqid]]))</f>
        <v/>
      </c>
    </row>
    <row r="1034" spans="1:6" x14ac:dyDescent="0.3">
      <c r="A1034" t="s">
        <v>1248</v>
      </c>
      <c r="B1034" t="s">
        <v>41</v>
      </c>
      <c r="C1034" t="s">
        <v>53</v>
      </c>
      <c r="D1034" s="1" t="str">
        <f>_xlfn.IFNA(_xlfn.XLOOKUP(Data[[#This Row],[unqid]],'Quipt Prod Data'!L:L,'Quipt Prod Data'!B:B),"")</f>
        <v/>
      </c>
      <c r="E1034" s="1" t="str">
        <f>_xlfn.IFNA(_xlfn.XMATCH(Data[[#This Row],[unqid]],'Quipt Prod Data'!L:L,0),"")</f>
        <v/>
      </c>
      <c r="F1034" s="1" t="str">
        <f>IF(COUNTIF('Quipt Prod Data'!L:L,Data[[#This Row],[unqid]])=0,"",COUNTIF('Quipt Prod Data'!L:L,Data[[#This Row],[unqid]]))</f>
        <v/>
      </c>
    </row>
    <row r="1035" spans="1:6" x14ac:dyDescent="0.3">
      <c r="A1035" t="s">
        <v>1249</v>
      </c>
      <c r="B1035" t="s">
        <v>41</v>
      </c>
      <c r="C1035" t="s">
        <v>53</v>
      </c>
      <c r="D1035" s="1" t="str">
        <f>_xlfn.IFNA(_xlfn.XLOOKUP(Data[[#This Row],[unqid]],'Quipt Prod Data'!L:L,'Quipt Prod Data'!B:B),"")</f>
        <v/>
      </c>
      <c r="E1035" s="1" t="str">
        <f>_xlfn.IFNA(_xlfn.XMATCH(Data[[#This Row],[unqid]],'Quipt Prod Data'!L:L,0),"")</f>
        <v/>
      </c>
      <c r="F1035" s="1" t="str">
        <f>IF(COUNTIF('Quipt Prod Data'!L:L,Data[[#This Row],[unqid]])=0,"",COUNTIF('Quipt Prod Data'!L:L,Data[[#This Row],[unqid]]))</f>
        <v/>
      </c>
    </row>
    <row r="1036" spans="1:6" x14ac:dyDescent="0.3">
      <c r="A1036" t="s">
        <v>1250</v>
      </c>
      <c r="B1036" t="s">
        <v>31</v>
      </c>
      <c r="C1036" t="s">
        <v>44</v>
      </c>
      <c r="D1036" s="1" t="str">
        <f>_xlfn.IFNA(_xlfn.XLOOKUP(Data[[#This Row],[unqid]],'Quipt Prod Data'!L:L,'Quipt Prod Data'!B:B),"")</f>
        <v/>
      </c>
      <c r="E1036" s="1" t="str">
        <f>_xlfn.IFNA(_xlfn.XMATCH(Data[[#This Row],[unqid]],'Quipt Prod Data'!L:L,0),"")</f>
        <v/>
      </c>
      <c r="F1036" s="1" t="str">
        <f>IF(COUNTIF('Quipt Prod Data'!L:L,Data[[#This Row],[unqid]])=0,"",COUNTIF('Quipt Prod Data'!L:L,Data[[#This Row],[unqid]]))</f>
        <v/>
      </c>
    </row>
    <row r="1037" spans="1:6" x14ac:dyDescent="0.3">
      <c r="A1037" t="s">
        <v>1251</v>
      </c>
      <c r="B1037" t="s">
        <v>41</v>
      </c>
      <c r="C1037" t="s">
        <v>54</v>
      </c>
      <c r="D1037" s="1" t="str">
        <f>_xlfn.IFNA(_xlfn.XLOOKUP(Data[[#This Row],[unqid]],'Quipt Prod Data'!L:L,'Quipt Prod Data'!B:B),"")</f>
        <v/>
      </c>
      <c r="E1037" s="1" t="str">
        <f>_xlfn.IFNA(_xlfn.XMATCH(Data[[#This Row],[unqid]],'Quipt Prod Data'!L:L,0),"")</f>
        <v/>
      </c>
      <c r="F1037" s="1" t="str">
        <f>IF(COUNTIF('Quipt Prod Data'!L:L,Data[[#This Row],[unqid]])=0,"",COUNTIF('Quipt Prod Data'!L:L,Data[[#This Row],[unqid]]))</f>
        <v/>
      </c>
    </row>
    <row r="1038" spans="1:6" x14ac:dyDescent="0.3">
      <c r="A1038" t="s">
        <v>1252</v>
      </c>
      <c r="B1038" t="s">
        <v>41</v>
      </c>
      <c r="C1038" t="s">
        <v>44</v>
      </c>
      <c r="D1038" s="1" t="str">
        <f>_xlfn.IFNA(_xlfn.XLOOKUP(Data[[#This Row],[unqid]],'Quipt Prod Data'!L:L,'Quipt Prod Data'!B:B),"")</f>
        <v/>
      </c>
      <c r="E1038" s="1" t="str">
        <f>_xlfn.IFNA(_xlfn.XMATCH(Data[[#This Row],[unqid]],'Quipt Prod Data'!L:L,0),"")</f>
        <v/>
      </c>
      <c r="F1038" s="1" t="str">
        <f>IF(COUNTIF('Quipt Prod Data'!L:L,Data[[#This Row],[unqid]])=0,"",COUNTIF('Quipt Prod Data'!L:L,Data[[#This Row],[unqid]]))</f>
        <v/>
      </c>
    </row>
    <row r="1039" spans="1:6" x14ac:dyDescent="0.3">
      <c r="A1039" t="s">
        <v>1253</v>
      </c>
      <c r="B1039" t="s">
        <v>41</v>
      </c>
      <c r="C1039" t="s">
        <v>54</v>
      </c>
      <c r="D1039" s="1" t="str">
        <f>_xlfn.IFNA(_xlfn.XLOOKUP(Data[[#This Row],[unqid]],'Quipt Prod Data'!L:L,'Quipt Prod Data'!B:B),"")</f>
        <v/>
      </c>
      <c r="E1039" s="1" t="str">
        <f>_xlfn.IFNA(_xlfn.XMATCH(Data[[#This Row],[unqid]],'Quipt Prod Data'!L:L,0),"")</f>
        <v/>
      </c>
      <c r="F1039" s="1" t="str">
        <f>IF(COUNTIF('Quipt Prod Data'!L:L,Data[[#This Row],[unqid]])=0,"",COUNTIF('Quipt Prod Data'!L:L,Data[[#This Row],[unqid]]))</f>
        <v/>
      </c>
    </row>
    <row r="1040" spans="1:6" x14ac:dyDescent="0.3">
      <c r="A1040" t="s">
        <v>1254</v>
      </c>
      <c r="B1040" t="s">
        <v>31</v>
      </c>
      <c r="C1040" t="s">
        <v>48</v>
      </c>
      <c r="D1040" s="1" t="str">
        <f>_xlfn.IFNA(_xlfn.XLOOKUP(Data[[#This Row],[unqid]],'Quipt Prod Data'!L:L,'Quipt Prod Data'!B:B),"")</f>
        <v/>
      </c>
      <c r="E1040" s="1" t="str">
        <f>_xlfn.IFNA(_xlfn.XMATCH(Data[[#This Row],[unqid]],'Quipt Prod Data'!L:L,0),"")</f>
        <v/>
      </c>
      <c r="F1040" s="1" t="str">
        <f>IF(COUNTIF('Quipt Prod Data'!L:L,Data[[#This Row],[unqid]])=0,"",COUNTIF('Quipt Prod Data'!L:L,Data[[#This Row],[unqid]]))</f>
        <v/>
      </c>
    </row>
    <row r="1041" spans="1:6" x14ac:dyDescent="0.3">
      <c r="A1041" t="s">
        <v>1255</v>
      </c>
      <c r="B1041" t="s">
        <v>41</v>
      </c>
      <c r="C1041" t="s">
        <v>53</v>
      </c>
      <c r="D1041" s="1" t="str">
        <f>_xlfn.IFNA(_xlfn.XLOOKUP(Data[[#This Row],[unqid]],'Quipt Prod Data'!L:L,'Quipt Prod Data'!B:B),"")</f>
        <v/>
      </c>
      <c r="E1041" s="1" t="str">
        <f>_xlfn.IFNA(_xlfn.XMATCH(Data[[#This Row],[unqid]],'Quipt Prod Data'!L:L,0),"")</f>
        <v/>
      </c>
      <c r="F1041" s="1" t="str">
        <f>IF(COUNTIF('Quipt Prod Data'!L:L,Data[[#This Row],[unqid]])=0,"",COUNTIF('Quipt Prod Data'!L:L,Data[[#This Row],[unqid]]))</f>
        <v/>
      </c>
    </row>
    <row r="1042" spans="1:6" x14ac:dyDescent="0.3">
      <c r="A1042" t="s">
        <v>1256</v>
      </c>
      <c r="B1042" t="s">
        <v>41</v>
      </c>
      <c r="C1042" t="s">
        <v>54</v>
      </c>
      <c r="D1042" s="1" t="str">
        <f>_xlfn.IFNA(_xlfn.XLOOKUP(Data[[#This Row],[unqid]],'Quipt Prod Data'!L:L,'Quipt Prod Data'!B:B),"")</f>
        <v/>
      </c>
      <c r="E1042" s="1" t="str">
        <f>_xlfn.IFNA(_xlfn.XMATCH(Data[[#This Row],[unqid]],'Quipt Prod Data'!L:L,0),"")</f>
        <v/>
      </c>
      <c r="F1042" s="1" t="str">
        <f>IF(COUNTIF('Quipt Prod Data'!L:L,Data[[#This Row],[unqid]])=0,"",COUNTIF('Quipt Prod Data'!L:L,Data[[#This Row],[unqid]]))</f>
        <v/>
      </c>
    </row>
    <row r="1043" spans="1:6" x14ac:dyDescent="0.3">
      <c r="A1043" t="s">
        <v>1257</v>
      </c>
      <c r="B1043" t="s">
        <v>41</v>
      </c>
      <c r="C1043" t="s">
        <v>53</v>
      </c>
      <c r="D1043" s="1" t="str">
        <f>_xlfn.IFNA(_xlfn.XLOOKUP(Data[[#This Row],[unqid]],'Quipt Prod Data'!L:L,'Quipt Prod Data'!B:B),"")</f>
        <v/>
      </c>
      <c r="E1043" s="1" t="str">
        <f>_xlfn.IFNA(_xlfn.XMATCH(Data[[#This Row],[unqid]],'Quipt Prod Data'!L:L,0),"")</f>
        <v/>
      </c>
      <c r="F1043" s="1" t="str">
        <f>IF(COUNTIF('Quipt Prod Data'!L:L,Data[[#This Row],[unqid]])=0,"",COUNTIF('Quipt Prod Data'!L:L,Data[[#This Row],[unqid]]))</f>
        <v/>
      </c>
    </row>
    <row r="1044" spans="1:6" x14ac:dyDescent="0.3">
      <c r="A1044" t="s">
        <v>1258</v>
      </c>
      <c r="B1044" t="s">
        <v>41</v>
      </c>
      <c r="C1044" t="s">
        <v>54</v>
      </c>
      <c r="D1044" s="1" t="str">
        <f>_xlfn.IFNA(_xlfn.XLOOKUP(Data[[#This Row],[unqid]],'Quipt Prod Data'!L:L,'Quipt Prod Data'!B:B),"")</f>
        <v/>
      </c>
      <c r="E1044" s="1" t="str">
        <f>_xlfn.IFNA(_xlfn.XMATCH(Data[[#This Row],[unqid]],'Quipt Prod Data'!L:L,0),"")</f>
        <v/>
      </c>
      <c r="F1044" s="1" t="str">
        <f>IF(COUNTIF('Quipt Prod Data'!L:L,Data[[#This Row],[unqid]])=0,"",COUNTIF('Quipt Prod Data'!L:L,Data[[#This Row],[unqid]]))</f>
        <v/>
      </c>
    </row>
    <row r="1045" spans="1:6" x14ac:dyDescent="0.3">
      <c r="A1045" t="s">
        <v>1259</v>
      </c>
      <c r="B1045" t="s">
        <v>33</v>
      </c>
      <c r="C1045" t="s">
        <v>43</v>
      </c>
      <c r="D1045" s="1" t="str">
        <f>_xlfn.IFNA(_xlfn.XLOOKUP(Data[[#This Row],[unqid]],'Quipt Prod Data'!L:L,'Quipt Prod Data'!B:B),"")</f>
        <v/>
      </c>
      <c r="E1045" s="1" t="str">
        <f>_xlfn.IFNA(_xlfn.XMATCH(Data[[#This Row],[unqid]],'Quipt Prod Data'!L:L,0),"")</f>
        <v/>
      </c>
      <c r="F1045" s="1" t="str">
        <f>IF(COUNTIF('Quipt Prod Data'!L:L,Data[[#This Row],[unqid]])=0,"",COUNTIF('Quipt Prod Data'!L:L,Data[[#This Row],[unqid]]))</f>
        <v/>
      </c>
    </row>
    <row r="1046" spans="1:6" x14ac:dyDescent="0.3">
      <c r="A1046" t="s">
        <v>1260</v>
      </c>
      <c r="B1046" t="s">
        <v>41</v>
      </c>
      <c r="C1046" t="s">
        <v>44</v>
      </c>
      <c r="D1046" s="1" t="str">
        <f>_xlfn.IFNA(_xlfn.XLOOKUP(Data[[#This Row],[unqid]],'Quipt Prod Data'!L:L,'Quipt Prod Data'!B:B),"")</f>
        <v/>
      </c>
      <c r="E1046" s="1" t="str">
        <f>_xlfn.IFNA(_xlfn.XMATCH(Data[[#This Row],[unqid]],'Quipt Prod Data'!L:L,0),"")</f>
        <v/>
      </c>
      <c r="F1046" s="1" t="str">
        <f>IF(COUNTIF('Quipt Prod Data'!L:L,Data[[#This Row],[unqid]])=0,"",COUNTIF('Quipt Prod Data'!L:L,Data[[#This Row],[unqid]]))</f>
        <v/>
      </c>
    </row>
    <row r="1047" spans="1:6" x14ac:dyDescent="0.3">
      <c r="A1047" t="s">
        <v>1261</v>
      </c>
      <c r="B1047" t="s">
        <v>41</v>
      </c>
      <c r="C1047" t="s">
        <v>54</v>
      </c>
      <c r="D1047" s="1" t="str">
        <f>_xlfn.IFNA(_xlfn.XLOOKUP(Data[[#This Row],[unqid]],'Quipt Prod Data'!L:L,'Quipt Prod Data'!B:B),"")</f>
        <v/>
      </c>
      <c r="E1047" s="1" t="str">
        <f>_xlfn.IFNA(_xlfn.XMATCH(Data[[#This Row],[unqid]],'Quipt Prod Data'!L:L,0),"")</f>
        <v/>
      </c>
      <c r="F1047" s="1" t="str">
        <f>IF(COUNTIF('Quipt Prod Data'!L:L,Data[[#This Row],[unqid]])=0,"",COUNTIF('Quipt Prod Data'!L:L,Data[[#This Row],[unqid]]))</f>
        <v/>
      </c>
    </row>
    <row r="1048" spans="1:6" x14ac:dyDescent="0.3">
      <c r="A1048" t="s">
        <v>1262</v>
      </c>
      <c r="B1048" t="s">
        <v>31</v>
      </c>
      <c r="C1048" t="s">
        <v>48</v>
      </c>
      <c r="D1048" s="1" t="str">
        <f>_xlfn.IFNA(_xlfn.XLOOKUP(Data[[#This Row],[unqid]],'Quipt Prod Data'!L:L,'Quipt Prod Data'!B:B),"")</f>
        <v/>
      </c>
      <c r="E1048" s="1" t="str">
        <f>_xlfn.IFNA(_xlfn.XMATCH(Data[[#This Row],[unqid]],'Quipt Prod Data'!L:L,0),"")</f>
        <v/>
      </c>
      <c r="F1048" s="1" t="str">
        <f>IF(COUNTIF('Quipt Prod Data'!L:L,Data[[#This Row],[unqid]])=0,"",COUNTIF('Quipt Prod Data'!L:L,Data[[#This Row],[unqid]]))</f>
        <v/>
      </c>
    </row>
    <row r="1049" spans="1:6" x14ac:dyDescent="0.3">
      <c r="A1049" t="s">
        <v>1263</v>
      </c>
      <c r="B1049" t="s">
        <v>33</v>
      </c>
      <c r="C1049" t="s">
        <v>43</v>
      </c>
      <c r="D1049" s="1" t="str">
        <f>_xlfn.IFNA(_xlfn.XLOOKUP(Data[[#This Row],[unqid]],'Quipt Prod Data'!L:L,'Quipt Prod Data'!B:B),"")</f>
        <v/>
      </c>
      <c r="E1049" s="1" t="str">
        <f>_xlfn.IFNA(_xlfn.XMATCH(Data[[#This Row],[unqid]],'Quipt Prod Data'!L:L,0),"")</f>
        <v/>
      </c>
      <c r="F1049" s="1" t="str">
        <f>IF(COUNTIF('Quipt Prod Data'!L:L,Data[[#This Row],[unqid]])=0,"",COUNTIF('Quipt Prod Data'!L:L,Data[[#This Row],[unqid]]))</f>
        <v/>
      </c>
    </row>
    <row r="1050" spans="1:6" x14ac:dyDescent="0.3">
      <c r="A1050" t="s">
        <v>1264</v>
      </c>
      <c r="B1050" t="s">
        <v>41</v>
      </c>
      <c r="C1050" t="s">
        <v>54</v>
      </c>
      <c r="D1050" s="1" t="str">
        <f>_xlfn.IFNA(_xlfn.XLOOKUP(Data[[#This Row],[unqid]],'Quipt Prod Data'!L:L,'Quipt Prod Data'!B:B),"")</f>
        <v/>
      </c>
      <c r="E1050" s="1" t="str">
        <f>_xlfn.IFNA(_xlfn.XMATCH(Data[[#This Row],[unqid]],'Quipt Prod Data'!L:L,0),"")</f>
        <v/>
      </c>
      <c r="F1050" s="1" t="str">
        <f>IF(COUNTIF('Quipt Prod Data'!L:L,Data[[#This Row],[unqid]])=0,"",COUNTIF('Quipt Prod Data'!L:L,Data[[#This Row],[unqid]]))</f>
        <v/>
      </c>
    </row>
    <row r="1051" spans="1:6" x14ac:dyDescent="0.3">
      <c r="A1051" t="s">
        <v>1265</v>
      </c>
      <c r="B1051" t="s">
        <v>60</v>
      </c>
      <c r="C1051" t="s">
        <v>27</v>
      </c>
      <c r="D1051" s="1" t="str">
        <f>_xlfn.IFNA(_xlfn.XLOOKUP(Data[[#This Row],[unqid]],'Quipt Prod Data'!L:L,'Quipt Prod Data'!B:B),"")</f>
        <v/>
      </c>
      <c r="E1051" s="1" t="str">
        <f>_xlfn.IFNA(_xlfn.XMATCH(Data[[#This Row],[unqid]],'Quipt Prod Data'!L:L,0),"")</f>
        <v/>
      </c>
      <c r="F1051" s="1" t="str">
        <f>IF(COUNTIF('Quipt Prod Data'!L:L,Data[[#This Row],[unqid]])=0,"",COUNTIF('Quipt Prod Data'!L:L,Data[[#This Row],[unqid]]))</f>
        <v/>
      </c>
    </row>
    <row r="1052" spans="1:6" x14ac:dyDescent="0.3">
      <c r="A1052" t="s">
        <v>1266</v>
      </c>
      <c r="B1052" t="s">
        <v>41</v>
      </c>
      <c r="C1052" t="s">
        <v>54</v>
      </c>
      <c r="D1052" s="1" t="str">
        <f>_xlfn.IFNA(_xlfn.XLOOKUP(Data[[#This Row],[unqid]],'Quipt Prod Data'!L:L,'Quipt Prod Data'!B:B),"")</f>
        <v/>
      </c>
      <c r="E1052" s="1" t="str">
        <f>_xlfn.IFNA(_xlfn.XMATCH(Data[[#This Row],[unqid]],'Quipt Prod Data'!L:L,0),"")</f>
        <v/>
      </c>
      <c r="F1052" s="1" t="str">
        <f>IF(COUNTIF('Quipt Prod Data'!L:L,Data[[#This Row],[unqid]])=0,"",COUNTIF('Quipt Prod Data'!L:L,Data[[#This Row],[unqid]]))</f>
        <v/>
      </c>
    </row>
    <row r="1053" spans="1:6" x14ac:dyDescent="0.3">
      <c r="A1053" t="s">
        <v>1267</v>
      </c>
      <c r="B1053" t="s">
        <v>42</v>
      </c>
      <c r="C1053" t="s">
        <v>48</v>
      </c>
      <c r="D1053" s="1" t="str">
        <f>_xlfn.IFNA(_xlfn.XLOOKUP(Data[[#This Row],[unqid]],'Quipt Prod Data'!L:L,'Quipt Prod Data'!B:B),"")</f>
        <v/>
      </c>
      <c r="E1053" s="1" t="str">
        <f>_xlfn.IFNA(_xlfn.XMATCH(Data[[#This Row],[unqid]],'Quipt Prod Data'!L:L,0),"")</f>
        <v/>
      </c>
      <c r="F1053" s="1" t="str">
        <f>IF(COUNTIF('Quipt Prod Data'!L:L,Data[[#This Row],[unqid]])=0,"",COUNTIF('Quipt Prod Data'!L:L,Data[[#This Row],[unqid]]))</f>
        <v/>
      </c>
    </row>
    <row r="1054" spans="1:6" x14ac:dyDescent="0.3">
      <c r="A1054" t="s">
        <v>1268</v>
      </c>
      <c r="B1054" t="s">
        <v>34</v>
      </c>
      <c r="C1054" t="s">
        <v>44</v>
      </c>
      <c r="D1054" s="1" t="str">
        <f>_xlfn.IFNA(_xlfn.XLOOKUP(Data[[#This Row],[unqid]],'Quipt Prod Data'!L:L,'Quipt Prod Data'!B:B),"")</f>
        <v/>
      </c>
      <c r="E1054" s="1" t="str">
        <f>_xlfn.IFNA(_xlfn.XMATCH(Data[[#This Row],[unqid]],'Quipt Prod Data'!L:L,0),"")</f>
        <v/>
      </c>
      <c r="F1054" s="1" t="str">
        <f>IF(COUNTIF('Quipt Prod Data'!L:L,Data[[#This Row],[unqid]])=0,"",COUNTIF('Quipt Prod Data'!L:L,Data[[#This Row],[unqid]]))</f>
        <v/>
      </c>
    </row>
    <row r="1055" spans="1:6" x14ac:dyDescent="0.3">
      <c r="A1055" t="s">
        <v>1269</v>
      </c>
      <c r="B1055" t="s">
        <v>55</v>
      </c>
      <c r="C1055" t="s">
        <v>44</v>
      </c>
      <c r="D1055" s="1" t="str">
        <f>_xlfn.IFNA(_xlfn.XLOOKUP(Data[[#This Row],[unqid]],'Quipt Prod Data'!L:L,'Quipt Prod Data'!B:B),"")</f>
        <v/>
      </c>
      <c r="E1055" s="1" t="str">
        <f>_xlfn.IFNA(_xlfn.XMATCH(Data[[#This Row],[unqid]],'Quipt Prod Data'!L:L,0),"")</f>
        <v/>
      </c>
      <c r="F1055" s="1" t="str">
        <f>IF(COUNTIF('Quipt Prod Data'!L:L,Data[[#This Row],[unqid]])=0,"",COUNTIF('Quipt Prod Data'!L:L,Data[[#This Row],[unqid]]))</f>
        <v/>
      </c>
    </row>
    <row r="1056" spans="1:6" x14ac:dyDescent="0.3">
      <c r="A1056" t="s">
        <v>1270</v>
      </c>
      <c r="B1056" t="s">
        <v>32</v>
      </c>
      <c r="C1056" t="s">
        <v>27</v>
      </c>
      <c r="D1056" s="1" t="str">
        <f>_xlfn.IFNA(_xlfn.XLOOKUP(Data[[#This Row],[unqid]],'Quipt Prod Data'!L:L,'Quipt Prod Data'!B:B),"")</f>
        <v/>
      </c>
      <c r="E1056" s="1" t="str">
        <f>_xlfn.IFNA(_xlfn.XMATCH(Data[[#This Row],[unqid]],'Quipt Prod Data'!L:L,0),"")</f>
        <v/>
      </c>
      <c r="F1056" s="1" t="str">
        <f>IF(COUNTIF('Quipt Prod Data'!L:L,Data[[#This Row],[unqid]])=0,"",COUNTIF('Quipt Prod Data'!L:L,Data[[#This Row],[unqid]]))</f>
        <v/>
      </c>
    </row>
    <row r="1057" spans="1:6" x14ac:dyDescent="0.3">
      <c r="A1057" t="s">
        <v>1271</v>
      </c>
      <c r="B1057" t="s">
        <v>41</v>
      </c>
      <c r="C1057" t="s">
        <v>45</v>
      </c>
      <c r="D1057" s="1" t="str">
        <f>_xlfn.IFNA(_xlfn.XLOOKUP(Data[[#This Row],[unqid]],'Quipt Prod Data'!L:L,'Quipt Prod Data'!B:B),"")</f>
        <v/>
      </c>
      <c r="E1057" s="1" t="str">
        <f>_xlfn.IFNA(_xlfn.XMATCH(Data[[#This Row],[unqid]],'Quipt Prod Data'!L:L,0),"")</f>
        <v/>
      </c>
      <c r="F1057" s="1" t="str">
        <f>IF(COUNTIF('Quipt Prod Data'!L:L,Data[[#This Row],[unqid]])=0,"",COUNTIF('Quipt Prod Data'!L:L,Data[[#This Row],[unqid]]))</f>
        <v/>
      </c>
    </row>
    <row r="1058" spans="1:6" x14ac:dyDescent="0.3">
      <c r="A1058" t="s">
        <v>1272</v>
      </c>
      <c r="B1058" t="s">
        <v>42</v>
      </c>
      <c r="C1058" t="s">
        <v>48</v>
      </c>
      <c r="D1058" s="1" t="str">
        <f>_xlfn.IFNA(_xlfn.XLOOKUP(Data[[#This Row],[unqid]],'Quipt Prod Data'!L:L,'Quipt Prod Data'!B:B),"")</f>
        <v/>
      </c>
      <c r="E1058" s="1" t="str">
        <f>_xlfn.IFNA(_xlfn.XMATCH(Data[[#This Row],[unqid]],'Quipt Prod Data'!L:L,0),"")</f>
        <v/>
      </c>
      <c r="F1058" s="1" t="str">
        <f>IF(COUNTIF('Quipt Prod Data'!L:L,Data[[#This Row],[unqid]])=0,"",COUNTIF('Quipt Prod Data'!L:L,Data[[#This Row],[unqid]]))</f>
        <v/>
      </c>
    </row>
    <row r="1059" spans="1:6" x14ac:dyDescent="0.3">
      <c r="A1059" t="s">
        <v>1273</v>
      </c>
      <c r="B1059" t="s">
        <v>32</v>
      </c>
      <c r="C1059" t="s">
        <v>27</v>
      </c>
      <c r="D1059" s="1" t="str">
        <f>_xlfn.IFNA(_xlfn.XLOOKUP(Data[[#This Row],[unqid]],'Quipt Prod Data'!L:L,'Quipt Prod Data'!B:B),"")</f>
        <v/>
      </c>
      <c r="E1059" s="1" t="str">
        <f>_xlfn.IFNA(_xlfn.XMATCH(Data[[#This Row],[unqid]],'Quipt Prod Data'!L:L,0),"")</f>
        <v/>
      </c>
      <c r="F1059" s="1" t="str">
        <f>IF(COUNTIF('Quipt Prod Data'!L:L,Data[[#This Row],[unqid]])=0,"",COUNTIF('Quipt Prod Data'!L:L,Data[[#This Row],[unqid]]))</f>
        <v/>
      </c>
    </row>
    <row r="1060" spans="1:6" x14ac:dyDescent="0.3">
      <c r="A1060" t="s">
        <v>1274</v>
      </c>
      <c r="B1060" t="s">
        <v>47</v>
      </c>
      <c r="C1060" t="s">
        <v>54</v>
      </c>
      <c r="D1060" s="1" t="str">
        <f>_xlfn.IFNA(_xlfn.XLOOKUP(Data[[#This Row],[unqid]],'Quipt Prod Data'!L:L,'Quipt Prod Data'!B:B),"")</f>
        <v/>
      </c>
      <c r="E1060" s="1" t="str">
        <f>_xlfn.IFNA(_xlfn.XMATCH(Data[[#This Row],[unqid]],'Quipt Prod Data'!L:L,0),"")</f>
        <v/>
      </c>
      <c r="F1060" s="1" t="str">
        <f>IF(COUNTIF('Quipt Prod Data'!L:L,Data[[#This Row],[unqid]])=0,"",COUNTIF('Quipt Prod Data'!L:L,Data[[#This Row],[unqid]]))</f>
        <v/>
      </c>
    </row>
    <row r="1061" spans="1:6" x14ac:dyDescent="0.3">
      <c r="A1061" t="s">
        <v>1275</v>
      </c>
      <c r="B1061" t="s">
        <v>41</v>
      </c>
      <c r="C1061" t="s">
        <v>54</v>
      </c>
      <c r="D1061" s="1" t="str">
        <f>_xlfn.IFNA(_xlfn.XLOOKUP(Data[[#This Row],[unqid]],'Quipt Prod Data'!L:L,'Quipt Prod Data'!B:B),"")</f>
        <v/>
      </c>
      <c r="E1061" s="1" t="str">
        <f>_xlfn.IFNA(_xlfn.XMATCH(Data[[#This Row],[unqid]],'Quipt Prod Data'!L:L,0),"")</f>
        <v/>
      </c>
      <c r="F1061" s="1" t="str">
        <f>IF(COUNTIF('Quipt Prod Data'!L:L,Data[[#This Row],[unqid]])=0,"",COUNTIF('Quipt Prod Data'!L:L,Data[[#This Row],[unqid]]))</f>
        <v/>
      </c>
    </row>
    <row r="1062" spans="1:6" x14ac:dyDescent="0.3">
      <c r="A1062" t="s">
        <v>1276</v>
      </c>
      <c r="B1062" t="s">
        <v>41</v>
      </c>
      <c r="C1062" t="s">
        <v>44</v>
      </c>
      <c r="D1062" s="1" t="str">
        <f>_xlfn.IFNA(_xlfn.XLOOKUP(Data[[#This Row],[unqid]],'Quipt Prod Data'!L:L,'Quipt Prod Data'!B:B),"")</f>
        <v/>
      </c>
      <c r="E1062" s="1" t="str">
        <f>_xlfn.IFNA(_xlfn.XMATCH(Data[[#This Row],[unqid]],'Quipt Prod Data'!L:L,0),"")</f>
        <v/>
      </c>
      <c r="F1062" s="1" t="str">
        <f>IF(COUNTIF('Quipt Prod Data'!L:L,Data[[#This Row],[unqid]])=0,"",COUNTIF('Quipt Prod Data'!L:L,Data[[#This Row],[unqid]]))</f>
        <v/>
      </c>
    </row>
    <row r="1063" spans="1:6" x14ac:dyDescent="0.3">
      <c r="A1063" t="s">
        <v>1277</v>
      </c>
      <c r="B1063" t="s">
        <v>41</v>
      </c>
      <c r="C1063" t="s">
        <v>54</v>
      </c>
      <c r="D1063" s="1" t="str">
        <f>_xlfn.IFNA(_xlfn.XLOOKUP(Data[[#This Row],[unqid]],'Quipt Prod Data'!L:L,'Quipt Prod Data'!B:B),"")</f>
        <v/>
      </c>
      <c r="E1063" s="1" t="str">
        <f>_xlfn.IFNA(_xlfn.XMATCH(Data[[#This Row],[unqid]],'Quipt Prod Data'!L:L,0),"")</f>
        <v/>
      </c>
      <c r="F1063" s="1" t="str">
        <f>IF(COUNTIF('Quipt Prod Data'!L:L,Data[[#This Row],[unqid]])=0,"",COUNTIF('Quipt Prod Data'!L:L,Data[[#This Row],[unqid]]))</f>
        <v/>
      </c>
    </row>
    <row r="1064" spans="1:6" x14ac:dyDescent="0.3">
      <c r="A1064" t="s">
        <v>1278</v>
      </c>
      <c r="B1064" t="s">
        <v>32</v>
      </c>
      <c r="C1064" t="s">
        <v>45</v>
      </c>
      <c r="D1064" s="1" t="str">
        <f>_xlfn.IFNA(_xlfn.XLOOKUP(Data[[#This Row],[unqid]],'Quipt Prod Data'!L:L,'Quipt Prod Data'!B:B),"")</f>
        <v/>
      </c>
      <c r="E1064" s="1" t="str">
        <f>_xlfn.IFNA(_xlfn.XMATCH(Data[[#This Row],[unqid]],'Quipt Prod Data'!L:L,0),"")</f>
        <v/>
      </c>
      <c r="F1064" s="1" t="str">
        <f>IF(COUNTIF('Quipt Prod Data'!L:L,Data[[#This Row],[unqid]])=0,"",COUNTIF('Quipt Prod Data'!L:L,Data[[#This Row],[unqid]]))</f>
        <v/>
      </c>
    </row>
    <row r="1065" spans="1:6" x14ac:dyDescent="0.3">
      <c r="A1065" t="s">
        <v>1279</v>
      </c>
      <c r="B1065" t="s">
        <v>60</v>
      </c>
      <c r="C1065" t="s">
        <v>27</v>
      </c>
      <c r="D1065" s="1" t="str">
        <f>_xlfn.IFNA(_xlfn.XLOOKUP(Data[[#This Row],[unqid]],'Quipt Prod Data'!L:L,'Quipt Prod Data'!B:B),"")</f>
        <v/>
      </c>
      <c r="E1065" s="1" t="str">
        <f>_xlfn.IFNA(_xlfn.XMATCH(Data[[#This Row],[unqid]],'Quipt Prod Data'!L:L,0),"")</f>
        <v/>
      </c>
      <c r="F1065" s="1" t="str">
        <f>IF(COUNTIF('Quipt Prod Data'!L:L,Data[[#This Row],[unqid]])=0,"",COUNTIF('Quipt Prod Data'!L:L,Data[[#This Row],[unqid]]))</f>
        <v/>
      </c>
    </row>
    <row r="1066" spans="1:6" x14ac:dyDescent="0.3">
      <c r="A1066" t="s">
        <v>1280</v>
      </c>
      <c r="B1066" t="s">
        <v>41</v>
      </c>
      <c r="C1066" t="s">
        <v>54</v>
      </c>
      <c r="D1066" s="1" t="str">
        <f>_xlfn.IFNA(_xlfn.XLOOKUP(Data[[#This Row],[unqid]],'Quipt Prod Data'!L:L,'Quipt Prod Data'!B:B),"")</f>
        <v/>
      </c>
      <c r="E1066" s="1" t="str">
        <f>_xlfn.IFNA(_xlfn.XMATCH(Data[[#This Row],[unqid]],'Quipt Prod Data'!L:L,0),"")</f>
        <v/>
      </c>
      <c r="F1066" s="1" t="str">
        <f>IF(COUNTIF('Quipt Prod Data'!L:L,Data[[#This Row],[unqid]])=0,"",COUNTIF('Quipt Prod Data'!L:L,Data[[#This Row],[unqid]]))</f>
        <v/>
      </c>
    </row>
    <row r="1067" spans="1:6" x14ac:dyDescent="0.3">
      <c r="A1067" t="s">
        <v>1281</v>
      </c>
      <c r="B1067" t="s">
        <v>41</v>
      </c>
      <c r="C1067" t="s">
        <v>54</v>
      </c>
      <c r="D1067" s="1" t="str">
        <f>_xlfn.IFNA(_xlfn.XLOOKUP(Data[[#This Row],[unqid]],'Quipt Prod Data'!L:L,'Quipt Prod Data'!B:B),"")</f>
        <v/>
      </c>
      <c r="E1067" s="1" t="str">
        <f>_xlfn.IFNA(_xlfn.XMATCH(Data[[#This Row],[unqid]],'Quipt Prod Data'!L:L,0),"")</f>
        <v/>
      </c>
      <c r="F1067" s="1" t="str">
        <f>IF(COUNTIF('Quipt Prod Data'!L:L,Data[[#This Row],[unqid]])=0,"",COUNTIF('Quipt Prod Data'!L:L,Data[[#This Row],[unqid]]))</f>
        <v/>
      </c>
    </row>
    <row r="1068" spans="1:6" x14ac:dyDescent="0.3">
      <c r="A1068" t="s">
        <v>1282</v>
      </c>
      <c r="B1068" t="s">
        <v>56</v>
      </c>
      <c r="C1068" t="s">
        <v>43</v>
      </c>
      <c r="D1068" s="1" t="str">
        <f>_xlfn.IFNA(_xlfn.XLOOKUP(Data[[#This Row],[unqid]],'Quipt Prod Data'!L:L,'Quipt Prod Data'!B:B),"")</f>
        <v/>
      </c>
      <c r="E1068" s="1" t="str">
        <f>_xlfn.IFNA(_xlfn.XMATCH(Data[[#This Row],[unqid]],'Quipt Prod Data'!L:L,0),"")</f>
        <v/>
      </c>
      <c r="F1068" s="1" t="str">
        <f>IF(COUNTIF('Quipt Prod Data'!L:L,Data[[#This Row],[unqid]])=0,"",COUNTIF('Quipt Prod Data'!L:L,Data[[#This Row],[unqid]]))</f>
        <v/>
      </c>
    </row>
    <row r="1069" spans="1:6" x14ac:dyDescent="0.3">
      <c r="A1069" t="s">
        <v>1283</v>
      </c>
      <c r="B1069" t="s">
        <v>32</v>
      </c>
      <c r="C1069" t="s">
        <v>27</v>
      </c>
      <c r="D1069" s="1" t="str">
        <f>_xlfn.IFNA(_xlfn.XLOOKUP(Data[[#This Row],[unqid]],'Quipt Prod Data'!L:L,'Quipt Prod Data'!B:B),"")</f>
        <v/>
      </c>
      <c r="E1069" s="1" t="str">
        <f>_xlfn.IFNA(_xlfn.XMATCH(Data[[#This Row],[unqid]],'Quipt Prod Data'!L:L,0),"")</f>
        <v/>
      </c>
      <c r="F1069" s="1" t="str">
        <f>IF(COUNTIF('Quipt Prod Data'!L:L,Data[[#This Row],[unqid]])=0,"",COUNTIF('Quipt Prod Data'!L:L,Data[[#This Row],[unqid]]))</f>
        <v/>
      </c>
    </row>
    <row r="1070" spans="1:6" x14ac:dyDescent="0.3">
      <c r="A1070" t="s">
        <v>1284</v>
      </c>
      <c r="B1070" t="s">
        <v>41</v>
      </c>
      <c r="C1070" t="s">
        <v>54</v>
      </c>
      <c r="D1070" s="1" t="str">
        <f>_xlfn.IFNA(_xlfn.XLOOKUP(Data[[#This Row],[unqid]],'Quipt Prod Data'!L:L,'Quipt Prod Data'!B:B),"")</f>
        <v/>
      </c>
      <c r="E1070" s="1" t="str">
        <f>_xlfn.IFNA(_xlfn.XMATCH(Data[[#This Row],[unqid]],'Quipt Prod Data'!L:L,0),"")</f>
        <v/>
      </c>
      <c r="F1070" s="1" t="str">
        <f>IF(COUNTIF('Quipt Prod Data'!L:L,Data[[#This Row],[unqid]])=0,"",COUNTIF('Quipt Prod Data'!L:L,Data[[#This Row],[unqid]]))</f>
        <v/>
      </c>
    </row>
    <row r="1071" spans="1:6" x14ac:dyDescent="0.3">
      <c r="A1071" t="s">
        <v>1285</v>
      </c>
      <c r="B1071" t="s">
        <v>41</v>
      </c>
      <c r="C1071" t="s">
        <v>54</v>
      </c>
      <c r="D1071" s="1" t="str">
        <f>_xlfn.IFNA(_xlfn.XLOOKUP(Data[[#This Row],[unqid]],'Quipt Prod Data'!L:L,'Quipt Prod Data'!B:B),"")</f>
        <v/>
      </c>
      <c r="E1071" s="1" t="str">
        <f>_xlfn.IFNA(_xlfn.XMATCH(Data[[#This Row],[unqid]],'Quipt Prod Data'!L:L,0),"")</f>
        <v/>
      </c>
      <c r="F1071" s="1" t="str">
        <f>IF(COUNTIF('Quipt Prod Data'!L:L,Data[[#This Row],[unqid]])=0,"",COUNTIF('Quipt Prod Data'!L:L,Data[[#This Row],[unqid]]))</f>
        <v/>
      </c>
    </row>
    <row r="1072" spans="1:6" x14ac:dyDescent="0.3">
      <c r="A1072" t="s">
        <v>1286</v>
      </c>
      <c r="B1072" t="s">
        <v>41</v>
      </c>
      <c r="C1072" t="s">
        <v>44</v>
      </c>
      <c r="D1072" s="1" t="str">
        <f>_xlfn.IFNA(_xlfn.XLOOKUP(Data[[#This Row],[unqid]],'Quipt Prod Data'!L:L,'Quipt Prod Data'!B:B),"")</f>
        <v/>
      </c>
      <c r="E1072" s="1" t="str">
        <f>_xlfn.IFNA(_xlfn.XMATCH(Data[[#This Row],[unqid]],'Quipt Prod Data'!L:L,0),"")</f>
        <v/>
      </c>
      <c r="F1072" s="1" t="str">
        <f>IF(COUNTIF('Quipt Prod Data'!L:L,Data[[#This Row],[unqid]])=0,"",COUNTIF('Quipt Prod Data'!L:L,Data[[#This Row],[unqid]]))</f>
        <v/>
      </c>
    </row>
    <row r="1073" spans="1:6" x14ac:dyDescent="0.3">
      <c r="A1073" t="s">
        <v>1287</v>
      </c>
      <c r="B1073" t="s">
        <v>57</v>
      </c>
      <c r="C1073" t="s">
        <v>54</v>
      </c>
      <c r="D1073" s="1" t="str">
        <f>_xlfn.IFNA(_xlfn.XLOOKUP(Data[[#This Row],[unqid]],'Quipt Prod Data'!L:L,'Quipt Prod Data'!B:B),"")</f>
        <v/>
      </c>
      <c r="E1073" s="1" t="str">
        <f>_xlfn.IFNA(_xlfn.XMATCH(Data[[#This Row],[unqid]],'Quipt Prod Data'!L:L,0),"")</f>
        <v/>
      </c>
      <c r="F1073" s="1" t="str">
        <f>IF(COUNTIF('Quipt Prod Data'!L:L,Data[[#This Row],[unqid]])=0,"",COUNTIF('Quipt Prod Data'!L:L,Data[[#This Row],[unqid]]))</f>
        <v/>
      </c>
    </row>
    <row r="1074" spans="1:6" x14ac:dyDescent="0.3">
      <c r="A1074" t="s">
        <v>1288</v>
      </c>
      <c r="B1074" t="s">
        <v>41</v>
      </c>
      <c r="C1074" t="s">
        <v>46</v>
      </c>
      <c r="D1074" s="1" t="str">
        <f>_xlfn.IFNA(_xlfn.XLOOKUP(Data[[#This Row],[unqid]],'Quipt Prod Data'!L:L,'Quipt Prod Data'!B:B),"")</f>
        <v/>
      </c>
      <c r="E1074" s="1" t="str">
        <f>_xlfn.IFNA(_xlfn.XMATCH(Data[[#This Row],[unqid]],'Quipt Prod Data'!L:L,0),"")</f>
        <v/>
      </c>
      <c r="F1074" s="1" t="str">
        <f>IF(COUNTIF('Quipt Prod Data'!L:L,Data[[#This Row],[unqid]])=0,"",COUNTIF('Quipt Prod Data'!L:L,Data[[#This Row],[unqid]]))</f>
        <v/>
      </c>
    </row>
    <row r="1075" spans="1:6" x14ac:dyDescent="0.3">
      <c r="A1075" t="s">
        <v>1289</v>
      </c>
      <c r="B1075" t="s">
        <v>31</v>
      </c>
      <c r="C1075" t="s">
        <v>48</v>
      </c>
      <c r="D1075" s="1" t="str">
        <f>_xlfn.IFNA(_xlfn.XLOOKUP(Data[[#This Row],[unqid]],'Quipt Prod Data'!L:L,'Quipt Prod Data'!B:B),"")</f>
        <v/>
      </c>
      <c r="E1075" s="1" t="str">
        <f>_xlfn.IFNA(_xlfn.XMATCH(Data[[#This Row],[unqid]],'Quipt Prod Data'!L:L,0),"")</f>
        <v/>
      </c>
      <c r="F1075" s="1" t="str">
        <f>IF(COUNTIF('Quipt Prod Data'!L:L,Data[[#This Row],[unqid]])=0,"",COUNTIF('Quipt Prod Data'!L:L,Data[[#This Row],[unqid]]))</f>
        <v/>
      </c>
    </row>
    <row r="1076" spans="1:6" x14ac:dyDescent="0.3">
      <c r="A1076" t="s">
        <v>1290</v>
      </c>
      <c r="B1076" t="s">
        <v>41</v>
      </c>
      <c r="C1076" t="s">
        <v>54</v>
      </c>
      <c r="D1076" s="1" t="str">
        <f>_xlfn.IFNA(_xlfn.XLOOKUP(Data[[#This Row],[unqid]],'Quipt Prod Data'!L:L,'Quipt Prod Data'!B:B),"")</f>
        <v/>
      </c>
      <c r="E1076" s="1" t="str">
        <f>_xlfn.IFNA(_xlfn.XMATCH(Data[[#This Row],[unqid]],'Quipt Prod Data'!L:L,0),"")</f>
        <v/>
      </c>
      <c r="F1076" s="1" t="str">
        <f>IF(COUNTIF('Quipt Prod Data'!L:L,Data[[#This Row],[unqid]])=0,"",COUNTIF('Quipt Prod Data'!L:L,Data[[#This Row],[unqid]]))</f>
        <v/>
      </c>
    </row>
    <row r="1077" spans="1:6" x14ac:dyDescent="0.3">
      <c r="A1077" t="s">
        <v>1291</v>
      </c>
      <c r="B1077" t="s">
        <v>41</v>
      </c>
      <c r="C1077" t="s">
        <v>44</v>
      </c>
      <c r="D1077" s="1" t="str">
        <f>_xlfn.IFNA(_xlfn.XLOOKUP(Data[[#This Row],[unqid]],'Quipt Prod Data'!L:L,'Quipt Prod Data'!B:B),"")</f>
        <v/>
      </c>
      <c r="E1077" s="1" t="str">
        <f>_xlfn.IFNA(_xlfn.XMATCH(Data[[#This Row],[unqid]],'Quipt Prod Data'!L:L,0),"")</f>
        <v/>
      </c>
      <c r="F1077" s="1" t="str">
        <f>IF(COUNTIF('Quipt Prod Data'!L:L,Data[[#This Row],[unqid]])=0,"",COUNTIF('Quipt Prod Data'!L:L,Data[[#This Row],[unqid]]))</f>
        <v/>
      </c>
    </row>
    <row r="1078" spans="1:6" x14ac:dyDescent="0.3">
      <c r="A1078" t="s">
        <v>1292</v>
      </c>
      <c r="B1078" t="s">
        <v>33</v>
      </c>
      <c r="C1078" t="s">
        <v>52</v>
      </c>
      <c r="D1078" s="1" t="str">
        <f>_xlfn.IFNA(_xlfn.XLOOKUP(Data[[#This Row],[unqid]],'Quipt Prod Data'!L:L,'Quipt Prod Data'!B:B),"")</f>
        <v/>
      </c>
      <c r="E1078" s="1" t="str">
        <f>_xlfn.IFNA(_xlfn.XMATCH(Data[[#This Row],[unqid]],'Quipt Prod Data'!L:L,0),"")</f>
        <v/>
      </c>
      <c r="F1078" s="1" t="str">
        <f>IF(COUNTIF('Quipt Prod Data'!L:L,Data[[#This Row],[unqid]])=0,"",COUNTIF('Quipt Prod Data'!L:L,Data[[#This Row],[unqid]]))</f>
        <v/>
      </c>
    </row>
    <row r="1079" spans="1:6" x14ac:dyDescent="0.3">
      <c r="A1079" t="s">
        <v>1293</v>
      </c>
      <c r="B1079" t="s">
        <v>38</v>
      </c>
      <c r="C1079" t="s">
        <v>48</v>
      </c>
      <c r="D1079" s="1" t="str">
        <f>_xlfn.IFNA(_xlfn.XLOOKUP(Data[[#This Row],[unqid]],'Quipt Prod Data'!L:L,'Quipt Prod Data'!B:B),"")</f>
        <v/>
      </c>
      <c r="E1079" s="1" t="str">
        <f>_xlfn.IFNA(_xlfn.XMATCH(Data[[#This Row],[unqid]],'Quipt Prod Data'!L:L,0),"")</f>
        <v/>
      </c>
      <c r="F1079" s="1" t="str">
        <f>IF(COUNTIF('Quipt Prod Data'!L:L,Data[[#This Row],[unqid]])=0,"",COUNTIF('Quipt Prod Data'!L:L,Data[[#This Row],[unqid]]))</f>
        <v/>
      </c>
    </row>
    <row r="1080" spans="1:6" x14ac:dyDescent="0.3">
      <c r="A1080" t="s">
        <v>1294</v>
      </c>
      <c r="B1080" t="s">
        <v>41</v>
      </c>
      <c r="C1080" t="s">
        <v>54</v>
      </c>
      <c r="D1080" s="1" t="str">
        <f>_xlfn.IFNA(_xlfn.XLOOKUP(Data[[#This Row],[unqid]],'Quipt Prod Data'!L:L,'Quipt Prod Data'!B:B),"")</f>
        <v/>
      </c>
      <c r="E1080" s="1" t="str">
        <f>_xlfn.IFNA(_xlfn.XMATCH(Data[[#This Row],[unqid]],'Quipt Prod Data'!L:L,0),"")</f>
        <v/>
      </c>
      <c r="F1080" s="1" t="str">
        <f>IF(COUNTIF('Quipt Prod Data'!L:L,Data[[#This Row],[unqid]])=0,"",COUNTIF('Quipt Prod Data'!L:L,Data[[#This Row],[unqid]]))</f>
        <v/>
      </c>
    </row>
    <row r="1081" spans="1:6" x14ac:dyDescent="0.3">
      <c r="A1081" t="s">
        <v>1295</v>
      </c>
      <c r="B1081" t="s">
        <v>41</v>
      </c>
      <c r="C1081" t="s">
        <v>46</v>
      </c>
      <c r="D1081" s="1" t="str">
        <f>_xlfn.IFNA(_xlfn.XLOOKUP(Data[[#This Row],[unqid]],'Quipt Prod Data'!L:L,'Quipt Prod Data'!B:B),"")</f>
        <v/>
      </c>
      <c r="E1081" s="1" t="str">
        <f>_xlfn.IFNA(_xlfn.XMATCH(Data[[#This Row],[unqid]],'Quipt Prod Data'!L:L,0),"")</f>
        <v/>
      </c>
      <c r="F1081" s="1" t="str">
        <f>IF(COUNTIF('Quipt Prod Data'!L:L,Data[[#This Row],[unqid]])=0,"",COUNTIF('Quipt Prod Data'!L:L,Data[[#This Row],[unqid]]))</f>
        <v/>
      </c>
    </row>
    <row r="1082" spans="1:6" x14ac:dyDescent="0.3">
      <c r="A1082" t="s">
        <v>1296</v>
      </c>
      <c r="B1082" t="s">
        <v>41</v>
      </c>
      <c r="C1082" t="s">
        <v>54</v>
      </c>
      <c r="D1082" s="1" t="str">
        <f>_xlfn.IFNA(_xlfn.XLOOKUP(Data[[#This Row],[unqid]],'Quipt Prod Data'!L:L,'Quipt Prod Data'!B:B),"")</f>
        <v/>
      </c>
      <c r="E1082" s="1" t="str">
        <f>_xlfn.IFNA(_xlfn.XMATCH(Data[[#This Row],[unqid]],'Quipt Prod Data'!L:L,0),"")</f>
        <v/>
      </c>
      <c r="F1082" s="1" t="str">
        <f>IF(COUNTIF('Quipt Prod Data'!L:L,Data[[#This Row],[unqid]])=0,"",COUNTIF('Quipt Prod Data'!L:L,Data[[#This Row],[unqid]]))</f>
        <v/>
      </c>
    </row>
    <row r="1083" spans="1:6" x14ac:dyDescent="0.3">
      <c r="A1083" t="s">
        <v>1297</v>
      </c>
      <c r="B1083" t="s">
        <v>42</v>
      </c>
      <c r="C1083" t="s">
        <v>48</v>
      </c>
      <c r="D1083" s="1" t="str">
        <f>_xlfn.IFNA(_xlfn.XLOOKUP(Data[[#This Row],[unqid]],'Quipt Prod Data'!L:L,'Quipt Prod Data'!B:B),"")</f>
        <v/>
      </c>
      <c r="E1083" s="1" t="str">
        <f>_xlfn.IFNA(_xlfn.XMATCH(Data[[#This Row],[unqid]],'Quipt Prod Data'!L:L,0),"")</f>
        <v/>
      </c>
      <c r="F1083" s="1" t="str">
        <f>IF(COUNTIF('Quipt Prod Data'!L:L,Data[[#This Row],[unqid]])=0,"",COUNTIF('Quipt Prod Data'!L:L,Data[[#This Row],[unqid]]))</f>
        <v/>
      </c>
    </row>
    <row r="1084" spans="1:6" x14ac:dyDescent="0.3">
      <c r="A1084" t="s">
        <v>1298</v>
      </c>
      <c r="B1084" t="s">
        <v>41</v>
      </c>
      <c r="C1084" t="s">
        <v>44</v>
      </c>
      <c r="D1084" s="1" t="str">
        <f>_xlfn.IFNA(_xlfn.XLOOKUP(Data[[#This Row],[unqid]],'Quipt Prod Data'!L:L,'Quipt Prod Data'!B:B),"")</f>
        <v/>
      </c>
      <c r="E1084" s="1" t="str">
        <f>_xlfn.IFNA(_xlfn.XMATCH(Data[[#This Row],[unqid]],'Quipt Prod Data'!L:L,0),"")</f>
        <v/>
      </c>
      <c r="F1084" s="1" t="str">
        <f>IF(COUNTIF('Quipt Prod Data'!L:L,Data[[#This Row],[unqid]])=0,"",COUNTIF('Quipt Prod Data'!L:L,Data[[#This Row],[unqid]]))</f>
        <v/>
      </c>
    </row>
    <row r="1085" spans="1:6" x14ac:dyDescent="0.3">
      <c r="A1085" t="s">
        <v>1299</v>
      </c>
      <c r="B1085" t="s">
        <v>38</v>
      </c>
      <c r="C1085" t="s">
        <v>27</v>
      </c>
      <c r="D1085" s="1" t="str">
        <f>_xlfn.IFNA(_xlfn.XLOOKUP(Data[[#This Row],[unqid]],'Quipt Prod Data'!L:L,'Quipt Prod Data'!B:B),"")</f>
        <v/>
      </c>
      <c r="E1085" s="1" t="str">
        <f>_xlfn.IFNA(_xlfn.XMATCH(Data[[#This Row],[unqid]],'Quipt Prod Data'!L:L,0),"")</f>
        <v/>
      </c>
      <c r="F1085" s="1" t="str">
        <f>IF(COUNTIF('Quipt Prod Data'!L:L,Data[[#This Row],[unqid]])=0,"",COUNTIF('Quipt Prod Data'!L:L,Data[[#This Row],[unqid]]))</f>
        <v/>
      </c>
    </row>
    <row r="1086" spans="1:6" x14ac:dyDescent="0.3">
      <c r="A1086" t="s">
        <v>1300</v>
      </c>
      <c r="B1086" t="s">
        <v>58</v>
      </c>
      <c r="C1086" t="s">
        <v>54</v>
      </c>
      <c r="D1086" s="1" t="str">
        <f>_xlfn.IFNA(_xlfn.XLOOKUP(Data[[#This Row],[unqid]],'Quipt Prod Data'!L:L,'Quipt Prod Data'!B:B),"")</f>
        <v/>
      </c>
      <c r="E1086" s="1" t="str">
        <f>_xlfn.IFNA(_xlfn.XMATCH(Data[[#This Row],[unqid]],'Quipt Prod Data'!L:L,0),"")</f>
        <v/>
      </c>
      <c r="F1086" s="1" t="str">
        <f>IF(COUNTIF('Quipt Prod Data'!L:L,Data[[#This Row],[unqid]])=0,"",COUNTIF('Quipt Prod Data'!L:L,Data[[#This Row],[unqid]]))</f>
        <v/>
      </c>
    </row>
    <row r="1087" spans="1:6" x14ac:dyDescent="0.3">
      <c r="A1087" t="s">
        <v>1301</v>
      </c>
      <c r="B1087" t="s">
        <v>32</v>
      </c>
      <c r="C1087" t="s">
        <v>27</v>
      </c>
      <c r="D1087" s="1" t="str">
        <f>_xlfn.IFNA(_xlfn.XLOOKUP(Data[[#This Row],[unqid]],'Quipt Prod Data'!L:L,'Quipt Prod Data'!B:B),"")</f>
        <v/>
      </c>
      <c r="E1087" s="1" t="str">
        <f>_xlfn.IFNA(_xlfn.XMATCH(Data[[#This Row],[unqid]],'Quipt Prod Data'!L:L,0),"")</f>
        <v/>
      </c>
      <c r="F1087" s="1" t="str">
        <f>IF(COUNTIF('Quipt Prod Data'!L:L,Data[[#This Row],[unqid]])=0,"",COUNTIF('Quipt Prod Data'!L:L,Data[[#This Row],[unqid]]))</f>
        <v/>
      </c>
    </row>
    <row r="1088" spans="1:6" x14ac:dyDescent="0.3">
      <c r="A1088" t="s">
        <v>1302</v>
      </c>
      <c r="B1088" t="s">
        <v>41</v>
      </c>
      <c r="C1088" t="s">
        <v>48</v>
      </c>
      <c r="D1088" s="1" t="str">
        <f>_xlfn.IFNA(_xlfn.XLOOKUP(Data[[#This Row],[unqid]],'Quipt Prod Data'!L:L,'Quipt Prod Data'!B:B),"")</f>
        <v/>
      </c>
      <c r="E1088" s="1" t="str">
        <f>_xlfn.IFNA(_xlfn.XMATCH(Data[[#This Row],[unqid]],'Quipt Prod Data'!L:L,0),"")</f>
        <v/>
      </c>
      <c r="F1088" s="1" t="str">
        <f>IF(COUNTIF('Quipt Prod Data'!L:L,Data[[#This Row],[unqid]])=0,"",COUNTIF('Quipt Prod Data'!L:L,Data[[#This Row],[unqid]]))</f>
        <v/>
      </c>
    </row>
    <row r="1089" spans="1:6" x14ac:dyDescent="0.3">
      <c r="A1089" t="s">
        <v>1303</v>
      </c>
      <c r="B1089" t="s">
        <v>56</v>
      </c>
      <c r="C1089" t="s">
        <v>43</v>
      </c>
      <c r="D1089" s="1" t="str">
        <f>_xlfn.IFNA(_xlfn.XLOOKUP(Data[[#This Row],[unqid]],'Quipt Prod Data'!L:L,'Quipt Prod Data'!B:B),"")</f>
        <v/>
      </c>
      <c r="E1089" s="1" t="str">
        <f>_xlfn.IFNA(_xlfn.XMATCH(Data[[#This Row],[unqid]],'Quipt Prod Data'!L:L,0),"")</f>
        <v/>
      </c>
      <c r="F1089" s="1" t="str">
        <f>IF(COUNTIF('Quipt Prod Data'!L:L,Data[[#This Row],[unqid]])=0,"",COUNTIF('Quipt Prod Data'!L:L,Data[[#This Row],[unqid]]))</f>
        <v/>
      </c>
    </row>
    <row r="1090" spans="1:6" x14ac:dyDescent="0.3">
      <c r="A1090" t="s">
        <v>1304</v>
      </c>
      <c r="B1090" t="s">
        <v>41</v>
      </c>
      <c r="C1090" t="s">
        <v>44</v>
      </c>
      <c r="D1090" s="1" t="str">
        <f>_xlfn.IFNA(_xlfn.XLOOKUP(Data[[#This Row],[unqid]],'Quipt Prod Data'!L:L,'Quipt Prod Data'!B:B),"")</f>
        <v/>
      </c>
      <c r="E1090" s="1" t="str">
        <f>_xlfn.IFNA(_xlfn.XMATCH(Data[[#This Row],[unqid]],'Quipt Prod Data'!L:L,0),"")</f>
        <v/>
      </c>
      <c r="F1090" s="1" t="str">
        <f>IF(COUNTIF('Quipt Prod Data'!L:L,Data[[#This Row],[unqid]])=0,"",COUNTIF('Quipt Prod Data'!L:L,Data[[#This Row],[unqid]]))</f>
        <v/>
      </c>
    </row>
    <row r="1091" spans="1:6" x14ac:dyDescent="0.3">
      <c r="A1091" t="s">
        <v>1305</v>
      </c>
      <c r="B1091" t="s">
        <v>42</v>
      </c>
      <c r="C1091" t="s">
        <v>27</v>
      </c>
      <c r="D1091" s="1" t="str">
        <f>_xlfn.IFNA(_xlfn.XLOOKUP(Data[[#This Row],[unqid]],'Quipt Prod Data'!L:L,'Quipt Prod Data'!B:B),"")</f>
        <v/>
      </c>
      <c r="E1091" s="1" t="str">
        <f>_xlfn.IFNA(_xlfn.XMATCH(Data[[#This Row],[unqid]],'Quipt Prod Data'!L:L,0),"")</f>
        <v/>
      </c>
      <c r="F1091" s="1" t="str">
        <f>IF(COUNTIF('Quipt Prod Data'!L:L,Data[[#This Row],[unqid]])=0,"",COUNTIF('Quipt Prod Data'!L:L,Data[[#This Row],[unqid]]))</f>
        <v/>
      </c>
    </row>
    <row r="1092" spans="1:6" x14ac:dyDescent="0.3">
      <c r="A1092" t="s">
        <v>1306</v>
      </c>
      <c r="B1092" t="s">
        <v>41</v>
      </c>
      <c r="C1092" t="s">
        <v>44</v>
      </c>
      <c r="D1092" s="1" t="str">
        <f>_xlfn.IFNA(_xlfn.XLOOKUP(Data[[#This Row],[unqid]],'Quipt Prod Data'!L:L,'Quipt Prod Data'!B:B),"")</f>
        <v/>
      </c>
      <c r="E1092" s="1" t="str">
        <f>_xlfn.IFNA(_xlfn.XMATCH(Data[[#This Row],[unqid]],'Quipt Prod Data'!L:L,0),"")</f>
        <v/>
      </c>
      <c r="F1092" s="1" t="str">
        <f>IF(COUNTIF('Quipt Prod Data'!L:L,Data[[#This Row],[unqid]])=0,"",COUNTIF('Quipt Prod Data'!L:L,Data[[#This Row],[unqid]]))</f>
        <v/>
      </c>
    </row>
    <row r="1093" spans="1:6" x14ac:dyDescent="0.3">
      <c r="A1093" t="s">
        <v>1307</v>
      </c>
      <c r="B1093" t="s">
        <v>38</v>
      </c>
      <c r="C1093" t="s">
        <v>46</v>
      </c>
      <c r="D1093" s="1" t="str">
        <f>_xlfn.IFNA(_xlfn.XLOOKUP(Data[[#This Row],[unqid]],'Quipt Prod Data'!L:L,'Quipt Prod Data'!B:B),"")</f>
        <v/>
      </c>
      <c r="E1093" s="1" t="str">
        <f>_xlfn.IFNA(_xlfn.XMATCH(Data[[#This Row],[unqid]],'Quipt Prod Data'!L:L,0),"")</f>
        <v/>
      </c>
      <c r="F1093" s="1" t="str">
        <f>IF(COUNTIF('Quipt Prod Data'!L:L,Data[[#This Row],[unqid]])=0,"",COUNTIF('Quipt Prod Data'!L:L,Data[[#This Row],[unqid]]))</f>
        <v/>
      </c>
    </row>
    <row r="1094" spans="1:6" x14ac:dyDescent="0.3">
      <c r="A1094" t="s">
        <v>1308</v>
      </c>
      <c r="B1094" t="s">
        <v>51</v>
      </c>
      <c r="C1094" t="s">
        <v>54</v>
      </c>
      <c r="D1094" s="1" t="str">
        <f>_xlfn.IFNA(_xlfn.XLOOKUP(Data[[#This Row],[unqid]],'Quipt Prod Data'!L:L,'Quipt Prod Data'!B:B),"")</f>
        <v/>
      </c>
      <c r="E1094" s="1" t="str">
        <f>_xlfn.IFNA(_xlfn.XMATCH(Data[[#This Row],[unqid]],'Quipt Prod Data'!L:L,0),"")</f>
        <v/>
      </c>
      <c r="F1094" s="1" t="str">
        <f>IF(COUNTIF('Quipt Prod Data'!L:L,Data[[#This Row],[unqid]])=0,"",COUNTIF('Quipt Prod Data'!L:L,Data[[#This Row],[unqid]]))</f>
        <v/>
      </c>
    </row>
    <row r="1095" spans="1:6" x14ac:dyDescent="0.3">
      <c r="A1095" t="s">
        <v>1309</v>
      </c>
      <c r="B1095" t="s">
        <v>41</v>
      </c>
      <c r="C1095" t="s">
        <v>54</v>
      </c>
      <c r="D1095" s="1" t="str">
        <f>_xlfn.IFNA(_xlfn.XLOOKUP(Data[[#This Row],[unqid]],'Quipt Prod Data'!L:L,'Quipt Prod Data'!B:B),"")</f>
        <v/>
      </c>
      <c r="E1095" s="1" t="str">
        <f>_xlfn.IFNA(_xlfn.XMATCH(Data[[#This Row],[unqid]],'Quipt Prod Data'!L:L,0),"")</f>
        <v/>
      </c>
      <c r="F1095" s="1" t="str">
        <f>IF(COUNTIF('Quipt Prod Data'!L:L,Data[[#This Row],[unqid]])=0,"",COUNTIF('Quipt Prod Data'!L:L,Data[[#This Row],[unqid]]))</f>
        <v/>
      </c>
    </row>
    <row r="1096" spans="1:6" x14ac:dyDescent="0.3">
      <c r="A1096" t="s">
        <v>1310</v>
      </c>
      <c r="B1096" t="s">
        <v>41</v>
      </c>
      <c r="C1096" t="s">
        <v>44</v>
      </c>
      <c r="D1096" s="1" t="str">
        <f>_xlfn.IFNA(_xlfn.XLOOKUP(Data[[#This Row],[unqid]],'Quipt Prod Data'!L:L,'Quipt Prod Data'!B:B),"")</f>
        <v/>
      </c>
      <c r="E1096" s="1" t="str">
        <f>_xlfn.IFNA(_xlfn.XMATCH(Data[[#This Row],[unqid]],'Quipt Prod Data'!L:L,0),"")</f>
        <v/>
      </c>
      <c r="F1096" s="1" t="str">
        <f>IF(COUNTIF('Quipt Prod Data'!L:L,Data[[#This Row],[unqid]])=0,"",COUNTIF('Quipt Prod Data'!L:L,Data[[#This Row],[unqid]]))</f>
        <v/>
      </c>
    </row>
    <row r="1097" spans="1:6" x14ac:dyDescent="0.3">
      <c r="A1097" t="s">
        <v>1311</v>
      </c>
      <c r="B1097" t="s">
        <v>41</v>
      </c>
      <c r="C1097" t="s">
        <v>48</v>
      </c>
      <c r="D1097" s="1" t="str">
        <f>_xlfn.IFNA(_xlfn.XLOOKUP(Data[[#This Row],[unqid]],'Quipt Prod Data'!L:L,'Quipt Prod Data'!B:B),"")</f>
        <v/>
      </c>
      <c r="E1097" s="1" t="str">
        <f>_xlfn.IFNA(_xlfn.XMATCH(Data[[#This Row],[unqid]],'Quipt Prod Data'!L:L,0),"")</f>
        <v/>
      </c>
      <c r="F1097" s="1" t="str">
        <f>IF(COUNTIF('Quipt Prod Data'!L:L,Data[[#This Row],[unqid]])=0,"",COUNTIF('Quipt Prod Data'!L:L,Data[[#This Row],[unqid]]))</f>
        <v/>
      </c>
    </row>
    <row r="1098" spans="1:6" x14ac:dyDescent="0.3">
      <c r="A1098" t="s">
        <v>1312</v>
      </c>
      <c r="B1098" t="s">
        <v>32</v>
      </c>
      <c r="C1098" t="s">
        <v>27</v>
      </c>
      <c r="D1098" s="1" t="str">
        <f>_xlfn.IFNA(_xlfn.XLOOKUP(Data[[#This Row],[unqid]],'Quipt Prod Data'!L:L,'Quipt Prod Data'!B:B),"")</f>
        <v/>
      </c>
      <c r="E1098" s="1" t="str">
        <f>_xlfn.IFNA(_xlfn.XMATCH(Data[[#This Row],[unqid]],'Quipt Prod Data'!L:L,0),"")</f>
        <v/>
      </c>
      <c r="F1098" s="1" t="str">
        <f>IF(COUNTIF('Quipt Prod Data'!L:L,Data[[#This Row],[unqid]])=0,"",COUNTIF('Quipt Prod Data'!L:L,Data[[#This Row],[unqid]]))</f>
        <v/>
      </c>
    </row>
    <row r="1099" spans="1:6" x14ac:dyDescent="0.3">
      <c r="A1099" t="s">
        <v>1313</v>
      </c>
      <c r="B1099" t="s">
        <v>34</v>
      </c>
      <c r="C1099" t="s">
        <v>48</v>
      </c>
      <c r="D1099" s="1" t="str">
        <f>_xlfn.IFNA(_xlfn.XLOOKUP(Data[[#This Row],[unqid]],'Quipt Prod Data'!L:L,'Quipt Prod Data'!B:B),"")</f>
        <v/>
      </c>
      <c r="E1099" s="1" t="str">
        <f>_xlfn.IFNA(_xlfn.XMATCH(Data[[#This Row],[unqid]],'Quipt Prod Data'!L:L,0),"")</f>
        <v/>
      </c>
      <c r="F1099" s="1" t="str">
        <f>IF(COUNTIF('Quipt Prod Data'!L:L,Data[[#This Row],[unqid]])=0,"",COUNTIF('Quipt Prod Data'!L:L,Data[[#This Row],[unqid]]))</f>
        <v/>
      </c>
    </row>
    <row r="1100" spans="1:6" x14ac:dyDescent="0.3">
      <c r="A1100" t="s">
        <v>1314</v>
      </c>
      <c r="B1100" t="s">
        <v>28</v>
      </c>
      <c r="C1100" t="s">
        <v>27</v>
      </c>
      <c r="D1100" s="1" t="str">
        <f>_xlfn.IFNA(_xlfn.XLOOKUP(Data[[#This Row],[unqid]],'Quipt Prod Data'!L:L,'Quipt Prod Data'!B:B),"")</f>
        <v/>
      </c>
      <c r="E1100" s="1" t="str">
        <f>_xlfn.IFNA(_xlfn.XMATCH(Data[[#This Row],[unqid]],'Quipt Prod Data'!L:L,0),"")</f>
        <v/>
      </c>
      <c r="F1100" s="1" t="str">
        <f>IF(COUNTIF('Quipt Prod Data'!L:L,Data[[#This Row],[unqid]])=0,"",COUNTIF('Quipt Prod Data'!L:L,Data[[#This Row],[unqid]]))</f>
        <v/>
      </c>
    </row>
    <row r="1101" spans="1:6" x14ac:dyDescent="0.3">
      <c r="A1101" t="s">
        <v>1315</v>
      </c>
      <c r="B1101" t="s">
        <v>41</v>
      </c>
      <c r="C1101" t="s">
        <v>44</v>
      </c>
      <c r="D1101" s="1" t="str">
        <f>_xlfn.IFNA(_xlfn.XLOOKUP(Data[[#This Row],[unqid]],'Quipt Prod Data'!L:L,'Quipt Prod Data'!B:B),"")</f>
        <v/>
      </c>
      <c r="E1101" s="1" t="str">
        <f>_xlfn.IFNA(_xlfn.XMATCH(Data[[#This Row],[unqid]],'Quipt Prod Data'!L:L,0),"")</f>
        <v/>
      </c>
      <c r="F1101" s="1" t="str">
        <f>IF(COUNTIF('Quipt Prod Data'!L:L,Data[[#This Row],[unqid]])=0,"",COUNTIF('Quipt Prod Data'!L:L,Data[[#This Row],[unqid]]))</f>
        <v/>
      </c>
    </row>
    <row r="1102" spans="1:6" x14ac:dyDescent="0.3">
      <c r="A1102" t="s">
        <v>1316</v>
      </c>
      <c r="B1102" t="s">
        <v>41</v>
      </c>
      <c r="C1102" t="s">
        <v>54</v>
      </c>
      <c r="D1102" s="1" t="str">
        <f>_xlfn.IFNA(_xlfn.XLOOKUP(Data[[#This Row],[unqid]],'Quipt Prod Data'!L:L,'Quipt Prod Data'!B:B),"")</f>
        <v/>
      </c>
      <c r="E1102" s="1" t="str">
        <f>_xlfn.IFNA(_xlfn.XMATCH(Data[[#This Row],[unqid]],'Quipt Prod Data'!L:L,0),"")</f>
        <v/>
      </c>
      <c r="F1102" s="1" t="str">
        <f>IF(COUNTIF('Quipt Prod Data'!L:L,Data[[#This Row],[unqid]])=0,"",COUNTIF('Quipt Prod Data'!L:L,Data[[#This Row],[unqid]]))</f>
        <v/>
      </c>
    </row>
    <row r="1103" spans="1:6" x14ac:dyDescent="0.3">
      <c r="A1103" t="s">
        <v>1317</v>
      </c>
      <c r="B1103" t="s">
        <v>41</v>
      </c>
      <c r="C1103" t="s">
        <v>54</v>
      </c>
      <c r="D1103" s="1" t="str">
        <f>_xlfn.IFNA(_xlfn.XLOOKUP(Data[[#This Row],[unqid]],'Quipt Prod Data'!L:L,'Quipt Prod Data'!B:B),"")</f>
        <v/>
      </c>
      <c r="E1103" s="1" t="str">
        <f>_xlfn.IFNA(_xlfn.XMATCH(Data[[#This Row],[unqid]],'Quipt Prod Data'!L:L,0),"")</f>
        <v/>
      </c>
      <c r="F1103" s="1" t="str">
        <f>IF(COUNTIF('Quipt Prod Data'!L:L,Data[[#This Row],[unqid]])=0,"",COUNTIF('Quipt Prod Data'!L:L,Data[[#This Row],[unqid]]))</f>
        <v/>
      </c>
    </row>
    <row r="1104" spans="1:6" x14ac:dyDescent="0.3">
      <c r="A1104" t="s">
        <v>1318</v>
      </c>
      <c r="B1104" t="s">
        <v>41</v>
      </c>
      <c r="C1104" t="s">
        <v>54</v>
      </c>
      <c r="D1104" s="1" t="str">
        <f>_xlfn.IFNA(_xlfn.XLOOKUP(Data[[#This Row],[unqid]],'Quipt Prod Data'!L:L,'Quipt Prod Data'!B:B),"")</f>
        <v/>
      </c>
      <c r="E1104" s="1" t="str">
        <f>_xlfn.IFNA(_xlfn.XMATCH(Data[[#This Row],[unqid]],'Quipt Prod Data'!L:L,0),"")</f>
        <v/>
      </c>
      <c r="F1104" s="1" t="str">
        <f>IF(COUNTIF('Quipt Prod Data'!L:L,Data[[#This Row],[unqid]])=0,"",COUNTIF('Quipt Prod Data'!L:L,Data[[#This Row],[unqid]]))</f>
        <v/>
      </c>
    </row>
    <row r="1105" spans="1:6" x14ac:dyDescent="0.3">
      <c r="A1105" t="s">
        <v>1319</v>
      </c>
      <c r="B1105" t="s">
        <v>41</v>
      </c>
      <c r="C1105" t="s">
        <v>54</v>
      </c>
      <c r="D1105" s="1" t="str">
        <f>_xlfn.IFNA(_xlfn.XLOOKUP(Data[[#This Row],[unqid]],'Quipt Prod Data'!L:L,'Quipt Prod Data'!B:B),"")</f>
        <v/>
      </c>
      <c r="E1105" s="1" t="str">
        <f>_xlfn.IFNA(_xlfn.XMATCH(Data[[#This Row],[unqid]],'Quipt Prod Data'!L:L,0),"")</f>
        <v/>
      </c>
      <c r="F1105" s="1" t="str">
        <f>IF(COUNTIF('Quipt Prod Data'!L:L,Data[[#This Row],[unqid]])=0,"",COUNTIF('Quipt Prod Data'!L:L,Data[[#This Row],[unqid]]))</f>
        <v/>
      </c>
    </row>
    <row r="1106" spans="1:6" x14ac:dyDescent="0.3">
      <c r="A1106" t="s">
        <v>1320</v>
      </c>
      <c r="B1106" t="s">
        <v>33</v>
      </c>
      <c r="C1106" t="s">
        <v>27</v>
      </c>
      <c r="D1106" s="1" t="str">
        <f>_xlfn.IFNA(_xlfn.XLOOKUP(Data[[#This Row],[unqid]],'Quipt Prod Data'!L:L,'Quipt Prod Data'!B:B),"")</f>
        <v/>
      </c>
      <c r="E1106" s="1" t="str">
        <f>_xlfn.IFNA(_xlfn.XMATCH(Data[[#This Row],[unqid]],'Quipt Prod Data'!L:L,0),"")</f>
        <v/>
      </c>
      <c r="F1106" s="1" t="str">
        <f>IF(COUNTIF('Quipt Prod Data'!L:L,Data[[#This Row],[unqid]])=0,"",COUNTIF('Quipt Prod Data'!L:L,Data[[#This Row],[unqid]]))</f>
        <v/>
      </c>
    </row>
    <row r="1107" spans="1:6" x14ac:dyDescent="0.3">
      <c r="A1107" t="s">
        <v>1321</v>
      </c>
      <c r="B1107" t="s">
        <v>32</v>
      </c>
      <c r="C1107" t="s">
        <v>27</v>
      </c>
      <c r="D1107" s="1" t="str">
        <f>_xlfn.IFNA(_xlfn.XLOOKUP(Data[[#This Row],[unqid]],'Quipt Prod Data'!L:L,'Quipt Prod Data'!B:B),"")</f>
        <v/>
      </c>
      <c r="E1107" s="1" t="str">
        <f>_xlfn.IFNA(_xlfn.XMATCH(Data[[#This Row],[unqid]],'Quipt Prod Data'!L:L,0),"")</f>
        <v/>
      </c>
      <c r="F1107" s="1" t="str">
        <f>IF(COUNTIF('Quipt Prod Data'!L:L,Data[[#This Row],[unqid]])=0,"",COUNTIF('Quipt Prod Data'!L:L,Data[[#This Row],[unqid]]))</f>
        <v/>
      </c>
    </row>
    <row r="1108" spans="1:6" x14ac:dyDescent="0.3">
      <c r="A1108" t="s">
        <v>1322</v>
      </c>
      <c r="B1108" t="s">
        <v>61</v>
      </c>
      <c r="C1108" t="s">
        <v>53</v>
      </c>
      <c r="D1108" s="1" t="str">
        <f>_xlfn.IFNA(_xlfn.XLOOKUP(Data[[#This Row],[unqid]],'Quipt Prod Data'!L:L,'Quipt Prod Data'!B:B),"")</f>
        <v/>
      </c>
      <c r="E1108" s="1" t="str">
        <f>_xlfn.IFNA(_xlfn.XMATCH(Data[[#This Row],[unqid]],'Quipt Prod Data'!L:L,0),"")</f>
        <v/>
      </c>
      <c r="F1108" s="1" t="str">
        <f>IF(COUNTIF('Quipt Prod Data'!L:L,Data[[#This Row],[unqid]])=0,"",COUNTIF('Quipt Prod Data'!L:L,Data[[#This Row],[unqid]]))</f>
        <v/>
      </c>
    </row>
    <row r="1109" spans="1:6" x14ac:dyDescent="0.3">
      <c r="A1109" t="s">
        <v>1323</v>
      </c>
      <c r="B1109" t="s">
        <v>61</v>
      </c>
      <c r="C1109" t="s">
        <v>53</v>
      </c>
      <c r="D1109" s="1" t="str">
        <f>_xlfn.IFNA(_xlfn.XLOOKUP(Data[[#This Row],[unqid]],'Quipt Prod Data'!L:L,'Quipt Prod Data'!B:B),"")</f>
        <v/>
      </c>
      <c r="E1109" s="1" t="str">
        <f>_xlfn.IFNA(_xlfn.XMATCH(Data[[#This Row],[unqid]],'Quipt Prod Data'!L:L,0),"")</f>
        <v/>
      </c>
      <c r="F1109" s="1" t="str">
        <f>IF(COUNTIF('Quipt Prod Data'!L:L,Data[[#This Row],[unqid]])=0,"",COUNTIF('Quipt Prod Data'!L:L,Data[[#This Row],[unqid]]))</f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AC225-5A3B-4AD3-9034-0B34952BEE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Quipt Prod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Alodia Bendicio</dc:creator>
  <cp:lastModifiedBy>Alodia Keith C. Bendicio</cp:lastModifiedBy>
  <dcterms:created xsi:type="dcterms:W3CDTF">2025-08-26T14:04:11Z</dcterms:created>
  <dcterms:modified xsi:type="dcterms:W3CDTF">2025-10-10T08:11:01Z</dcterms:modified>
</cp:coreProperties>
</file>