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odia Bendicio\Downloads\"/>
    </mc:Choice>
  </mc:AlternateContent>
  <xr:revisionPtr revIDLastSave="0" documentId="13_ncr:1_{1968F427-6B2D-4A45-9088-9F44D9A9E076}" xr6:coauthVersionLast="47" xr6:coauthVersionMax="47" xr10:uidLastSave="{00000000-0000-0000-0000-000000000000}"/>
  <bookViews>
    <workbookView xWindow="-108" yWindow="-108" windowWidth="23256" windowHeight="12456" tabRatio="757" firstSheet="2" activeTab="5" xr2:uid="{00000000-000D-0000-FFFF-FFFF00000000}"/>
  </bookViews>
  <sheets>
    <sheet name="Links" sheetId="1" state="hidden" r:id="rId1"/>
    <sheet name="SLA" sheetId="2" state="hidden" r:id="rId2"/>
    <sheet name="reference" sheetId="4" r:id="rId3"/>
    <sheet name="Campaign Report" sheetId="15" r:id="rId4"/>
    <sheet name="Pivot" sheetId="6" r:id="rId5"/>
    <sheet name="Completion" sheetId="3" r:id="rId6"/>
    <sheet name="Sheet1" sheetId="13" r:id="rId7"/>
  </sheets>
  <definedNames>
    <definedName name="ExternalData_1" localSheetId="3" hidden="1">'Campaign Report'!$A$1:$AI$79</definedName>
    <definedName name="ExternalData_1" localSheetId="4" hidden="1">Pivot!#REF!</definedName>
  </definedNames>
  <calcPr calcId="191028"/>
  <pivotCaches>
    <pivotCache cacheId="10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3" l="1"/>
  <c r="J46" i="3"/>
  <c r="J47" i="3"/>
  <c r="J48" i="3"/>
  <c r="J49" i="3"/>
  <c r="J50" i="3"/>
  <c r="J51" i="3"/>
  <c r="J52" i="3"/>
  <c r="J53" i="3"/>
  <c r="J54" i="3"/>
  <c r="J45" i="3"/>
  <c r="F46" i="3"/>
  <c r="K46" i="3" s="1"/>
  <c r="F47" i="3"/>
  <c r="F48" i="3"/>
  <c r="F49" i="3"/>
  <c r="F50" i="3"/>
  <c r="F51" i="3"/>
  <c r="F52" i="3"/>
  <c r="F53" i="3"/>
  <c r="F54" i="3"/>
  <c r="F45" i="3"/>
  <c r="E46" i="3"/>
  <c r="E47" i="3"/>
  <c r="K47" i="3" s="1"/>
  <c r="E48" i="3"/>
  <c r="E49" i="3"/>
  <c r="K49" i="3" s="1"/>
  <c r="E50" i="3"/>
  <c r="E51" i="3"/>
  <c r="E52" i="3"/>
  <c r="E53" i="3"/>
  <c r="E54" i="3"/>
  <c r="E45" i="3"/>
  <c r="J32" i="3"/>
  <c r="J33" i="3"/>
  <c r="J34" i="3"/>
  <c r="J35" i="3"/>
  <c r="J36" i="3"/>
  <c r="J37" i="3"/>
  <c r="J38" i="3"/>
  <c r="J39" i="3"/>
  <c r="J40" i="3"/>
  <c r="J31" i="3"/>
  <c r="F32" i="3"/>
  <c r="K32" i="3" s="1"/>
  <c r="F33" i="3"/>
  <c r="F34" i="3"/>
  <c r="F35" i="3"/>
  <c r="K35" i="3" s="1"/>
  <c r="F36" i="3"/>
  <c r="F37" i="3"/>
  <c r="F38" i="3"/>
  <c r="F39" i="3"/>
  <c r="F40" i="3"/>
  <c r="F31" i="3"/>
  <c r="E32" i="3"/>
  <c r="E33" i="3"/>
  <c r="E34" i="3"/>
  <c r="E35" i="3"/>
  <c r="E36" i="3"/>
  <c r="E37" i="3"/>
  <c r="E38" i="3"/>
  <c r="E39" i="3"/>
  <c r="E40" i="3"/>
  <c r="E31" i="3"/>
  <c r="J18" i="3"/>
  <c r="J19" i="3"/>
  <c r="J20" i="3"/>
  <c r="J21" i="3"/>
  <c r="J22" i="3"/>
  <c r="J23" i="3"/>
  <c r="J24" i="3"/>
  <c r="J25" i="3"/>
  <c r="J26" i="3"/>
  <c r="J17" i="3"/>
  <c r="F18" i="3"/>
  <c r="F19" i="3"/>
  <c r="F20" i="3"/>
  <c r="F21" i="3"/>
  <c r="K21" i="3" s="1"/>
  <c r="F22" i="3"/>
  <c r="F23" i="3"/>
  <c r="F24" i="3"/>
  <c r="F25" i="3"/>
  <c r="F26" i="3"/>
  <c r="F17" i="3"/>
  <c r="E18" i="3"/>
  <c r="E19" i="3"/>
  <c r="E20" i="3"/>
  <c r="E21" i="3"/>
  <c r="E22" i="3"/>
  <c r="E23" i="3"/>
  <c r="E24" i="3"/>
  <c r="E25" i="3"/>
  <c r="E26" i="3"/>
  <c r="E17" i="3"/>
  <c r="AJ2" i="15"/>
  <c r="AJ3" i="15"/>
  <c r="AJ4" i="15"/>
  <c r="AJ5" i="15"/>
  <c r="AJ6" i="15"/>
  <c r="AJ7" i="15"/>
  <c r="AJ8" i="15"/>
  <c r="AJ9" i="15"/>
  <c r="AJ10" i="15"/>
  <c r="AJ11" i="15"/>
  <c r="AJ12" i="15"/>
  <c r="AJ13" i="15"/>
  <c r="AJ14" i="15"/>
  <c r="AJ15" i="15"/>
  <c r="AJ16" i="15"/>
  <c r="AJ17" i="15"/>
  <c r="AJ18" i="15"/>
  <c r="AJ19" i="15"/>
  <c r="AJ20" i="15"/>
  <c r="AJ21" i="15"/>
  <c r="AJ22" i="15"/>
  <c r="AJ23" i="15"/>
  <c r="AJ24" i="15"/>
  <c r="AJ25" i="15"/>
  <c r="AJ26" i="15"/>
  <c r="AJ27" i="15"/>
  <c r="AJ28" i="15"/>
  <c r="AJ29" i="15"/>
  <c r="AJ30" i="15"/>
  <c r="AJ31" i="15"/>
  <c r="AJ32" i="15"/>
  <c r="AJ33" i="15"/>
  <c r="AJ34" i="15"/>
  <c r="AJ35" i="15"/>
  <c r="AJ36" i="15"/>
  <c r="AJ37" i="15"/>
  <c r="AJ38" i="15"/>
  <c r="AJ39" i="15"/>
  <c r="AJ40" i="15"/>
  <c r="AJ41" i="15"/>
  <c r="AJ42" i="15"/>
  <c r="AJ43" i="15"/>
  <c r="AJ44" i="15"/>
  <c r="AJ45" i="15"/>
  <c r="AJ46" i="15"/>
  <c r="AJ47" i="15"/>
  <c r="AJ48" i="15"/>
  <c r="AJ49" i="15"/>
  <c r="AJ50" i="15"/>
  <c r="AJ51" i="15"/>
  <c r="AJ52" i="15"/>
  <c r="AJ53" i="15"/>
  <c r="AJ54" i="15"/>
  <c r="AJ55" i="15"/>
  <c r="AJ56" i="15"/>
  <c r="AJ57" i="15"/>
  <c r="AJ58" i="15"/>
  <c r="AJ59" i="15"/>
  <c r="AJ60" i="15"/>
  <c r="AJ61" i="15"/>
  <c r="AJ62" i="15"/>
  <c r="AJ63" i="15"/>
  <c r="AJ64" i="15"/>
  <c r="AJ65" i="15"/>
  <c r="AJ66" i="15"/>
  <c r="AJ67" i="15"/>
  <c r="AJ68" i="15"/>
  <c r="AJ69" i="15"/>
  <c r="AJ70" i="15"/>
  <c r="AJ71" i="15"/>
  <c r="AJ72" i="15"/>
  <c r="AJ73" i="15"/>
  <c r="AJ74" i="15"/>
  <c r="AJ75" i="15"/>
  <c r="AJ76" i="15"/>
  <c r="AJ77" i="15"/>
  <c r="AJ78" i="15"/>
  <c r="AJ79" i="15"/>
  <c r="AK2" i="15"/>
  <c r="AK3" i="15"/>
  <c r="AK4" i="15"/>
  <c r="AK5" i="15"/>
  <c r="AK6" i="15"/>
  <c r="AK7" i="15"/>
  <c r="AK8" i="15"/>
  <c r="AK9" i="15"/>
  <c r="AK10" i="15"/>
  <c r="AK11" i="15"/>
  <c r="AK12" i="15"/>
  <c r="AK13" i="15"/>
  <c r="AK14" i="15"/>
  <c r="AK15" i="15"/>
  <c r="AK16" i="15"/>
  <c r="AK17" i="15"/>
  <c r="AK18" i="15"/>
  <c r="AK19" i="15"/>
  <c r="AK20" i="15"/>
  <c r="AK21" i="15"/>
  <c r="AK22" i="15"/>
  <c r="AK23" i="15"/>
  <c r="AK24" i="15"/>
  <c r="AK25" i="15"/>
  <c r="AK26" i="15"/>
  <c r="AK27" i="15"/>
  <c r="AK28" i="15"/>
  <c r="AK29" i="15"/>
  <c r="AK30" i="15"/>
  <c r="AK31" i="15"/>
  <c r="AK32" i="15"/>
  <c r="AK33" i="15"/>
  <c r="AK34" i="15"/>
  <c r="AK35" i="15"/>
  <c r="AK36" i="15"/>
  <c r="AK37" i="15"/>
  <c r="AK38" i="15"/>
  <c r="AK39" i="15"/>
  <c r="AK40" i="15"/>
  <c r="AK41" i="15"/>
  <c r="AK42" i="15"/>
  <c r="AK43" i="15"/>
  <c r="AK44" i="15"/>
  <c r="AK45" i="15"/>
  <c r="AK46" i="15"/>
  <c r="AK47" i="15"/>
  <c r="AK48" i="15"/>
  <c r="AK49" i="15"/>
  <c r="AK50" i="15"/>
  <c r="AK51" i="15"/>
  <c r="AK52" i="15"/>
  <c r="AK53" i="15"/>
  <c r="AK54" i="15"/>
  <c r="AK55" i="15"/>
  <c r="AK56" i="15"/>
  <c r="AK57" i="15"/>
  <c r="AK58" i="15"/>
  <c r="AK59" i="15"/>
  <c r="AK60" i="15"/>
  <c r="AK61" i="15"/>
  <c r="AK62" i="15"/>
  <c r="AK63" i="15"/>
  <c r="AK64" i="15"/>
  <c r="AK65" i="15"/>
  <c r="AK66" i="15"/>
  <c r="AK67" i="15"/>
  <c r="AK68" i="15"/>
  <c r="AK69" i="15"/>
  <c r="AK70" i="15"/>
  <c r="AK71" i="15"/>
  <c r="AK72" i="15"/>
  <c r="AK73" i="15"/>
  <c r="AK74" i="15"/>
  <c r="AK75" i="15"/>
  <c r="AK76" i="15"/>
  <c r="AK77" i="15"/>
  <c r="AK78" i="15"/>
  <c r="AK79" i="15"/>
  <c r="AL2" i="15"/>
  <c r="AL3" i="15"/>
  <c r="AL4" i="15"/>
  <c r="AL5" i="15"/>
  <c r="AL6" i="15"/>
  <c r="AL7" i="15"/>
  <c r="AL8" i="15"/>
  <c r="AL9" i="15"/>
  <c r="AL10" i="15"/>
  <c r="AL11" i="15"/>
  <c r="AL12" i="15"/>
  <c r="AL13" i="15"/>
  <c r="AL14" i="15"/>
  <c r="AL15" i="15"/>
  <c r="AL16" i="15"/>
  <c r="AL17" i="15"/>
  <c r="AL18" i="15"/>
  <c r="AL19" i="15"/>
  <c r="AL20" i="15"/>
  <c r="AL21" i="15"/>
  <c r="AL22" i="15"/>
  <c r="AL23" i="15"/>
  <c r="AL24" i="15"/>
  <c r="AL25" i="15"/>
  <c r="AL26" i="15"/>
  <c r="AL27" i="15"/>
  <c r="AL28" i="15"/>
  <c r="AL29" i="15"/>
  <c r="AL30" i="15"/>
  <c r="AL31" i="15"/>
  <c r="AL32" i="15"/>
  <c r="AL33" i="15"/>
  <c r="AL34" i="15"/>
  <c r="AL35" i="15"/>
  <c r="AL36" i="15"/>
  <c r="AL37" i="15"/>
  <c r="AL38" i="15"/>
  <c r="AL39" i="15"/>
  <c r="AL40" i="15"/>
  <c r="AL41" i="15"/>
  <c r="AL42" i="15"/>
  <c r="AL43" i="15"/>
  <c r="AL44" i="15"/>
  <c r="AL45" i="15"/>
  <c r="AL46" i="15"/>
  <c r="AL47" i="15"/>
  <c r="AL48" i="15"/>
  <c r="AL49" i="15"/>
  <c r="AL50" i="15"/>
  <c r="AL51" i="15"/>
  <c r="AL52" i="15"/>
  <c r="AL53" i="15"/>
  <c r="AL54" i="15"/>
  <c r="AL55" i="15"/>
  <c r="AL56" i="15"/>
  <c r="AL57" i="15"/>
  <c r="AL58" i="15"/>
  <c r="AL59" i="15"/>
  <c r="AL60" i="15"/>
  <c r="AL61" i="15"/>
  <c r="AL62" i="15"/>
  <c r="AL63" i="15"/>
  <c r="AL64" i="15"/>
  <c r="AL65" i="15"/>
  <c r="AL66" i="15"/>
  <c r="AL67" i="15"/>
  <c r="AL68" i="15"/>
  <c r="AL69" i="15"/>
  <c r="AL70" i="15"/>
  <c r="AL71" i="15"/>
  <c r="AL72" i="15"/>
  <c r="AL73" i="15"/>
  <c r="AL74" i="15"/>
  <c r="AL75" i="15"/>
  <c r="AL76" i="15"/>
  <c r="AL77" i="15"/>
  <c r="AL78" i="15"/>
  <c r="AL79" i="15"/>
  <c r="K18" i="3"/>
  <c r="K19" i="3"/>
  <c r="K20" i="3"/>
  <c r="K22" i="3"/>
  <c r="K23" i="3"/>
  <c r="K24" i="3"/>
  <c r="K17" i="3"/>
  <c r="K48" i="3"/>
  <c r="K52" i="3"/>
  <c r="K45" i="3"/>
  <c r="K33" i="3"/>
  <c r="K34" i="3"/>
  <c r="K36" i="3"/>
  <c r="K37" i="3"/>
  <c r="K38" i="3"/>
  <c r="K39" i="3"/>
  <c r="K40" i="3"/>
  <c r="K31" i="3"/>
  <c r="K54" i="3" l="1"/>
  <c r="K53" i="3"/>
  <c r="K51" i="3"/>
  <c r="K50" i="3"/>
  <c r="K26" i="3"/>
  <c r="K25" i="3"/>
  <c r="J41" i="3"/>
  <c r="J27" i="3"/>
  <c r="J4" i="3"/>
  <c r="J5" i="3"/>
  <c r="J6" i="3"/>
  <c r="J7" i="3"/>
  <c r="J8" i="3"/>
  <c r="J9" i="3"/>
  <c r="J10" i="3"/>
  <c r="J11" i="3"/>
  <c r="J12" i="3"/>
  <c r="J3" i="3"/>
  <c r="F3" i="3"/>
  <c r="K12" i="3"/>
  <c r="J13" i="3" l="1"/>
  <c r="K55" i="3"/>
  <c r="F55" i="3"/>
  <c r="E55" i="3"/>
  <c r="K41" i="3"/>
  <c r="F41" i="3"/>
  <c r="E41" i="3"/>
  <c r="K27" i="3"/>
  <c r="F27" i="3"/>
  <c r="E27" i="3"/>
  <c r="S26" i="6" l="1"/>
  <c r="S27" i="6"/>
  <c r="S28" i="6"/>
  <c r="S29" i="6"/>
  <c r="S30" i="6"/>
  <c r="S31" i="6"/>
  <c r="S32" i="6"/>
  <c r="S33" i="6"/>
  <c r="S34" i="6"/>
  <c r="S35" i="6"/>
  <c r="S20" i="6" l="1"/>
  <c r="S21" i="6"/>
  <c r="S22" i="6"/>
  <c r="S23" i="6"/>
  <c r="S24" i="6"/>
  <c r="S25" i="6"/>
  <c r="E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I55" i="3"/>
  <c r="C55" i="3"/>
  <c r="B53" i="3"/>
  <c r="H53" i="3" s="1"/>
  <c r="B52" i="3"/>
  <c r="H52" i="3" s="1"/>
  <c r="B51" i="3"/>
  <c r="H51" i="3" s="1"/>
  <c r="B50" i="3"/>
  <c r="H50" i="3" s="1"/>
  <c r="B49" i="3"/>
  <c r="H49" i="3" s="1"/>
  <c r="B48" i="3"/>
  <c r="G48" i="3" s="1"/>
  <c r="L48" i="3" s="1"/>
  <c r="M48" i="3" s="1"/>
  <c r="B47" i="3"/>
  <c r="H47" i="3" s="1"/>
  <c r="B46" i="3"/>
  <c r="H46" i="3" s="1"/>
  <c r="B45" i="3"/>
  <c r="G45" i="3" s="1"/>
  <c r="L45" i="3" s="1"/>
  <c r="I41" i="3"/>
  <c r="C41" i="3"/>
  <c r="B39" i="3"/>
  <c r="H39" i="3" s="1"/>
  <c r="B38" i="3"/>
  <c r="G38" i="3" s="1"/>
  <c r="L38" i="3" s="1"/>
  <c r="M38" i="3" s="1"/>
  <c r="B37" i="3"/>
  <c r="H37" i="3" s="1"/>
  <c r="B36" i="3"/>
  <c r="G36" i="3" s="1"/>
  <c r="L36" i="3" s="1"/>
  <c r="M36" i="3" s="1"/>
  <c r="B35" i="3"/>
  <c r="H35" i="3" s="1"/>
  <c r="B34" i="3"/>
  <c r="H34" i="3" s="1"/>
  <c r="B33" i="3"/>
  <c r="H33" i="3" s="1"/>
  <c r="B32" i="3"/>
  <c r="G32" i="3" s="1"/>
  <c r="L32" i="3" s="1"/>
  <c r="M32" i="3" s="1"/>
  <c r="B31" i="3"/>
  <c r="H31" i="3" s="1"/>
  <c r="I27" i="3"/>
  <c r="C27" i="3"/>
  <c r="B25" i="3"/>
  <c r="H25" i="3" s="1"/>
  <c r="B24" i="3"/>
  <c r="H24" i="3" s="1"/>
  <c r="B23" i="3"/>
  <c r="H23" i="3" s="1"/>
  <c r="B22" i="3"/>
  <c r="H22" i="3" s="1"/>
  <c r="B21" i="3"/>
  <c r="G21" i="3" s="1"/>
  <c r="L21" i="3" s="1"/>
  <c r="M21" i="3" s="1"/>
  <c r="B20" i="3"/>
  <c r="G20" i="3" s="1"/>
  <c r="L20" i="3" s="1"/>
  <c r="M20" i="3" s="1"/>
  <c r="B19" i="3"/>
  <c r="H19" i="3" s="1"/>
  <c r="B18" i="3"/>
  <c r="H18" i="3" s="1"/>
  <c r="B17" i="3"/>
  <c r="H17" i="3" s="1"/>
  <c r="I13" i="3"/>
  <c r="C13" i="3"/>
  <c r="B11" i="3"/>
  <c r="B10" i="3"/>
  <c r="B9" i="3"/>
  <c r="B8" i="3"/>
  <c r="B7" i="3"/>
  <c r="B6" i="3"/>
  <c r="B5" i="3"/>
  <c r="B4" i="3"/>
  <c r="B3" i="3"/>
  <c r="N31" i="3" l="1"/>
  <c r="K6" i="3"/>
  <c r="K11" i="3"/>
  <c r="K5" i="3"/>
  <c r="H21" i="3"/>
  <c r="K9" i="3"/>
  <c r="K3" i="3"/>
  <c r="K8" i="3"/>
  <c r="K7" i="3"/>
  <c r="K10" i="3"/>
  <c r="K4" i="3"/>
  <c r="B55" i="3"/>
  <c r="H55" i="3" s="1"/>
  <c r="B41" i="3"/>
  <c r="G41" i="3" s="1"/>
  <c r="L41" i="3" s="1"/>
  <c r="M41" i="3" s="1"/>
  <c r="H38" i="3"/>
  <c r="H3" i="3"/>
  <c r="E13" i="3"/>
  <c r="H6" i="3"/>
  <c r="K13" i="3"/>
  <c r="H7" i="3"/>
  <c r="G8" i="3"/>
  <c r="H9" i="3"/>
  <c r="G10" i="3"/>
  <c r="G11" i="3"/>
  <c r="H4" i="3"/>
  <c r="H5" i="3"/>
  <c r="B13" i="3"/>
  <c r="G37" i="3"/>
  <c r="L37" i="3" s="1"/>
  <c r="M37" i="3" s="1"/>
  <c r="G17" i="3"/>
  <c r="L17" i="3" s="1"/>
  <c r="M17" i="3" s="1"/>
  <c r="G46" i="3"/>
  <c r="L46" i="3" s="1"/>
  <c r="M46" i="3" s="1"/>
  <c r="H36" i="3"/>
  <c r="B27" i="3"/>
  <c r="G47" i="3"/>
  <c r="L47" i="3" s="1"/>
  <c r="M47" i="3" s="1"/>
  <c r="G18" i="3"/>
  <c r="L18" i="3" s="1"/>
  <c r="M18" i="3" s="1"/>
  <c r="G22" i="3"/>
  <c r="L22" i="3" s="1"/>
  <c r="M22" i="3" s="1"/>
  <c r="G23" i="3"/>
  <c r="L23" i="3" s="1"/>
  <c r="M23" i="3" s="1"/>
  <c r="G52" i="3"/>
  <c r="L52" i="3" s="1"/>
  <c r="M52" i="3" s="1"/>
  <c r="H48" i="3"/>
  <c r="G3" i="3"/>
  <c r="H45" i="3"/>
  <c r="G53" i="3"/>
  <c r="L53" i="3" s="1"/>
  <c r="M53" i="3" s="1"/>
  <c r="H20" i="3"/>
  <c r="G4" i="3"/>
  <c r="G24" i="3"/>
  <c r="L24" i="3" s="1"/>
  <c r="M24" i="3" s="1"/>
  <c r="G35" i="3"/>
  <c r="L35" i="3" s="1"/>
  <c r="M35" i="3" s="1"/>
  <c r="G5" i="3"/>
  <c r="H8" i="3"/>
  <c r="G25" i="3"/>
  <c r="L25" i="3" s="1"/>
  <c r="M25" i="3" s="1"/>
  <c r="H32" i="3"/>
  <c r="G49" i="3"/>
  <c r="L49" i="3" s="1"/>
  <c r="M49" i="3" s="1"/>
  <c r="G19" i="3"/>
  <c r="L19" i="3" s="1"/>
  <c r="M19" i="3" s="1"/>
  <c r="G39" i="3"/>
  <c r="L39" i="3" s="1"/>
  <c r="M39" i="3" s="1"/>
  <c r="G9" i="3"/>
  <c r="G33" i="3"/>
  <c r="L33" i="3" s="1"/>
  <c r="M33" i="3" s="1"/>
  <c r="G6" i="3"/>
  <c r="G50" i="3"/>
  <c r="L50" i="3" s="1"/>
  <c r="M50" i="3" s="1"/>
  <c r="H11" i="3"/>
  <c r="G34" i="3"/>
  <c r="L34" i="3" s="1"/>
  <c r="M34" i="3" s="1"/>
  <c r="G7" i="3"/>
  <c r="H10" i="3"/>
  <c r="G31" i="3"/>
  <c r="L31" i="3" s="1"/>
  <c r="G51" i="3"/>
  <c r="L51" i="3" s="1"/>
  <c r="M51" i="3" s="1"/>
  <c r="M31" i="3" l="1"/>
  <c r="M45" i="3"/>
  <c r="N45" i="3"/>
  <c r="H41" i="3"/>
  <c r="L11" i="3"/>
  <c r="M11" i="3" s="1"/>
  <c r="L5" i="3"/>
  <c r="M5" i="3" s="1"/>
  <c r="L6" i="3"/>
  <c r="M6" i="3" s="1"/>
  <c r="L9" i="3"/>
  <c r="M9" i="3" s="1"/>
  <c r="G55" i="3"/>
  <c r="L55" i="3" s="1"/>
  <c r="M55" i="3" s="1"/>
  <c r="L4" i="3"/>
  <c r="M4" i="3" s="1"/>
  <c r="L10" i="3"/>
  <c r="M10" i="3" s="1"/>
  <c r="L3" i="3"/>
  <c r="M3" i="3" s="1"/>
  <c r="L8" i="3"/>
  <c r="M8" i="3" s="1"/>
  <c r="L7" i="3"/>
  <c r="M7" i="3" s="1"/>
  <c r="S19" i="6"/>
  <c r="S12" i="6" l="1"/>
  <c r="S13" i="6"/>
  <c r="S14" i="6"/>
  <c r="S15" i="6"/>
  <c r="S16" i="6"/>
  <c r="S17" i="6"/>
  <c r="S18" i="6"/>
  <c r="S3" i="6"/>
  <c r="S4" i="6"/>
  <c r="S5" i="6"/>
  <c r="S6" i="6"/>
  <c r="S7" i="6"/>
  <c r="S8" i="6"/>
  <c r="S9" i="6"/>
  <c r="S10" i="6"/>
  <c r="S11" i="6"/>
  <c r="S2" i="6"/>
  <c r="P10" i="6" l="1"/>
  <c r="J8" i="6"/>
  <c r="D6" i="6"/>
  <c r="J6" i="6"/>
  <c r="P11" i="6"/>
  <c r="J9" i="6"/>
  <c r="D7" i="6"/>
  <c r="D3" i="6"/>
  <c r="D5" i="6"/>
  <c r="J10" i="6"/>
  <c r="D8" i="6"/>
  <c r="P7" i="6"/>
  <c r="J11" i="6"/>
  <c r="D9" i="6"/>
  <c r="J7" i="6"/>
  <c r="D10" i="6"/>
  <c r="J5" i="6"/>
  <c r="P3" i="6"/>
  <c r="D11" i="6"/>
  <c r="P8" i="6"/>
  <c r="P9" i="6"/>
  <c r="P4" i="6"/>
  <c r="P2" i="6"/>
  <c r="P5" i="6"/>
  <c r="J3" i="6"/>
  <c r="D2" i="6"/>
  <c r="P6" i="6"/>
  <c r="J4" i="6"/>
  <c r="J2" i="6"/>
  <c r="D4" i="6"/>
  <c r="N6" i="6"/>
  <c r="N5" i="6"/>
  <c r="N4" i="6"/>
  <c r="N3" i="6"/>
  <c r="N2" i="6"/>
  <c r="H11" i="6"/>
  <c r="H10" i="6"/>
  <c r="H9" i="6"/>
  <c r="H8" i="6"/>
  <c r="H7" i="6"/>
  <c r="N7" i="6"/>
  <c r="H6" i="6"/>
  <c r="N11" i="6"/>
  <c r="H5" i="6"/>
  <c r="N10" i="6"/>
  <c r="H4" i="6"/>
  <c r="N9" i="6"/>
  <c r="H3" i="6"/>
  <c r="N8" i="6"/>
  <c r="H2" i="6"/>
  <c r="B9" i="6"/>
  <c r="B8" i="6"/>
  <c r="B5" i="6"/>
  <c r="B6" i="6"/>
  <c r="B3" i="6"/>
  <c r="B11" i="6"/>
  <c r="B10" i="6"/>
  <c r="B2" i="6"/>
  <c r="B7" i="6"/>
  <c r="B4" i="6"/>
  <c r="O10" i="6"/>
  <c r="O8" i="6"/>
  <c r="O11" i="6"/>
  <c r="O9" i="6"/>
  <c r="O7" i="6"/>
  <c r="O2" i="6"/>
  <c r="O6" i="6"/>
  <c r="O4" i="6"/>
  <c r="O3" i="6"/>
  <c r="O5" i="6"/>
  <c r="C6" i="6"/>
  <c r="C5" i="6"/>
  <c r="C8" i="6"/>
  <c r="C4" i="6"/>
  <c r="C3" i="6"/>
  <c r="C2" i="6"/>
  <c r="I5" i="6"/>
  <c r="I3" i="6"/>
  <c r="I11" i="6"/>
  <c r="I10" i="6"/>
  <c r="K10" i="6" s="1"/>
  <c r="C11" i="6"/>
  <c r="E11" i="6" s="1"/>
  <c r="I9" i="6"/>
  <c r="C9" i="6"/>
  <c r="I8" i="6"/>
  <c r="I7" i="6"/>
  <c r="I6" i="6"/>
  <c r="C7" i="6"/>
  <c r="I4" i="6"/>
  <c r="C10" i="6"/>
  <c r="I2" i="6"/>
  <c r="Q4" i="6" l="1"/>
  <c r="K6" i="6"/>
  <c r="K11" i="6"/>
  <c r="E10" i="6"/>
  <c r="K7" i="6"/>
  <c r="K4" i="6"/>
  <c r="Q6" i="6"/>
  <c r="Q7" i="6"/>
  <c r="Q8" i="6"/>
  <c r="K9" i="6"/>
  <c r="E6" i="6"/>
  <c r="E3" i="6"/>
  <c r="E2" i="6"/>
  <c r="Q10" i="6"/>
  <c r="K2" i="6"/>
  <c r="Q2" i="6"/>
  <c r="E4" i="6"/>
  <c r="Q5" i="6"/>
  <c r="K8" i="6"/>
  <c r="Q9" i="6"/>
  <c r="K3" i="6"/>
  <c r="E8" i="6"/>
  <c r="E7" i="6"/>
  <c r="E9" i="6"/>
  <c r="K5" i="6"/>
  <c r="E5" i="6"/>
  <c r="Q3" i="6"/>
  <c r="Q11" i="6"/>
  <c r="F13" i="3"/>
  <c r="H13" i="3" s="1"/>
  <c r="G27" i="3"/>
  <c r="L27" i="3" s="1"/>
  <c r="M27" i="3" s="1"/>
  <c r="H27" i="3"/>
  <c r="G13" i="3" l="1"/>
  <c r="L13" i="3" s="1"/>
  <c r="M1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814957-D0B4-44B0-99D1-B4DE07D513E7}" keepAlive="1" name="Query - Campaign Report xlsx" description="Connection to the 'Campaign Report xlsx' query in the workbook." type="5" refreshedVersion="8" background="1" saveData="1">
    <dbPr connection="Provider=Microsoft.Mashup.OleDb.1;Data Source=$Workbook$;Location=&quot;Campaign Report xlsx&quot;;Extended Properties=&quot;&quot;" command="SELECT * FROM [Campaign Report xlsx]"/>
  </connection>
</connections>
</file>

<file path=xl/sharedStrings.xml><?xml version="1.0" encoding="utf-8"?>
<sst xmlns="http://schemas.openxmlformats.org/spreadsheetml/2006/main" count="1631" uniqueCount="430">
  <si>
    <t>Helpdesk:</t>
  </si>
  <si>
    <t>https://adapthealthhelpdesk.freshservice.com/support/tickets/</t>
  </si>
  <si>
    <t>https://hbos.freshdesk.com/support/tickets/new</t>
  </si>
  <si>
    <t>Dashboard</t>
  </si>
  <si>
    <t>Performance Dashboard (Revised) (google.com)</t>
  </si>
  <si>
    <t>Count of Days Grouping</t>
  </si>
  <si>
    <t>Column Labels</t>
  </si>
  <si>
    <t>WORKFLOW</t>
  </si>
  <si>
    <t>RPH</t>
  </si>
  <si>
    <t>Hrts</t>
  </si>
  <si>
    <t>Days to Work</t>
  </si>
  <si>
    <t>FTE</t>
  </si>
  <si>
    <t>SLA</t>
  </si>
  <si>
    <t>Row Labels</t>
  </si>
  <si>
    <t>3 or less</t>
  </si>
  <si>
    <t>4 to 7</t>
  </si>
  <si>
    <t>7 to 10</t>
  </si>
  <si>
    <t>11 to 14</t>
  </si>
  <si>
    <t>15 to 21</t>
  </si>
  <si>
    <t>22 to 30</t>
  </si>
  <si>
    <t>31 to 60</t>
  </si>
  <si>
    <t>61 to 90</t>
  </si>
  <si>
    <t>91 to 120</t>
  </si>
  <si>
    <t>121 to 180</t>
  </si>
  <si>
    <t>181 plus</t>
  </si>
  <si>
    <t>Grand Total</t>
  </si>
  <si>
    <t>DCAH</t>
  </si>
  <si>
    <t>Audit Only</t>
  </si>
  <si>
    <t>PCAH</t>
  </si>
  <si>
    <t>Benefit Verification</t>
  </si>
  <si>
    <t>Confirmed Sales</t>
  </si>
  <si>
    <t>Doctor Call</t>
  </si>
  <si>
    <t>Edocument</t>
  </si>
  <si>
    <t>Doctor Denied</t>
  </si>
  <si>
    <t>Edocument Exceptions List</t>
  </si>
  <si>
    <t>Doctor Research</t>
  </si>
  <si>
    <t>Inbound Call</t>
  </si>
  <si>
    <t>1% Abandoned Rate</t>
  </si>
  <si>
    <t>Fax Research</t>
  </si>
  <si>
    <t>DCAH Scrubs</t>
  </si>
  <si>
    <t>Patient Follow Up Call</t>
  </si>
  <si>
    <t>ARM/FTP</t>
  </si>
  <si>
    <t>Rework</t>
  </si>
  <si>
    <t>VSA</t>
  </si>
  <si>
    <t>Rx Chase</t>
  </si>
  <si>
    <t>Benver</t>
  </si>
  <si>
    <t>Aging 180 days</t>
  </si>
  <si>
    <t>Friday</t>
  </si>
  <si>
    <t>Aging 30 days</t>
  </si>
  <si>
    <t>UHC Special Project</t>
  </si>
  <si>
    <t>CDT review</t>
  </si>
  <si>
    <t>FaxRes</t>
  </si>
  <si>
    <t>DocRes</t>
  </si>
  <si>
    <t>DocMatch</t>
  </si>
  <si>
    <t>FaxMap</t>
  </si>
  <si>
    <t>AH DIAB pending</t>
  </si>
  <si>
    <t>FaxReview</t>
  </si>
  <si>
    <t>Email/VM Response</t>
  </si>
  <si>
    <t>Blank Held</t>
  </si>
  <si>
    <t>VA MCD</t>
  </si>
  <si>
    <t>TriCare</t>
  </si>
  <si>
    <t>AtRisk</t>
  </si>
  <si>
    <t>Age Resting Orders Review</t>
  </si>
  <si>
    <t>Days Grouping</t>
  </si>
  <si>
    <t>WKS16</t>
  </si>
  <si>
    <t>Status</t>
  </si>
  <si>
    <t>SubStatus</t>
  </si>
  <si>
    <t>-</t>
  </si>
  <si>
    <t>Call First</t>
  </si>
  <si>
    <t>EDocument</t>
  </si>
  <si>
    <t>Edocument Attempts Exhausted</t>
  </si>
  <si>
    <t>FTP Post</t>
  </si>
  <si>
    <t>Max Attempts</t>
  </si>
  <si>
    <t>POC Email Attempts Exhausted</t>
  </si>
  <si>
    <t>09/13/2024 - 12:30</t>
  </si>
  <si>
    <t>09/13/2024 EOD</t>
  </si>
  <si>
    <t>Doctor Match</t>
  </si>
  <si>
    <t>Callshaper campaign</t>
  </si>
  <si>
    <t>PPH/RPH</t>
  </si>
  <si>
    <t>Aging</t>
  </si>
  <si>
    <t>Agent</t>
  </si>
  <si>
    <t>Agent Email</t>
  </si>
  <si>
    <t>Calls</t>
  </si>
  <si>
    <t>Calls/Hr</t>
  </si>
  <si>
    <t>Talk</t>
  </si>
  <si>
    <t>Wrap Up</t>
  </si>
  <si>
    <t>Conv</t>
  </si>
  <si>
    <t>Conv %</t>
  </si>
  <si>
    <t>Conv/Hr</t>
  </si>
  <si>
    <t>Points</t>
  </si>
  <si>
    <t>Points/Hr</t>
  </si>
  <si>
    <t>Logged In</t>
  </si>
  <si>
    <t>Eff %</t>
  </si>
  <si>
    <t>AAT</t>
  </si>
  <si>
    <t>AHT</t>
  </si>
  <si>
    <t>ATT</t>
  </si>
  <si>
    <t>AWT</t>
  </si>
  <si>
    <t>Administrative</t>
  </si>
  <si>
    <t>Break</t>
  </si>
  <si>
    <t>Coaching</t>
  </si>
  <si>
    <t>Unavailable</t>
  </si>
  <si>
    <t>QA Score</t>
  </si>
  <si>
    <t>Scorecards</t>
  </si>
  <si>
    <t>Passed</t>
  </si>
  <si>
    <t>Auto Fails</t>
  </si>
  <si>
    <t>Holds</t>
  </si>
  <si>
    <t>Hold</t>
  </si>
  <si>
    <t>Hold/Call</t>
  </si>
  <si>
    <t>Rings Tot</t>
  </si>
  <si>
    <t>Rings Ans</t>
  </si>
  <si>
    <t>Rings Decl</t>
  </si>
  <si>
    <t>Rings Timeout</t>
  </si>
  <si>
    <t>Rings Miss</t>
  </si>
  <si>
    <t>Rings Aban</t>
  </si>
  <si>
    <t>Site</t>
  </si>
  <si>
    <t>AgentName</t>
  </si>
  <si>
    <t>Workflow</t>
  </si>
  <si>
    <t>BCD</t>
  </si>
  <si>
    <t>Hours</t>
  </si>
  <si>
    <t>Completes</t>
  </si>
  <si>
    <r>
      <t>RPH/</t>
    </r>
    <r>
      <rPr>
        <b/>
        <sz val="10"/>
        <color theme="5" tint="0.59999389629810485"/>
        <rFont val="Arial"/>
        <family val="2"/>
      </rPr>
      <t>PPH</t>
    </r>
  </si>
  <si>
    <t>ILO</t>
  </si>
  <si>
    <t>BTG</t>
  </si>
  <si>
    <t>CAMPAIGN BASE</t>
  </si>
  <si>
    <t>Sum of Calls</t>
  </si>
  <si>
    <t>Sum of Logged In</t>
  </si>
  <si>
    <t>Sum of RPH</t>
  </si>
  <si>
    <t>Sum of PPH</t>
  </si>
  <si>
    <t>BCD-VSA</t>
  </si>
  <si>
    <t>ILO-VSA</t>
  </si>
  <si>
    <t>BTG-VSA</t>
  </si>
  <si>
    <t>BCD-Rework</t>
  </si>
  <si>
    <t>ILO-Rework</t>
  </si>
  <si>
    <t>BTG-Rework</t>
  </si>
  <si>
    <t>BCD-Aging</t>
  </si>
  <si>
    <t>ILO-Aging</t>
  </si>
  <si>
    <t>BTG-Aging</t>
  </si>
  <si>
    <t>OVERALL</t>
  </si>
  <si>
    <t>Campaign</t>
  </si>
  <si>
    <t>RECORDS ASSIGNED</t>
  </si>
  <si>
    <t>Headcount Assigned</t>
  </si>
  <si>
    <t>Hours Assigned</t>
  </si>
  <si>
    <t>Actual Log in hours</t>
  </si>
  <si>
    <t>RECORDS COMPLETED</t>
  </si>
  <si>
    <t>RECORDS REMAINING</t>
  </si>
  <si>
    <t>COMPLETION RATE</t>
  </si>
  <si>
    <t>RPH GOAL</t>
  </si>
  <si>
    <t>ACTUAL RPH/PPH</t>
  </si>
  <si>
    <t>HOURS NEEDED TO COMPLETE</t>
  </si>
  <si>
    <t>HC NEEDED TO COMPLETE</t>
  </si>
  <si>
    <t>SLA %</t>
  </si>
  <si>
    <t>Total</t>
  </si>
  <si>
    <t>Headcount</t>
  </si>
  <si>
    <t>ACTUAL RPH</t>
  </si>
  <si>
    <t>BCD-</t>
  </si>
  <si>
    <t>ILO-</t>
  </si>
  <si>
    <t>BTG-</t>
  </si>
  <si>
    <t>Sum of Points</t>
  </si>
  <si>
    <t>AH Diabetic - Parachute</t>
  </si>
  <si>
    <t>Parachute</t>
  </si>
  <si>
    <t>AH Diabetic - VSA</t>
  </si>
  <si>
    <t>AH Diabetic Held - Billtrain</t>
  </si>
  <si>
    <t>Billtrain</t>
  </si>
  <si>
    <t>AH Diabetic Held - BTLOAD</t>
  </si>
  <si>
    <t>BTLOAD</t>
  </si>
  <si>
    <t>Medical Notes</t>
  </si>
  <si>
    <t>AH Diabetic Held - Non-Billable</t>
  </si>
  <si>
    <t>Non-Billable</t>
  </si>
  <si>
    <t>Patient Calls</t>
  </si>
  <si>
    <t>AH Diabetic Held Aging-Prod</t>
  </si>
  <si>
    <t>AH Diabetic Held – Rework</t>
  </si>
  <si>
    <t>DIAB</t>
  </si>
  <si>
    <t>BCD-Parachute</t>
  </si>
  <si>
    <t>BCD-Billtrain</t>
  </si>
  <si>
    <t>BCD-BTLOAD</t>
  </si>
  <si>
    <t>BCD-Non-Billable</t>
  </si>
  <si>
    <t>ILO-Parachute</t>
  </si>
  <si>
    <t>ILO-Billtrain</t>
  </si>
  <si>
    <t>ILO-BTLOAD</t>
  </si>
  <si>
    <t>ILO-Non-Billable</t>
  </si>
  <si>
    <t>BTG-Parachute</t>
  </si>
  <si>
    <t>BTG-Billtrain</t>
  </si>
  <si>
    <t>BTG-BTLOAD</t>
  </si>
  <si>
    <t>BTG-Non-Billable</t>
  </si>
  <si>
    <t>AH Diabetic Held - Medical Note</t>
  </si>
  <si>
    <t>Medical Note</t>
  </si>
  <si>
    <t>BCD-Medical Note</t>
  </si>
  <si>
    <t>ILO-Medical Note</t>
  </si>
  <si>
    <t>BTG-Medical Note</t>
  </si>
  <si>
    <t>AH Diabetic Held - Patient Call</t>
  </si>
  <si>
    <t>Patient Call</t>
  </si>
  <si>
    <t>BCD-Patient Call</t>
  </si>
  <si>
    <t>ILO-Patient Call</t>
  </si>
  <si>
    <t>BTG-Patient Call</t>
  </si>
  <si>
    <t>BTG  Amiel Maray</t>
  </si>
  <si>
    <t>amiel.maray@company.com</t>
  </si>
  <si>
    <t>2:30</t>
  </si>
  <si>
    <t>0:55</t>
  </si>
  <si>
    <t>0:49</t>
  </si>
  <si>
    <t>0:05</t>
  </si>
  <si>
    <t>0:00</t>
  </si>
  <si>
    <t>28:43</t>
  </si>
  <si>
    <t>BTG  Christian Navarro</t>
  </si>
  <si>
    <t>christian.navarro@company.com</t>
  </si>
  <si>
    <t>2:32</t>
  </si>
  <si>
    <t>0:53</t>
  </si>
  <si>
    <t>0:46</t>
  </si>
  <si>
    <t>0:06</t>
  </si>
  <si>
    <t>7:22</t>
  </si>
  <si>
    <t>BTG  Joy Aguilar</t>
  </si>
  <si>
    <t>joy.aguilar@company.com</t>
  </si>
  <si>
    <t>3:45</t>
  </si>
  <si>
    <t>0:51</t>
  </si>
  <si>
    <t>0:47</t>
  </si>
  <si>
    <t>0:03</t>
  </si>
  <si>
    <t>43:08</t>
  </si>
  <si>
    <t>BTG  Marinel Mendoza</t>
  </si>
  <si>
    <t>marinel.mendoza@company.com</t>
  </si>
  <si>
    <t>3:02</t>
  </si>
  <si>
    <t>0:40</t>
  </si>
  <si>
    <t>0:36</t>
  </si>
  <si>
    <t>0:04</t>
  </si>
  <si>
    <t>51:40</t>
  </si>
  <si>
    <t>BTG  Mark Jericho Postilos</t>
  </si>
  <si>
    <t>mark.postilos@company.com</t>
  </si>
  <si>
    <t>0:39</t>
  </si>
  <si>
    <t>0:35</t>
  </si>
  <si>
    <t>33:57</t>
  </si>
  <si>
    <t>BTG  Michael Mike Capili</t>
  </si>
  <si>
    <t>michael.capili@company.com</t>
  </si>
  <si>
    <t>2:09</t>
  </si>
  <si>
    <t>29:51</t>
  </si>
  <si>
    <t>BTG  Rhey Asicate</t>
  </si>
  <si>
    <t>rhey.asicate@company.com</t>
  </si>
  <si>
    <t>2:34</t>
  </si>
  <si>
    <t>1:08</t>
  </si>
  <si>
    <t>0:14</t>
  </si>
  <si>
    <t>34:16</t>
  </si>
  <si>
    <t>ILO	Anthony Escoyala</t>
  </si>
  <si>
    <t>anthony.escoyala@company.com</t>
  </si>
  <si>
    <t>13:02</t>
  </si>
  <si>
    <t>0:09</t>
  </si>
  <si>
    <t>45:16</t>
  </si>
  <si>
    <t>ILO	Jackie Bacting</t>
  </si>
  <si>
    <t>jackie.bacting@company.com</t>
  </si>
  <si>
    <t>47:31</t>
  </si>
  <si>
    <t>0:31</t>
  </si>
  <si>
    <t>0:01</t>
  </si>
  <si>
    <t>0:30</t>
  </si>
  <si>
    <t>47:24</t>
  </si>
  <si>
    <t>ILO	Precy Mae Jaruda</t>
  </si>
  <si>
    <t>precy.jaruda@company.com</t>
  </si>
  <si>
    <t>55:11</t>
  </si>
  <si>
    <t>0:45</t>
  </si>
  <si>
    <t>0:18</t>
  </si>
  <si>
    <t>0:26</t>
  </si>
  <si>
    <t>35:25</t>
  </si>
  <si>
    <t>ILO	Reyna Mae Torado</t>
  </si>
  <si>
    <t>reyna.torado@company.com</t>
  </si>
  <si>
    <t>39:35</t>
  </si>
  <si>
    <t>0:13</t>
  </si>
  <si>
    <t>0:08</t>
  </si>
  <si>
    <t>5:31</t>
  </si>
  <si>
    <t>ILO Jeboy Castanaday</t>
  </si>
  <si>
    <t>jeboy.castanaday@company.com</t>
  </si>
  <si>
    <t>30:26</t>
  </si>
  <si>
    <t>0:25</t>
  </si>
  <si>
    <t>0:23</t>
  </si>
  <si>
    <t>50:58</t>
  </si>
  <si>
    <t>ILO Lory Mae Arro</t>
  </si>
  <si>
    <t>lory.arro@company.com</t>
  </si>
  <si>
    <t>51:06</t>
  </si>
  <si>
    <t>0:22</t>
  </si>
  <si>
    <t>0:20</t>
  </si>
  <si>
    <t>50:18</t>
  </si>
  <si>
    <t>ILO Mary Lourd Floryvielle De La Cruz</t>
  </si>
  <si>
    <t>floryvielle.delacruz@company.com</t>
  </si>
  <si>
    <t>ILO Regine Escalo</t>
  </si>
  <si>
    <t>regine.escalo@company.com</t>
  </si>
  <si>
    <t>32:05</t>
  </si>
  <si>
    <t>0:21</t>
  </si>
  <si>
    <t>0:02</t>
  </si>
  <si>
    <t>37:11</t>
  </si>
  <si>
    <t>ILO Vannesa Gayuna</t>
  </si>
  <si>
    <t>vannesa.gayuna@company.com</t>
  </si>
  <si>
    <t>10:36</t>
  </si>
  <si>
    <t>0:17</t>
  </si>
  <si>
    <t>50:25</t>
  </si>
  <si>
    <t>BTG	Rodolfo Galvez</t>
  </si>
  <si>
    <t>rodolfo.galvez@company.com</t>
  </si>
  <si>
    <t>7:09</t>
  </si>
  <si>
    <t>0:29</t>
  </si>
  <si>
    <t>6:39</t>
  </si>
  <si>
    <t>31:13</t>
  </si>
  <si>
    <t>0:16</t>
  </si>
  <si>
    <t>BTG	Xavier Garzon</t>
  </si>
  <si>
    <t>xavier.garzon@company.com</t>
  </si>
  <si>
    <t>6:13</t>
  </si>
  <si>
    <t>0:07</t>
  </si>
  <si>
    <t>82:55</t>
  </si>
  <si>
    <t>BTG  Armelyn Pasaron</t>
  </si>
  <si>
    <t>armelyn.pasaron@company.com</t>
  </si>
  <si>
    <t>5:50</t>
  </si>
  <si>
    <t>0:11</t>
  </si>
  <si>
    <t>38:45</t>
  </si>
  <si>
    <t>BTG  Marites Dellosa</t>
  </si>
  <si>
    <t>marites.dellosa@company.com</t>
  </si>
  <si>
    <t>4:54</t>
  </si>
  <si>
    <t>0:24</t>
  </si>
  <si>
    <t>42:43</t>
  </si>
  <si>
    <t>BTG Jake Lacerna</t>
  </si>
  <si>
    <t>jake.lacerna@company.com</t>
  </si>
  <si>
    <t>5:30</t>
  </si>
  <si>
    <t>0:12</t>
  </si>
  <si>
    <t>41:49</t>
  </si>
  <si>
    <t>ILO	Ashly Ann Dionora</t>
  </si>
  <si>
    <t>ashly.dionora@company.com</t>
  </si>
  <si>
    <t>4:21</t>
  </si>
  <si>
    <t>0:15</t>
  </si>
  <si>
    <t>0:10</t>
  </si>
  <si>
    <t>ILO	Diane Clarito</t>
  </si>
  <si>
    <t>diane.clarito@company.com</t>
  </si>
  <si>
    <t>3:15</t>
  </si>
  <si>
    <t>ILO	Faith Gaticales</t>
  </si>
  <si>
    <t>faith.gaticales@company.com</t>
  </si>
  <si>
    <t>3:07</t>
  </si>
  <si>
    <t>1:20</t>
  </si>
  <si>
    <t>1:14</t>
  </si>
  <si>
    <t>48:59</t>
  </si>
  <si>
    <t>ILO	Jessa Luceno</t>
  </si>
  <si>
    <t>jessa.luceno@company.com</t>
  </si>
  <si>
    <t>3:55</t>
  </si>
  <si>
    <t>45:13</t>
  </si>
  <si>
    <t>ILO	Laurice Anne Farid Lima</t>
  </si>
  <si>
    <t>laurice.lima@company.com</t>
  </si>
  <si>
    <t>3:51</t>
  </si>
  <si>
    <t>ILO	Marites Magsalin</t>
  </si>
  <si>
    <t>marites.magsalin@company.com</t>
  </si>
  <si>
    <t>4:05</t>
  </si>
  <si>
    <t>ILO	Rulf Ejeil Mesa</t>
  </si>
  <si>
    <t>ejeil.mesa@company.com</t>
  </si>
  <si>
    <t>5:12</t>
  </si>
  <si>
    <t>13:16</t>
  </si>
  <si>
    <t>ILO Bon Mark Gonzales</t>
  </si>
  <si>
    <t>bon.gonzales@company.com</t>
  </si>
  <si>
    <t>4:25</t>
  </si>
  <si>
    <t>OTG	Jessa Mae Palen</t>
  </si>
  <si>
    <t>jessamae.palen@company.com</t>
  </si>
  <si>
    <t>BTG  Keith Aurea</t>
  </si>
  <si>
    <t>keith.aurea@company.com</t>
  </si>
  <si>
    <t>30:19</t>
  </si>
  <si>
    <t>BTG  Moriel Gonzales</t>
  </si>
  <si>
    <t>moriel.gonzales@company.com</t>
  </si>
  <si>
    <t>7:00</t>
  </si>
  <si>
    <t>0:33</t>
  </si>
  <si>
    <t>6:27</t>
  </si>
  <si>
    <t>38:33</t>
  </si>
  <si>
    <t>BTG  Vil Pagsanjan</t>
  </si>
  <si>
    <t>vil.pagsanjan@company.com</t>
  </si>
  <si>
    <t>3:10</t>
  </si>
  <si>
    <t>3:04</t>
  </si>
  <si>
    <t>1:15</t>
  </si>
  <si>
    <t>BTG  Warren Gavino</t>
  </si>
  <si>
    <t>warren.gavino@company.com</t>
  </si>
  <si>
    <t>BTG  Angela Pearl Sabido</t>
  </si>
  <si>
    <t>angela.sabido@company.com</t>
  </si>
  <si>
    <t>BTG  Maria Gupit</t>
  </si>
  <si>
    <t>maria.gupit@company.com</t>
  </si>
  <si>
    <t>BTG  Rose Manalo</t>
  </si>
  <si>
    <t>rose.manalo@company.com</t>
  </si>
  <si>
    <t>ILO Faith Ann Joaquin</t>
  </si>
  <si>
    <t>faith.joaquin@company.com</t>
  </si>
  <si>
    <t>13:12</t>
  </si>
  <si>
    <t>ILO Jimson Buenaflor</t>
  </si>
  <si>
    <t>jimson.buenaflor@company.com</t>
  </si>
  <si>
    <t>13:00</t>
  </si>
  <si>
    <t>ILO John Paul Juanico</t>
  </si>
  <si>
    <t>john.juanico@company.com</t>
  </si>
  <si>
    <t>11:29</t>
  </si>
  <si>
    <t>ILO Karl Anderson Sillorequez</t>
  </si>
  <si>
    <t>karl.sillorequez@company.com</t>
  </si>
  <si>
    <t>12:24</t>
  </si>
  <si>
    <t>2:42</t>
  </si>
  <si>
    <t>2:06</t>
  </si>
  <si>
    <t>BTG  Catherine Recinto</t>
  </si>
  <si>
    <t>catherine.recinto@company.com</t>
  </si>
  <si>
    <t>4:10</t>
  </si>
  <si>
    <t>3:57</t>
  </si>
  <si>
    <t>34:24</t>
  </si>
  <si>
    <t>BTG  Fatima Cuenca</t>
  </si>
  <si>
    <t>fatima.cuenca@company.com</t>
  </si>
  <si>
    <t>2:55</t>
  </si>
  <si>
    <t>2:35</t>
  </si>
  <si>
    <t>0:19</t>
  </si>
  <si>
    <t>48:32</t>
  </si>
  <si>
    <t>4:01</t>
  </si>
  <si>
    <t>BTG  Lyka Alpitche</t>
  </si>
  <si>
    <t>lyka.alpitche@company.com</t>
  </si>
  <si>
    <t>3:19</t>
  </si>
  <si>
    <t>3:12</t>
  </si>
  <si>
    <t>45:52</t>
  </si>
  <si>
    <t>3:25</t>
  </si>
  <si>
    <t>3:21</t>
  </si>
  <si>
    <t>3:53</t>
  </si>
  <si>
    <t>BTG  Patrick Tubato</t>
  </si>
  <si>
    <t>patrick.tubato@company.com</t>
  </si>
  <si>
    <t>2:19</t>
  </si>
  <si>
    <t>2:13</t>
  </si>
  <si>
    <t>BTG  Rolysies Olbes</t>
  </si>
  <si>
    <t>rolysies.olbes@company.com</t>
  </si>
  <si>
    <t>4:39</t>
  </si>
  <si>
    <t>4:36</t>
  </si>
  <si>
    <t>32:56</t>
  </si>
  <si>
    <t>5:15</t>
  </si>
  <si>
    <t>5:05</t>
  </si>
  <si>
    <t>31:46</t>
  </si>
  <si>
    <t>4:33</t>
  </si>
  <si>
    <t>BTG  Vince DeVeza</t>
  </si>
  <si>
    <t>vince.deveza@company.com</t>
  </si>
  <si>
    <t>3:37</t>
  </si>
  <si>
    <t>3:26</t>
  </si>
  <si>
    <t>4:56</t>
  </si>
  <si>
    <t>4:30</t>
  </si>
  <si>
    <t>5:32</t>
  </si>
  <si>
    <t>4:53</t>
  </si>
  <si>
    <t>45:53</t>
  </si>
  <si>
    <t>6:00</t>
  </si>
  <si>
    <t>5:37</t>
  </si>
  <si>
    <t>53:50</t>
  </si>
  <si>
    <t>OTG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</si>
</sst>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m/dd/yyyy\ h:mm"/>
    <numFmt numFmtId="166" formatCode="mm/dd"/>
    <numFmt numFmtId="167" formatCode="0.0"/>
  </numFmts>
  <fonts count="2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5" tint="0.59999389629810485"/>
      <name val="Arial"/>
      <family val="2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4"/>
      <color rgb="FFFFFFFF"/>
      <name val="Arial"/>
      <family val="2"/>
    </font>
    <font>
      <b/>
      <sz val="22"/>
      <color theme="2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0B5394"/>
        <bgColor rgb="FF0B5394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B5394"/>
      </patternFill>
    </fill>
    <fill>
      <patternFill patternType="solid">
        <fgColor theme="8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44B3E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44B3E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4" fillId="3" borderId="0" xfId="0" applyNumberFormat="1" applyFont="1" applyFill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5" fillId="0" borderId="2" xfId="0" applyFont="1" applyBorder="1"/>
    <xf numFmtId="0" fontId="6" fillId="0" borderId="0" xfId="0" applyFont="1"/>
    <xf numFmtId="0" fontId="3" fillId="2" borderId="3" xfId="0" applyFont="1" applyFill="1" applyBorder="1"/>
    <xf numFmtId="0" fontId="4" fillId="0" borderId="0" xfId="0" applyFont="1" applyAlignment="1">
      <alignment horizontal="center"/>
    </xf>
    <xf numFmtId="0" fontId="7" fillId="0" borderId="4" xfId="0" applyFont="1" applyBorder="1"/>
    <xf numFmtId="0" fontId="7" fillId="0" borderId="5" xfId="0" applyFont="1" applyBorder="1" applyAlignment="1">
      <alignment horizontal="right"/>
    </xf>
    <xf numFmtId="0" fontId="7" fillId="0" borderId="5" xfId="0" applyFont="1" applyBorder="1"/>
    <xf numFmtId="10" fontId="7" fillId="0" borderId="5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3" xfId="0" applyFont="1" applyBorder="1"/>
    <xf numFmtId="10" fontId="4" fillId="0" borderId="0" xfId="0" applyNumberFormat="1" applyFont="1" applyAlignment="1">
      <alignment horizontal="right"/>
    </xf>
    <xf numFmtId="10" fontId="7" fillId="4" borderId="5" xfId="0" applyNumberFormat="1" applyFont="1" applyFill="1" applyBorder="1" applyAlignment="1">
      <alignment horizontal="right"/>
    </xf>
    <xf numFmtId="0" fontId="3" fillId="5" borderId="3" xfId="0" applyFont="1" applyFill="1" applyBorder="1" applyAlignment="1">
      <alignment horizontal="left"/>
    </xf>
    <xf numFmtId="10" fontId="7" fillId="6" borderId="5" xfId="0" applyNumberFormat="1" applyFont="1" applyFill="1" applyBorder="1" applyAlignment="1">
      <alignment horizontal="right"/>
    </xf>
    <xf numFmtId="0" fontId="7" fillId="4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right"/>
    </xf>
    <xf numFmtId="9" fontId="7" fillId="6" borderId="5" xfId="0" applyNumberFormat="1" applyFont="1" applyFill="1" applyBorder="1" applyAlignment="1">
      <alignment horizontal="right"/>
    </xf>
    <xf numFmtId="10" fontId="7" fillId="7" borderId="5" xfId="0" applyNumberFormat="1" applyFont="1" applyFill="1" applyBorder="1" applyAlignment="1">
      <alignment horizontal="right"/>
    </xf>
    <xf numFmtId="165" fontId="4" fillId="3" borderId="0" xfId="0" applyNumberFormat="1" applyFont="1" applyFill="1"/>
    <xf numFmtId="9" fontId="7" fillId="0" borderId="5" xfId="0" applyNumberFormat="1" applyFont="1" applyBorder="1" applyAlignment="1">
      <alignment horizontal="right"/>
    </xf>
    <xf numFmtId="9" fontId="7" fillId="4" borderId="5" xfId="0" applyNumberFormat="1" applyFont="1" applyFill="1" applyBorder="1"/>
    <xf numFmtId="0" fontId="7" fillId="0" borderId="7" xfId="0" applyFont="1" applyBorder="1"/>
    <xf numFmtId="164" fontId="4" fillId="3" borderId="0" xfId="0" applyNumberFormat="1" applyFont="1" applyFill="1"/>
    <xf numFmtId="0" fontId="3" fillId="0" borderId="0" xfId="0" applyFont="1" applyAlignment="1">
      <alignment horizontal="center"/>
    </xf>
    <xf numFmtId="0" fontId="3" fillId="5" borderId="3" xfId="0" applyFont="1" applyFill="1" applyBorder="1"/>
    <xf numFmtId="0" fontId="4" fillId="0" borderId="0" xfId="0" applyFont="1" applyAlignment="1">
      <alignment horizontal="right"/>
    </xf>
    <xf numFmtId="9" fontId="4" fillId="5" borderId="0" xfId="0" applyNumberFormat="1" applyFont="1" applyFill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10" fontId="7" fillId="5" borderId="1" xfId="0" applyNumberFormat="1" applyFont="1" applyFill="1" applyBorder="1" applyAlignment="1">
      <alignment horizontal="right"/>
    </xf>
    <xf numFmtId="9" fontId="4" fillId="0" borderId="0" xfId="0" applyNumberFormat="1" applyFont="1" applyAlignment="1">
      <alignment horizontal="right"/>
    </xf>
    <xf numFmtId="0" fontId="7" fillId="5" borderId="1" xfId="0" applyFont="1" applyFill="1" applyBorder="1" applyAlignment="1">
      <alignment horizontal="center"/>
    </xf>
    <xf numFmtId="9" fontId="7" fillId="5" borderId="1" xfId="0" applyNumberFormat="1" applyFont="1" applyFill="1" applyBorder="1" applyAlignment="1">
      <alignment horizontal="right"/>
    </xf>
    <xf numFmtId="0" fontId="3" fillId="0" borderId="0" xfId="0" applyFont="1"/>
    <xf numFmtId="0" fontId="7" fillId="5" borderId="1" xfId="0" applyFont="1" applyFill="1" applyBorder="1"/>
    <xf numFmtId="0" fontId="3" fillId="2" borderId="6" xfId="0" applyFont="1" applyFill="1" applyBorder="1"/>
    <xf numFmtId="9" fontId="7" fillId="5" borderId="1" xfId="0" applyNumberFormat="1" applyFont="1" applyFill="1" applyBorder="1"/>
    <xf numFmtId="14" fontId="4" fillId="0" borderId="0" xfId="0" applyNumberFormat="1" applyFont="1"/>
    <xf numFmtId="0" fontId="3" fillId="6" borderId="3" xfId="0" applyFont="1" applyFill="1" applyBorder="1"/>
    <xf numFmtId="9" fontId="4" fillId="6" borderId="0" xfId="0" applyNumberFormat="1" applyFont="1" applyFill="1" applyAlignment="1">
      <alignment horizontal="right"/>
    </xf>
    <xf numFmtId="165" fontId="4" fillId="0" borderId="0" xfId="0" applyNumberFormat="1" applyFont="1"/>
    <xf numFmtId="166" fontId="4" fillId="0" borderId="0" xfId="0" applyNumberFormat="1" applyFont="1"/>
    <xf numFmtId="0" fontId="8" fillId="2" borderId="0" xfId="0" applyFont="1" applyFill="1"/>
    <xf numFmtId="0" fontId="8" fillId="2" borderId="3" xfId="0" applyFont="1" applyFill="1" applyBorder="1"/>
    <xf numFmtId="164" fontId="1" fillId="0" borderId="0" xfId="0" applyNumberFormat="1" applyFont="1"/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8" fillId="0" borderId="3" xfId="0" applyFont="1" applyBorder="1"/>
    <xf numFmtId="10" fontId="9" fillId="0" borderId="0" xfId="0" applyNumberFormat="1" applyFont="1" applyAlignment="1">
      <alignment horizontal="right"/>
    </xf>
    <xf numFmtId="0" fontId="8" fillId="2" borderId="6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right"/>
    </xf>
    <xf numFmtId="10" fontId="10" fillId="0" borderId="0" xfId="0" applyNumberFormat="1" applyFont="1" applyAlignment="1">
      <alignment horizontal="right"/>
    </xf>
    <xf numFmtId="164" fontId="10" fillId="0" borderId="0" xfId="0" applyNumberFormat="1" applyFont="1"/>
    <xf numFmtId="0" fontId="9" fillId="0" borderId="0" xfId="0" applyFont="1"/>
    <xf numFmtId="164" fontId="4" fillId="0" borderId="0" xfId="0" applyNumberFormat="1" applyFont="1"/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0" fillId="0" borderId="0" xfId="0" pivotButton="1"/>
    <xf numFmtId="2" fontId="0" fillId="0" borderId="0" xfId="0" applyNumberFormat="1"/>
    <xf numFmtId="2" fontId="12" fillId="0" borderId="14" xfId="0" applyNumberFormat="1" applyFont="1" applyBorder="1" applyAlignment="1">
      <alignment horizontal="center"/>
    </xf>
    <xf numFmtId="2" fontId="12" fillId="0" borderId="10" xfId="0" applyNumberFormat="1" applyFont="1" applyBorder="1" applyAlignment="1">
      <alignment horizontal="center"/>
    </xf>
    <xf numFmtId="2" fontId="12" fillId="0" borderId="8" xfId="0" applyNumberFormat="1" applyFont="1" applyBorder="1" applyAlignment="1">
      <alignment horizontal="center"/>
    </xf>
    <xf numFmtId="0" fontId="16" fillId="0" borderId="0" xfId="0" applyFont="1"/>
    <xf numFmtId="167" fontId="0" fillId="0" borderId="0" xfId="0" applyNumberFormat="1"/>
    <xf numFmtId="0" fontId="11" fillId="9" borderId="16" xfId="0" applyFont="1" applyFill="1" applyBorder="1" applyAlignment="1">
      <alignment horizontal="center"/>
    </xf>
    <xf numFmtId="0" fontId="14" fillId="0" borderId="20" xfId="0" applyFont="1" applyBorder="1" applyAlignment="1">
      <alignment vertical="center"/>
    </xf>
    <xf numFmtId="0" fontId="14" fillId="0" borderId="21" xfId="0" applyFont="1" applyBorder="1"/>
    <xf numFmtId="0" fontId="0" fillId="0" borderId="22" xfId="0" applyBorder="1"/>
    <xf numFmtId="0" fontId="0" fillId="0" borderId="23" xfId="0" applyBorder="1"/>
    <xf numFmtId="0" fontId="11" fillId="9" borderId="9" xfId="0" applyFont="1" applyFill="1" applyBorder="1" applyAlignment="1">
      <alignment horizontal="center"/>
    </xf>
    <xf numFmtId="0" fontId="0" fillId="0" borderId="27" xfId="0" applyBorder="1"/>
    <xf numFmtId="0" fontId="19" fillId="0" borderId="25" xfId="0" applyFont="1" applyBorder="1" applyAlignment="1">
      <alignment horizontal="center" wrapText="1"/>
    </xf>
    <xf numFmtId="2" fontId="0" fillId="0" borderId="0" xfId="0" applyNumberFormat="1" applyAlignment="1">
      <alignment horizontal="left"/>
    </xf>
    <xf numFmtId="0" fontId="0" fillId="0" borderId="24" xfId="0" applyBorder="1"/>
    <xf numFmtId="0" fontId="15" fillId="0" borderId="17" xfId="0" applyFont="1" applyBorder="1" applyAlignment="1">
      <alignment horizontal="left"/>
    </xf>
    <xf numFmtId="0" fontId="15" fillId="0" borderId="18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0" fontId="7" fillId="12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7" fontId="7" fillId="12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0" borderId="0" xfId="0" applyFont="1"/>
    <xf numFmtId="0" fontId="11" fillId="9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167" fontId="11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14" fillId="0" borderId="0" xfId="0" applyFont="1"/>
    <xf numFmtId="2" fontId="11" fillId="10" borderId="1" xfId="0" applyNumberFormat="1" applyFont="1" applyFill="1" applyBorder="1" applyAlignment="1">
      <alignment horizontal="center"/>
    </xf>
    <xf numFmtId="2" fontId="7" fillId="0" borderId="0" xfId="0" applyNumberFormat="1" applyFont="1"/>
    <xf numFmtId="1" fontId="12" fillId="0" borderId="13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11" fillId="9" borderId="11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5" fillId="0" borderId="9" xfId="0" applyFont="1" applyBorder="1"/>
    <xf numFmtId="0" fontId="5" fillId="0" borderId="1" xfId="0" applyFont="1" applyBorder="1" applyAlignment="1">
      <alignment horizontal="left"/>
    </xf>
    <xf numFmtId="0" fontId="5" fillId="11" borderId="1" xfId="0" applyFont="1" applyFill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0" fontId="18" fillId="16" borderId="26" xfId="0" applyFont="1" applyFill="1" applyBorder="1" applyAlignment="1">
      <alignment horizontal="center" wrapText="1"/>
    </xf>
    <xf numFmtId="0" fontId="15" fillId="0" borderId="29" xfId="0" applyFont="1" applyBorder="1" applyAlignment="1">
      <alignment horizontal="left"/>
    </xf>
    <xf numFmtId="2" fontId="12" fillId="0" borderId="30" xfId="0" applyNumberFormat="1" applyFont="1" applyBorder="1" applyAlignment="1">
      <alignment horizontal="center"/>
    </xf>
    <xf numFmtId="1" fontId="12" fillId="0" borderId="31" xfId="0" applyNumberFormat="1" applyFont="1" applyBorder="1" applyAlignment="1">
      <alignment horizontal="center"/>
    </xf>
    <xf numFmtId="1" fontId="12" fillId="0" borderId="32" xfId="0" applyNumberFormat="1" applyFont="1" applyBorder="1" applyAlignment="1">
      <alignment horizontal="center"/>
    </xf>
    <xf numFmtId="2" fontId="12" fillId="0" borderId="33" xfId="0" applyNumberFormat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4" fillId="0" borderId="22" xfId="0" applyFont="1" applyBorder="1"/>
    <xf numFmtId="0" fontId="14" fillId="0" borderId="23" xfId="0" applyFont="1" applyBorder="1"/>
    <xf numFmtId="0" fontId="14" fillId="0" borderId="22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2" fontId="5" fillId="11" borderId="1" xfId="0" applyNumberFormat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11" fillId="9" borderId="12" xfId="0" applyFont="1" applyFill="1" applyBorder="1" applyAlignment="1">
      <alignment horizontal="center"/>
    </xf>
    <xf numFmtId="0" fontId="11" fillId="9" borderId="37" xfId="0" applyFont="1" applyFill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11" borderId="31" xfId="0" applyFont="1" applyFill="1" applyBorder="1" applyAlignment="1">
      <alignment horizontal="center"/>
    </xf>
    <xf numFmtId="0" fontId="7" fillId="12" borderId="38" xfId="0" applyFont="1" applyFill="1" applyBorder="1" applyAlignment="1">
      <alignment horizontal="center"/>
    </xf>
    <xf numFmtId="0" fontId="7" fillId="11" borderId="38" xfId="0" applyFont="1" applyFill="1" applyBorder="1" applyAlignment="1">
      <alignment horizontal="center"/>
    </xf>
    <xf numFmtId="2" fontId="5" fillId="11" borderId="38" xfId="0" applyNumberFormat="1" applyFont="1" applyFill="1" applyBorder="1" applyAlignment="1">
      <alignment horizontal="center"/>
    </xf>
    <xf numFmtId="0" fontId="5" fillId="14" borderId="38" xfId="0" applyFont="1" applyFill="1" applyBorder="1" applyAlignment="1">
      <alignment horizontal="center"/>
    </xf>
    <xf numFmtId="10" fontId="7" fillId="12" borderId="38" xfId="0" applyNumberFormat="1" applyFont="1" applyFill="1" applyBorder="1" applyAlignment="1">
      <alignment horizontal="center"/>
    </xf>
    <xf numFmtId="0" fontId="5" fillId="15" borderId="38" xfId="0" applyFont="1" applyFill="1" applyBorder="1" applyAlignment="1">
      <alignment horizontal="center"/>
    </xf>
    <xf numFmtId="167" fontId="7" fillId="12" borderId="38" xfId="0" applyNumberFormat="1" applyFont="1" applyFill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0" fillId="19" borderId="0" xfId="0" applyFill="1"/>
    <xf numFmtId="0" fontId="21" fillId="17" borderId="0" xfId="0" applyFont="1" applyFill="1" applyAlignment="1">
      <alignment horizontal="center"/>
    </xf>
    <xf numFmtId="0" fontId="20" fillId="18" borderId="34" xfId="0" applyFont="1" applyFill="1" applyBorder="1" applyAlignment="1">
      <alignment horizontal="center"/>
    </xf>
    <xf numFmtId="0" fontId="20" fillId="18" borderId="35" xfId="0" applyFont="1" applyFill="1" applyBorder="1" applyAlignment="1">
      <alignment horizontal="center"/>
    </xf>
    <xf numFmtId="0" fontId="20" fillId="18" borderId="36" xfId="0" applyFont="1" applyFill="1" applyBorder="1" applyAlignment="1">
      <alignment horizontal="center"/>
    </xf>
    <xf numFmtId="0" fontId="11" fillId="8" borderId="28" xfId="0" applyFont="1" applyFill="1" applyBorder="1" applyAlignment="1">
      <alignment horizontal="center"/>
    </xf>
    <xf numFmtId="0" fontId="11" fillId="8" borderId="9" xfId="0" applyFont="1" applyFill="1" applyBorder="1" applyAlignment="1">
      <alignment horizontal="center"/>
    </xf>
    <xf numFmtId="0" fontId="0" fillId="0" borderId="0" xfId="0" applyNumberFormat="1"/>
    <xf numFmtId="1" fontId="7" fillId="0" borderId="1" xfId="0" applyNumberFormat="1" applyFont="1" applyBorder="1" applyAlignment="1">
      <alignment horizontal="center"/>
    </xf>
    <xf numFmtId="1" fontId="5" fillId="11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167" formatCode="0.0"/>
    </dxf>
    <dxf>
      <font>
        <color rgb="FF9C0006"/>
      </font>
      <fill>
        <patternFill>
          <bgColor rgb="FFFFC7CE"/>
        </patternFill>
      </fill>
    </dxf>
    <dxf>
      <numFmt numFmtId="167" formatCode="0.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dia Bendicio" refreshedDate="45950.674212615741" createdVersion="8" refreshedVersion="8" minRefreshableVersion="3" recordCount="78" xr:uid="{66AFAF8D-BDEA-48D5-8BF8-3E46FD51F9D0}">
  <cacheSource type="worksheet">
    <worksheetSource name="Campaign_Report"/>
  </cacheSource>
  <cacheFields count="40">
    <cacheField name="Campaign" numFmtId="0">
      <sharedItems/>
    </cacheField>
    <cacheField name="Agent" numFmtId="0">
      <sharedItems/>
    </cacheField>
    <cacheField name="Agent Email" numFmtId="0">
      <sharedItems/>
    </cacheField>
    <cacheField name="Calls" numFmtId="0">
      <sharedItems containsSemiMixedTypes="0" containsString="0" containsNumber="1" containsInteger="1" minValue="0" maxValue="71"/>
    </cacheField>
    <cacheField name="Calls/Hr" numFmtId="0">
      <sharedItems containsSemiMixedTypes="0" containsString="0" containsNumber="1" minValue="0" maxValue="20.726296123307002"/>
    </cacheField>
    <cacheField name="Talk" numFmtId="0">
      <sharedItems containsSemiMixedTypes="0" containsString="0" containsNumber="1" minValue="0" maxValue="2.9906000000000001"/>
    </cacheField>
    <cacheField name="Wrap Up" numFmtId="0">
      <sharedItems containsSemiMixedTypes="0" containsString="0" containsNumber="1" minValue="0" maxValue="2.6663888888888998"/>
    </cacheField>
    <cacheField name="Conv" numFmtId="0">
      <sharedItems containsSemiMixedTypes="0" containsString="0" containsNumber="1" containsInteger="1" minValue="0" maxValue="32"/>
    </cacheField>
    <cacheField name="Conv %" numFmtId="0">
      <sharedItems containsSemiMixedTypes="0" containsString="0" containsNumber="1" minValue="0" maxValue="1"/>
    </cacheField>
    <cacheField name="Conv/Hr" numFmtId="0">
      <sharedItems containsSemiMixedTypes="0" containsString="0" containsNumber="1" minValue="0" maxValue="15.556131708582001"/>
    </cacheField>
    <cacheField name="Points" numFmtId="0">
      <sharedItems containsSemiMixedTypes="0" containsString="0" containsNumber="1" containsInteger="1" minValue="0" maxValue="9"/>
    </cacheField>
    <cacheField name="Points/Hr" numFmtId="0">
      <sharedItems containsSemiMixedTypes="0" containsString="0" containsNumber="1" minValue="0" maxValue="3.3402612826603"/>
    </cacheField>
    <cacheField name="Logged In" numFmtId="0">
      <sharedItems containsSemiMixedTypes="0" containsString="0" containsNumber="1" minValue="1.1000000000000001E-3" maxValue="3.5638999999999998"/>
    </cacheField>
    <cacheField name="Eff %" numFmtId="0">
      <sharedItems containsSemiMixedTypes="0" containsString="0" containsNumber="1" minValue="0" maxValue="0.87587863167760005"/>
    </cacheField>
    <cacheField name="AAT" numFmtId="0">
      <sharedItems/>
    </cacheField>
    <cacheField name="AHT" numFmtId="0">
      <sharedItems/>
    </cacheField>
    <cacheField name="ATT" numFmtId="0">
      <sharedItems/>
    </cacheField>
    <cacheField name="AWT" numFmtId="0">
      <sharedItems/>
    </cacheField>
    <cacheField name="Administrative" numFmtId="0">
      <sharedItems/>
    </cacheField>
    <cacheField name="Break" numFmtId="0">
      <sharedItems/>
    </cacheField>
    <cacheField name="Coaching" numFmtId="0">
      <sharedItems/>
    </cacheField>
    <cacheField name="Unavailable" numFmtId="0">
      <sharedItems/>
    </cacheField>
    <cacheField name="QA Score" numFmtId="0">
      <sharedItems containsSemiMixedTypes="0" containsString="0" containsNumber="1" containsInteger="1" minValue="0" maxValue="0"/>
    </cacheField>
    <cacheField name="Scorecards" numFmtId="0">
      <sharedItems containsSemiMixedTypes="0" containsString="0" containsNumber="1" containsInteger="1" minValue="0" maxValue="0"/>
    </cacheField>
    <cacheField name="Passed" numFmtId="0">
      <sharedItems containsSemiMixedTypes="0" containsString="0" containsNumber="1" containsInteger="1" minValue="0" maxValue="0"/>
    </cacheField>
    <cacheField name="Auto Fails" numFmtId="0">
      <sharedItems containsSemiMixedTypes="0" containsString="0" containsNumber="1" containsInteger="1" minValue="0" maxValue="0"/>
    </cacheField>
    <cacheField name="Holds" numFmtId="0">
      <sharedItems containsSemiMixedTypes="0" containsString="0" containsNumber="1" containsInteger="1" minValue="0" maxValue="0"/>
    </cacheField>
    <cacheField name="Hold" numFmtId="0">
      <sharedItems/>
    </cacheField>
    <cacheField name="Hold/Call" numFmtId="0">
      <sharedItems/>
    </cacheField>
    <cacheField name="Rings Tot" numFmtId="0">
      <sharedItems containsSemiMixedTypes="0" containsString="0" containsNumber="1" containsInteger="1" minValue="0" maxValue="0"/>
    </cacheField>
    <cacheField name="Rings Ans" numFmtId="0">
      <sharedItems containsSemiMixedTypes="0" containsString="0" containsNumber="1" containsInteger="1" minValue="0" maxValue="0"/>
    </cacheField>
    <cacheField name="Rings Decl" numFmtId="0">
      <sharedItems containsSemiMixedTypes="0" containsString="0" containsNumber="1" containsInteger="1" minValue="0" maxValue="0"/>
    </cacheField>
    <cacheField name="Rings Timeout" numFmtId="0">
      <sharedItems containsSemiMixedTypes="0" containsString="0" containsNumber="1" containsInteger="1" minValue="0" maxValue="0"/>
    </cacheField>
    <cacheField name="Rings Miss" numFmtId="0">
      <sharedItems containsSemiMixedTypes="0" containsString="0" containsNumber="1" containsInteger="1" minValue="0" maxValue="0"/>
    </cacheField>
    <cacheField name="Rings Aban" numFmtId="0">
      <sharedItems containsSemiMixedTypes="0" containsString="0" containsNumber="1" containsInteger="1" minValue="0" maxValue="0"/>
    </cacheField>
    <cacheField name="Site" numFmtId="0">
      <sharedItems containsBlank="1" count="4">
        <s v="BTG"/>
        <s v="ILO"/>
        <s v="OTG"/>
        <m u="1"/>
      </sharedItems>
    </cacheField>
    <cacheField name="AgentName" numFmtId="0">
      <sharedItems/>
    </cacheField>
    <cacheField name="Workflow" numFmtId="0">
      <sharedItems containsBlank="1" count="9">
        <s v="Parachute"/>
        <s v="VSA"/>
        <s v="BTLOAD"/>
        <s v="Medical Note"/>
        <s v="Non-Billable"/>
        <s v="Patient Call"/>
        <s v="Rework"/>
        <m u="1"/>
        <s v="Aging" u="1"/>
      </sharedItems>
    </cacheField>
    <cacheField name="RPH" numFmtId="0" formula="Calls/'Logged In'" databaseField="0"/>
    <cacheField name="PPH" numFmtId="0" formula="Points/'Logged In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AH Diabetic - Parachute"/>
    <s v="BTG  Amiel Maray"/>
    <s v="amiel.maray@company.com"/>
    <n v="59"/>
    <n v="16.809116809117"/>
    <n v="0.81499999999999995"/>
    <n v="9.1944444444443996E-2"/>
    <n v="7"/>
    <n v="0.11864406779661001"/>
    <n v="1.9943019943019999"/>
    <n v="7"/>
    <n v="1.9943019943019999"/>
    <n v="3.51"/>
    <n v="0.23219373219372999"/>
    <s v="2:30"/>
    <s v="0:55"/>
    <s v="0:49"/>
    <s v="0:05"/>
    <s v="0:00"/>
    <s v="28:43"/>
    <s v="0:00"/>
    <s v="0:00"/>
    <n v="0"/>
    <n v="0"/>
    <n v="0"/>
    <n v="0"/>
    <n v="0"/>
    <s v="0:00"/>
    <s v="0:00"/>
    <n v="0"/>
    <n v="0"/>
    <n v="0"/>
    <n v="0"/>
    <n v="0"/>
    <n v="0"/>
    <x v="0"/>
    <s v="Amiel Maray"/>
    <x v="0"/>
  </r>
  <r>
    <s v="AH Diabetic - Parachute"/>
    <s v="BTG  Christian Navarro"/>
    <s v="christian.navarro@company.com"/>
    <n v="25"/>
    <n v="17.149128824256"/>
    <n v="0.32390000000000002"/>
    <n v="4.8055555555555997E-2"/>
    <n v="0"/>
    <n v="0"/>
    <n v="0"/>
    <n v="0"/>
    <n v="0"/>
    <n v="1.4578"/>
    <n v="0.22218411304706001"/>
    <s v="2:32"/>
    <s v="0:53"/>
    <s v="0:46"/>
    <s v="0:06"/>
    <s v="0:00"/>
    <s v="7:22"/>
    <s v="0:00"/>
    <s v="0:00"/>
    <n v="0"/>
    <n v="0"/>
    <n v="0"/>
    <n v="0"/>
    <n v="0"/>
    <s v="0:00"/>
    <s v="0:00"/>
    <n v="0"/>
    <n v="0"/>
    <n v="0"/>
    <n v="0"/>
    <n v="0"/>
    <n v="0"/>
    <x v="0"/>
    <s v="Christian Navarro"/>
    <x v="0"/>
  </r>
  <r>
    <s v="AH Diabetic - Parachute"/>
    <s v="BTG  Joy Aguilar"/>
    <s v="joy.aguilar@company.com"/>
    <n v="40"/>
    <n v="12.279355333845"/>
    <n v="0.53029999999999999"/>
    <n v="4.3055555555555999E-2"/>
    <n v="0"/>
    <n v="0"/>
    <n v="0"/>
    <n v="0"/>
    <n v="0"/>
    <n v="3.2574999999999998"/>
    <n v="0.16279355333845"/>
    <s v="3:45"/>
    <s v="0:51"/>
    <s v="0:47"/>
    <s v="0:03"/>
    <s v="0:00"/>
    <s v="43:08"/>
    <s v="0:00"/>
    <s v="0:00"/>
    <n v="0"/>
    <n v="0"/>
    <n v="0"/>
    <n v="0"/>
    <n v="0"/>
    <s v="0:00"/>
    <s v="0:00"/>
    <n v="0"/>
    <n v="0"/>
    <n v="0"/>
    <n v="0"/>
    <n v="0"/>
    <n v="0"/>
    <x v="0"/>
    <s v="Joy Aguilar"/>
    <x v="0"/>
  </r>
  <r>
    <s v="AH Diabetic - Parachute"/>
    <s v="BTG  Marinel Mendoza"/>
    <s v="marinel.mendoza@company.com"/>
    <n v="49"/>
    <n v="15.631479886433"/>
    <n v="0.49559999999999998"/>
    <n v="5.7222222222222001E-2"/>
    <n v="2"/>
    <n v="4.0816326530611999E-2"/>
    <n v="0.63801958720133001"/>
    <n v="2"/>
    <n v="0.63801958720133001"/>
    <n v="3.1347"/>
    <n v="0.15810125370849001"/>
    <s v="3:02"/>
    <s v="0:40"/>
    <s v="0:36"/>
    <s v="0:04"/>
    <s v="0:00"/>
    <s v="51:40"/>
    <s v="0:00"/>
    <s v="0:00"/>
    <n v="0"/>
    <n v="0"/>
    <n v="0"/>
    <n v="0"/>
    <n v="0"/>
    <s v="0:00"/>
    <s v="0:00"/>
    <n v="0"/>
    <n v="0"/>
    <n v="0"/>
    <n v="0"/>
    <n v="0"/>
    <n v="0"/>
    <x v="0"/>
    <s v="Marinel Mendoza"/>
    <x v="0"/>
  </r>
  <r>
    <s v="AH Diabetic - Parachute"/>
    <s v="BTG  Mark Jericho Postilos"/>
    <s v="mark.postilos@company.com"/>
    <n v="62"/>
    <n v="18.117000759745"/>
    <n v="0.60309999999999997"/>
    <n v="7.1111111111111E-2"/>
    <n v="0"/>
    <n v="0"/>
    <n v="0"/>
    <n v="0"/>
    <n v="0"/>
    <n v="3.4222000000000001"/>
    <n v="0.17623166384197"/>
    <s v="2:30"/>
    <s v="0:39"/>
    <s v="0:35"/>
    <s v="0:04"/>
    <s v="0:00"/>
    <s v="33:57"/>
    <s v="0:00"/>
    <s v="0:00"/>
    <n v="0"/>
    <n v="0"/>
    <n v="0"/>
    <n v="0"/>
    <n v="0"/>
    <s v="0:00"/>
    <s v="0:00"/>
    <n v="0"/>
    <n v="0"/>
    <n v="0"/>
    <n v="0"/>
    <n v="0"/>
    <n v="0"/>
    <x v="0"/>
    <s v="Mark Jericho Postilos"/>
    <x v="0"/>
  </r>
  <r>
    <s v="AH Diabetic - Parachute"/>
    <s v="BTG  Michael Mike Capili"/>
    <s v="michael.capili@company.com"/>
    <n v="71"/>
    <n v="20.726296123307002"/>
    <n v="0.71889999999999998"/>
    <n v="6.2777777777778002E-2"/>
    <n v="0"/>
    <n v="0"/>
    <n v="0"/>
    <n v="0"/>
    <n v="0"/>
    <n v="3.4256000000000002"/>
    <n v="0.20986104624006999"/>
    <s v="2:09"/>
    <s v="0:39"/>
    <s v="0:36"/>
    <s v="0:03"/>
    <s v="0:00"/>
    <s v="29:51"/>
    <s v="0:00"/>
    <s v="0:00"/>
    <n v="0"/>
    <n v="0"/>
    <n v="0"/>
    <n v="0"/>
    <n v="0"/>
    <s v="0:00"/>
    <s v="0:00"/>
    <n v="0"/>
    <n v="0"/>
    <n v="0"/>
    <n v="0"/>
    <n v="0"/>
    <n v="0"/>
    <x v="0"/>
    <s v="Michael Mike Capili"/>
    <x v="0"/>
  </r>
  <r>
    <s v="AH Diabetic - Parachute"/>
    <s v="BTG  Rhey Asicate"/>
    <s v="rhey.asicate@company.com"/>
    <n v="53"/>
    <n v="15.503422453636"/>
    <n v="0.79469999999999996"/>
    <n v="0.22055555555556"/>
    <n v="3"/>
    <n v="5.6603773584906002E-2"/>
    <n v="0.87755221435675013"/>
    <n v="3"/>
    <n v="0.87755221435675013"/>
    <n v="3.4186000000000001"/>
    <n v="0.23246358158309999"/>
    <s v="2:34"/>
    <s v="1:08"/>
    <s v="0:53"/>
    <s v="0:14"/>
    <s v="0:00"/>
    <s v="34:16"/>
    <s v="0:00"/>
    <s v="0:00"/>
    <n v="0"/>
    <n v="0"/>
    <n v="0"/>
    <n v="0"/>
    <n v="0"/>
    <s v="0:00"/>
    <s v="0:00"/>
    <n v="0"/>
    <n v="0"/>
    <n v="0"/>
    <n v="0"/>
    <n v="0"/>
    <n v="0"/>
    <x v="0"/>
    <s v="Rhey Asicate"/>
    <x v="0"/>
  </r>
  <r>
    <s v="AH Diabetic - VSA"/>
    <s v="ILO_x0009_Anthony Escoyala"/>
    <s v="anthony.escoyala@company.com"/>
    <n v="12"/>
    <n v="4.4536817102138002"/>
    <n v="3.1899999999999998E-2"/>
    <n v="1.5277777777777999E-2"/>
    <n v="7"/>
    <n v="0.58333333333333004"/>
    <n v="2.5979809976246999"/>
    <n v="9"/>
    <n v="3.3402612826603"/>
    <n v="2.6943999999999999"/>
    <n v="1.1839370546318E-2"/>
    <s v="13:02"/>
    <s v="0:14"/>
    <s v="0:09"/>
    <s v="0:04"/>
    <s v="0:00"/>
    <s v="45:16"/>
    <s v="0:00"/>
    <s v="0:00"/>
    <n v="0"/>
    <n v="0"/>
    <n v="0"/>
    <n v="0"/>
    <n v="0"/>
    <s v="0:00"/>
    <s v="0:00"/>
    <n v="0"/>
    <n v="0"/>
    <n v="0"/>
    <n v="0"/>
    <n v="0"/>
    <n v="0"/>
    <x v="1"/>
    <s v="_x0009_Anthony Escoyala"/>
    <x v="1"/>
  </r>
  <r>
    <s v="AH Diabetic - VSA"/>
    <s v="ILO_x0009_Jackie Bacting"/>
    <s v="jackie.bacting@company.com"/>
    <n v="3"/>
    <n v="1.2302140572460001"/>
    <n v="8.0000000000000004E-4"/>
    <n v="2.5277777777778E-2"/>
    <n v="1"/>
    <n v="0.33333333333332998"/>
    <n v="0.41007135241532"/>
    <n v="1"/>
    <n v="0.41007135241532"/>
    <n v="2.4386000000000001"/>
    <n v="3.2805708193226E-4"/>
    <s v="47:31"/>
    <s v="0:31"/>
    <s v="0:01"/>
    <s v="0:30"/>
    <s v="0:00"/>
    <s v="47:24"/>
    <s v="0:00"/>
    <s v="0:00"/>
    <n v="0"/>
    <n v="0"/>
    <n v="0"/>
    <n v="0"/>
    <n v="0"/>
    <s v="0:00"/>
    <s v="0:00"/>
    <n v="0"/>
    <n v="0"/>
    <n v="0"/>
    <n v="0"/>
    <n v="0"/>
    <n v="0"/>
    <x v="1"/>
    <s v="_x0009_Jackie Bacting"/>
    <x v="1"/>
  </r>
  <r>
    <s v="AH Diabetic - VSA"/>
    <s v="ILO_x0009_Precy Mae Jaruda"/>
    <s v="precy.jaruda@company.com"/>
    <n v="3"/>
    <n v="1.0533338014817"/>
    <n v="1.5299999999999999E-2"/>
    <n v="2.2222222222222001E-2"/>
    <n v="0"/>
    <n v="0"/>
    <n v="0"/>
    <n v="0"/>
    <n v="0"/>
    <n v="2.8481000000000001"/>
    <n v="5.3720023875566004E-3"/>
    <s v="55:11"/>
    <s v="0:45"/>
    <s v="0:18"/>
    <s v="0:26"/>
    <s v="0:00"/>
    <s v="35:25"/>
    <s v="0:00"/>
    <s v="0:00"/>
    <n v="0"/>
    <n v="0"/>
    <n v="0"/>
    <n v="0"/>
    <n v="0"/>
    <s v="0:00"/>
    <s v="0:00"/>
    <n v="0"/>
    <n v="0"/>
    <n v="0"/>
    <n v="0"/>
    <n v="0"/>
    <n v="0"/>
    <x v="1"/>
    <s v="_x0009_Precy Mae Jaruda"/>
    <x v="1"/>
  </r>
  <r>
    <s v="AH Diabetic - VSA"/>
    <s v="ILO_x0009_Reyna Mae Torado"/>
    <s v="reyna.torado@company.com"/>
    <n v="5"/>
    <n v="1.4904462396041001"/>
    <n v="1.17E-2"/>
    <n v="7.2222222222222002E-3"/>
    <n v="0"/>
    <n v="0"/>
    <n v="0"/>
    <n v="0"/>
    <n v="0"/>
    <n v="3.3546999999999998"/>
    <n v="3.4876442006737001E-3"/>
    <s v="39:35"/>
    <s v="0:13"/>
    <s v="0:08"/>
    <s v="0:05"/>
    <s v="0:00"/>
    <s v="5:31"/>
    <s v="0:00"/>
    <s v="0:00"/>
    <n v="0"/>
    <n v="0"/>
    <n v="0"/>
    <n v="0"/>
    <n v="0"/>
    <s v="0:00"/>
    <s v="0:00"/>
    <n v="0"/>
    <n v="0"/>
    <n v="0"/>
    <n v="0"/>
    <n v="0"/>
    <n v="0"/>
    <x v="1"/>
    <s v="_x0009_Reyna Mae Torado"/>
    <x v="1"/>
  </r>
  <r>
    <s v="AH Diabetic - VSA"/>
    <s v="ILO Jeboy Castanaday"/>
    <s v="jeboy.castanaday@company.com"/>
    <n v="5"/>
    <n v="1.9251501617125999"/>
    <n v="3.2800000000000003E-2"/>
    <n v="2.5000000000000001E-3"/>
    <n v="0"/>
    <n v="0"/>
    <n v="0"/>
    <n v="1"/>
    <n v="0.38503003234251998"/>
    <n v="2.5972"/>
    <n v="1.2628985060835001E-2"/>
    <s v="30:26"/>
    <s v="0:25"/>
    <s v="0:23"/>
    <s v="0:01"/>
    <s v="0:00"/>
    <s v="50:58"/>
    <s v="0:00"/>
    <s v="0:00"/>
    <n v="0"/>
    <n v="0"/>
    <n v="0"/>
    <n v="0"/>
    <n v="0"/>
    <s v="0:00"/>
    <s v="0:00"/>
    <n v="0"/>
    <n v="0"/>
    <n v="0"/>
    <n v="0"/>
    <n v="0"/>
    <n v="0"/>
    <x v="1"/>
    <s v="Jeboy Castanaday"/>
    <x v="1"/>
  </r>
  <r>
    <s v="AH Diabetic - VSA"/>
    <s v="ILO Lory Mae Arro"/>
    <s v="lory.arro@company.com"/>
    <n v="3"/>
    <n v="1.1514988676928"/>
    <n v="1.6899999999999998E-2"/>
    <n v="1.3888888888889E-3"/>
    <n v="0"/>
    <n v="0"/>
    <n v="0"/>
    <n v="1"/>
    <n v="0.38383295589758998"/>
    <n v="2.6053000000000002"/>
    <n v="6.4867769546692999E-3"/>
    <s v="51:06"/>
    <s v="0:22"/>
    <s v="0:20"/>
    <s v="0:01"/>
    <s v="0:00"/>
    <s v="50:18"/>
    <s v="0:00"/>
    <s v="0:00"/>
    <n v="0"/>
    <n v="0"/>
    <n v="0"/>
    <n v="0"/>
    <n v="0"/>
    <s v="0:00"/>
    <s v="0:00"/>
    <n v="0"/>
    <n v="0"/>
    <n v="0"/>
    <n v="0"/>
    <n v="0"/>
    <n v="0"/>
    <x v="1"/>
    <s v="Lory Mae Arro"/>
    <x v="1"/>
  </r>
  <r>
    <s v="AH Diabetic - VSA"/>
    <s v="ILO Mary Lourd Floryvielle De La Cruz"/>
    <s v="floryvielle.delacruz@company.com"/>
    <n v="0"/>
    <n v="0"/>
    <n v="0"/>
    <n v="0"/>
    <n v="0"/>
    <n v="0"/>
    <n v="0"/>
    <n v="0"/>
    <n v="0"/>
    <n v="5.8900000000000001E-2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Mary Lourd Floryvielle De La Cruz"/>
    <x v="1"/>
  </r>
  <r>
    <s v="AH Diabetic - VSA"/>
    <s v="ILO Regine Escalo"/>
    <s v="regine.escalo@company.com"/>
    <n v="5"/>
    <n v="1.8144868631151001"/>
    <n v="2.58E-2"/>
    <n v="3.3333333333333002E-3"/>
    <n v="0"/>
    <n v="0"/>
    <n v="0"/>
    <n v="2"/>
    <n v="0.72579474524604004"/>
    <n v="2.7555999999999998"/>
    <n v="9.3627522136740006E-3"/>
    <s v="32:05"/>
    <s v="0:21"/>
    <s v="0:18"/>
    <s v="0:02"/>
    <s v="0:00"/>
    <s v="37:11"/>
    <s v="0:00"/>
    <s v="0:00"/>
    <n v="0"/>
    <n v="0"/>
    <n v="0"/>
    <n v="0"/>
    <n v="0"/>
    <s v="0:00"/>
    <s v="0:00"/>
    <n v="0"/>
    <n v="0"/>
    <n v="0"/>
    <n v="0"/>
    <n v="0"/>
    <n v="0"/>
    <x v="1"/>
    <s v="Regine Escalo"/>
    <x v="1"/>
  </r>
  <r>
    <s v="AH Diabetic - VSA"/>
    <s v="ILO Vannesa Gayuna"/>
    <s v="vannesa.gayuna@company.com"/>
    <n v="9"/>
    <n v="3.4501265046384999"/>
    <n v="4.3299999999999998E-2"/>
    <n v="5.6111111111111001E-2"/>
    <n v="2"/>
    <n v="0.22222222222221999"/>
    <n v="0.76669477880855996"/>
    <n v="4"/>
    <n v="1.5333895576170999"/>
    <n v="2.6086"/>
    <n v="1.6598941961205E-2"/>
    <s v="10:36"/>
    <s v="0:39"/>
    <s v="0:17"/>
    <s v="0:22"/>
    <s v="0:00"/>
    <s v="50:25"/>
    <s v="0:00"/>
    <s v="0:00"/>
    <n v="0"/>
    <n v="0"/>
    <n v="0"/>
    <n v="0"/>
    <n v="0"/>
    <s v="0:00"/>
    <s v="0:00"/>
    <n v="0"/>
    <n v="0"/>
    <n v="0"/>
    <n v="0"/>
    <n v="0"/>
    <n v="0"/>
    <x v="1"/>
    <s v="Vannesa Gayuna"/>
    <x v="1"/>
  </r>
  <r>
    <s v="AH Diabetic Held - BTLOAD"/>
    <s v="BTG_x0009_Rodolfo Galvez"/>
    <s v="rodolfo.galvez@company.com"/>
    <n v="24"/>
    <n v="7.8975945243345"/>
    <n v="0.19939999999999999"/>
    <n v="2.6663888888888998"/>
    <n v="19"/>
    <n v="0.79166666666666996"/>
    <n v="6.2522623317647996"/>
    <n v="0"/>
    <n v="0"/>
    <n v="3.0388999999999999"/>
    <n v="6.5615847839678998E-2"/>
    <s v="0:20"/>
    <s v="7:09"/>
    <s v="0:29"/>
    <s v="6:39"/>
    <s v="0:00"/>
    <s v="31:13"/>
    <s v="0:00"/>
    <s v="0:16"/>
    <n v="0"/>
    <n v="0"/>
    <n v="0"/>
    <n v="0"/>
    <n v="0"/>
    <s v="0:00"/>
    <s v="0:00"/>
    <n v="0"/>
    <n v="0"/>
    <n v="0"/>
    <n v="0"/>
    <n v="0"/>
    <n v="0"/>
    <x v="0"/>
    <s v="_x0009_Rodolfo Galvez"/>
    <x v="2"/>
  </r>
  <r>
    <s v="AH Diabetic Held - BTLOAD"/>
    <s v="BTG_x0009_Xavier Garzon"/>
    <s v="xavier.garzon@company.com"/>
    <n v="23"/>
    <n v="9.2391740981762993"/>
    <n v="4.4699999999999997E-2"/>
    <n v="1.8888888888889E-2"/>
    <n v="23"/>
    <n v="1"/>
    <n v="9.2391740981762993"/>
    <n v="0"/>
    <n v="0"/>
    <n v="2.4893999999999998"/>
    <n v="1.7956134008194999E-2"/>
    <s v="6:13"/>
    <s v="0:09"/>
    <s v="0:07"/>
    <s v="0:02"/>
    <s v="0:00"/>
    <s v="82:55"/>
    <s v="0:00"/>
    <s v="0:00"/>
    <n v="0"/>
    <n v="0"/>
    <n v="0"/>
    <n v="0"/>
    <n v="0"/>
    <s v="0:00"/>
    <s v="0:00"/>
    <n v="0"/>
    <n v="0"/>
    <n v="0"/>
    <n v="0"/>
    <n v="0"/>
    <n v="0"/>
    <x v="0"/>
    <s v="_x0009_Xavier Garzon"/>
    <x v="2"/>
  </r>
  <r>
    <s v="AH Diabetic Held - BTLOAD"/>
    <s v="BTG  Armelyn Pasaron"/>
    <s v="armelyn.pasaron@company.com"/>
    <n v="30"/>
    <n v="9.2498381278328008"/>
    <n v="9.69E-2"/>
    <n v="1.4722222222222E-2"/>
    <n v="27"/>
    <n v="0.9"/>
    <n v="8.3248543150494996"/>
    <n v="0"/>
    <n v="0"/>
    <n v="3.2433000000000001"/>
    <n v="2.9876977152900001E-2"/>
    <s v="5:50"/>
    <s v="0:13"/>
    <s v="0:11"/>
    <s v="0:01"/>
    <s v="0:00"/>
    <s v="38:45"/>
    <s v="0:00"/>
    <s v="0:09"/>
    <n v="0"/>
    <n v="0"/>
    <n v="0"/>
    <n v="0"/>
    <n v="0"/>
    <s v="0:00"/>
    <s v="0:00"/>
    <n v="0"/>
    <n v="0"/>
    <n v="0"/>
    <n v="0"/>
    <n v="0"/>
    <n v="0"/>
    <x v="0"/>
    <s v="Armelyn Pasaron"/>
    <x v="2"/>
  </r>
  <r>
    <s v="AH Diabetic Held - BTLOAD"/>
    <s v="BTG  Marites Dellosa"/>
    <s v="marites.dellosa@company.com"/>
    <n v="33"/>
    <n v="10.733801717407999"/>
    <n v="0.22500000000000001"/>
    <n v="1.4444444444444E-2"/>
    <n v="22"/>
    <n v="0.66666666666666996"/>
    <n v="7.1558678116054999"/>
    <n v="0"/>
    <n v="0"/>
    <n v="3.0743999999999998"/>
    <n v="7.3185011709601996E-2"/>
    <s v="4:54"/>
    <s v="0:26"/>
    <s v="0:24"/>
    <s v="0:01"/>
    <s v="0:00"/>
    <s v="42:43"/>
    <s v="0:00"/>
    <s v="0:00"/>
    <n v="0"/>
    <n v="0"/>
    <n v="0"/>
    <n v="0"/>
    <n v="0"/>
    <s v="0:00"/>
    <s v="0:00"/>
    <n v="0"/>
    <n v="0"/>
    <n v="0"/>
    <n v="0"/>
    <n v="0"/>
    <n v="0"/>
    <x v="0"/>
    <s v="Marites Dellosa"/>
    <x v="2"/>
  </r>
  <r>
    <s v="AH Diabetic Held - BTLOAD"/>
    <s v="BTG Jake Lacerna"/>
    <s v="jake.lacerna@company.com"/>
    <n v="27"/>
    <n v="9.5295238767514991"/>
    <n v="6.83E-2"/>
    <n v="2.7777777777777998E-2"/>
    <n v="19"/>
    <n v="0.70370370370369995"/>
    <n v="6.7059612466029002"/>
    <n v="0"/>
    <n v="0"/>
    <n v="2.8332999999999999"/>
    <n v="2.4106165954894E-2"/>
    <s v="5:30"/>
    <s v="0:12"/>
    <s v="0:09"/>
    <s v="0:03"/>
    <s v="0:00"/>
    <s v="41:49"/>
    <s v="0:00"/>
    <s v="0:00"/>
    <n v="0"/>
    <n v="0"/>
    <n v="0"/>
    <n v="0"/>
    <n v="0"/>
    <s v="0:00"/>
    <s v="0:00"/>
    <n v="0"/>
    <n v="0"/>
    <n v="0"/>
    <n v="0"/>
    <n v="0"/>
    <n v="0"/>
    <x v="0"/>
    <s v="Jake Lacerna"/>
    <x v="2"/>
  </r>
  <r>
    <s v="AH Diabetic Held - BTLOAD"/>
    <s v="ILO_x0009_Ashly Ann Dionora"/>
    <s v="ashly.dionora@company.com"/>
    <n v="42"/>
    <n v="12.142588684264"/>
    <n v="0.1206"/>
    <n v="5.7777777777777997E-2"/>
    <n v="31"/>
    <n v="0.73809523809524002"/>
    <n v="8.9623868860042002"/>
    <n v="0"/>
    <n v="0"/>
    <n v="3.4588999999999999"/>
    <n v="3.4866576079100001E-2"/>
    <s v="4:21"/>
    <s v="0:15"/>
    <s v="0:10"/>
    <s v="0:04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Ashly Ann Dionora"/>
    <x v="2"/>
  </r>
  <r>
    <s v="AH Diabetic Held - BTLOAD"/>
    <s v="ILO_x0009_Diane Clarito"/>
    <s v="diane.clarito@company.com"/>
    <n v="13"/>
    <n v="16.85247601763"/>
    <n v="2.92E-2"/>
    <n v="1.7222222222222E-2"/>
    <n v="12"/>
    <n v="0.92307692307692002"/>
    <n v="15.556131708582001"/>
    <n v="0"/>
    <n v="0"/>
    <n v="0.77139999999999997"/>
    <n v="3.7853253824215997E-2"/>
    <s v="3:15"/>
    <s v="0:12"/>
    <s v="0:08"/>
    <s v="0:04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Diane Clarito"/>
    <x v="2"/>
  </r>
  <r>
    <s v="AH Diabetic Held - BTLOAD"/>
    <s v="ILO_x0009_Faith Gaticales"/>
    <s v="faith.gaticales@company.com"/>
    <n v="35"/>
    <n v="12.863863569537999"/>
    <n v="0.72719999999999996"/>
    <n v="5.7500000000000002E-2"/>
    <n v="29"/>
    <n v="0.82857142857142996"/>
    <n v="10.658629814759999"/>
    <n v="0"/>
    <n v="0"/>
    <n v="2.7208000000000001"/>
    <n v="0.26727433107908999"/>
    <s v="3:07"/>
    <s v="1:20"/>
    <s v="1:14"/>
    <s v="0:05"/>
    <s v="0:00"/>
    <s v="48:59"/>
    <s v="0:00"/>
    <s v="0:00"/>
    <n v="0"/>
    <n v="0"/>
    <n v="0"/>
    <n v="0"/>
    <n v="0"/>
    <s v="0:00"/>
    <s v="0:00"/>
    <n v="0"/>
    <n v="0"/>
    <n v="0"/>
    <n v="0"/>
    <n v="0"/>
    <n v="0"/>
    <x v="1"/>
    <s v="_x0009_Faith Gaticales"/>
    <x v="2"/>
  </r>
  <r>
    <s v="AH Diabetic Held - BTLOAD"/>
    <s v="ILO_x0009_Jessa Luceno"/>
    <s v="jessa.luceno@company.com"/>
    <n v="39"/>
    <n v="14.462120369339999"/>
    <n v="7.1099999999999997E-2"/>
    <n v="1.6666666666667E-2"/>
    <n v="32"/>
    <n v="0.82051282051282004"/>
    <n v="11.866355174842999"/>
    <n v="0"/>
    <n v="0"/>
    <n v="2.6966999999999999"/>
    <n v="2.6365557904105E-2"/>
    <s v="3:55"/>
    <s v="0:08"/>
    <s v="0:06"/>
    <s v="0:01"/>
    <s v="0:00"/>
    <s v="45:13"/>
    <s v="0:00"/>
    <s v="0:00"/>
    <n v="0"/>
    <n v="0"/>
    <n v="0"/>
    <n v="0"/>
    <n v="0"/>
    <s v="0:00"/>
    <s v="0:00"/>
    <n v="0"/>
    <n v="0"/>
    <n v="0"/>
    <n v="0"/>
    <n v="0"/>
    <n v="0"/>
    <x v="1"/>
    <s v="_x0009_Jessa Luceno"/>
    <x v="2"/>
  </r>
  <r>
    <s v="AH Diabetic Held - BTLOAD"/>
    <s v="ILO_x0009_Laurice Anne Farid Lima"/>
    <s v="laurice.lima@company.com"/>
    <n v="8"/>
    <n v="14.357501794688"/>
    <n v="1.9400000000000001E-2"/>
    <n v="5.0000000000000001E-3"/>
    <n v="5"/>
    <n v="0.625"/>
    <n v="8.9734386216798008"/>
    <n v="0"/>
    <n v="0"/>
    <n v="0.55720000000000003"/>
    <n v="3.4816941852117998E-2"/>
    <s v="3:51"/>
    <s v="0:11"/>
    <s v="0:08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Laurice Anne Farid Lima"/>
    <x v="2"/>
  </r>
  <r>
    <s v="AH Diabetic Held - BTLOAD"/>
    <s v="ILO_x0009_Marites Magsalin"/>
    <s v="marites.magsalin@company.com"/>
    <n v="44"/>
    <n v="13.162618164413001"/>
    <n v="0.16309999999999999"/>
    <n v="3.6388888888888998E-2"/>
    <n v="24"/>
    <n v="0.54545454545454997"/>
    <n v="7.1796099078616997"/>
    <n v="0"/>
    <n v="0"/>
    <n v="3.3428"/>
    <n v="4.8791432332176997E-2"/>
    <s v="4:05"/>
    <s v="0:16"/>
    <s v="0:13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Marites Magsalin"/>
    <x v="2"/>
  </r>
  <r>
    <s v="AH Diabetic Held - BTLOAD"/>
    <s v="ILO_x0009_Rulf Ejeil Mesa"/>
    <s v="ejeil.mesa@company.com"/>
    <n v="29"/>
    <n v="11.029971093868999"/>
    <n v="4.7500000000000001E-2"/>
    <n v="1.6944444444443998E-2"/>
    <n v="22"/>
    <n v="0.75862068965517004"/>
    <n v="8.3675642781074"/>
    <n v="0"/>
    <n v="0"/>
    <n v="2.6292"/>
    <n v="1.8066331964095999E-2"/>
    <s v="5:12"/>
    <s v="0:08"/>
    <s v="0:05"/>
    <s v="0:02"/>
    <s v="0:00"/>
    <s v="13:16"/>
    <s v="0:00"/>
    <s v="0:00"/>
    <n v="0"/>
    <n v="0"/>
    <n v="0"/>
    <n v="0"/>
    <n v="0"/>
    <s v="0:00"/>
    <s v="0:00"/>
    <n v="0"/>
    <n v="0"/>
    <n v="0"/>
    <n v="0"/>
    <n v="0"/>
    <n v="0"/>
    <x v="1"/>
    <s v="_x0009_Rulf Ejeil Mesa"/>
    <x v="2"/>
  </r>
  <r>
    <s v="AH Diabetic Held - BTLOAD"/>
    <s v="ILO Bon Mark Gonzales"/>
    <s v="bon.gonzales@company.com"/>
    <n v="7"/>
    <n v="12.708787218591"/>
    <n v="1.67E-2"/>
    <n v="3.3333333333333002E-3"/>
    <n v="6"/>
    <n v="0.85714285714285998"/>
    <n v="10.893246187363999"/>
    <n v="0"/>
    <n v="0"/>
    <n v="0.55079999999999996"/>
    <n v="3.0319535221496E-2"/>
    <s v="4:25"/>
    <s v="0:10"/>
    <s v="0:08"/>
    <s v="0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Bon Mark Gonzales"/>
    <x v="2"/>
  </r>
  <r>
    <s v="AH Diabetic Held - BTLOAD"/>
    <s v="OTG_x0009_Jessa Mae Palen"/>
    <s v="jessamae.palen@company.com"/>
    <n v="0"/>
    <n v="0"/>
    <n v="0"/>
    <n v="0"/>
    <n v="0"/>
    <n v="0"/>
    <n v="0"/>
    <n v="0"/>
    <n v="0"/>
    <n v="5.6899999999999999E-2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_x0009_Jessa Mae Palen"/>
    <x v="2"/>
  </r>
  <r>
    <s v="AH Diabetic Held - Medical Note"/>
    <s v="BTG  Keith Aurea"/>
    <s v="keith.aurea@company.com"/>
    <n v="19"/>
    <n v="9.9476439790576006"/>
    <n v="7.22E-2"/>
    <n v="8.1666666666666998E-2"/>
    <n v="4"/>
    <n v="0.21052631578947001"/>
    <n v="2.0942408376963"/>
    <n v="0"/>
    <n v="0"/>
    <n v="1.91"/>
    <n v="3.7801047120418999E-2"/>
    <s v="0:01"/>
    <s v="0:29"/>
    <s v="0:13"/>
    <s v="0:15"/>
    <s v="0:00"/>
    <s v="30:19"/>
    <s v="0:00"/>
    <s v="0:00"/>
    <n v="0"/>
    <n v="0"/>
    <n v="0"/>
    <n v="0"/>
    <n v="0"/>
    <s v="0:00"/>
    <s v="0:00"/>
    <n v="0"/>
    <n v="0"/>
    <n v="0"/>
    <n v="0"/>
    <n v="0"/>
    <n v="0"/>
    <x v="0"/>
    <s v="Keith Aurea"/>
    <x v="3"/>
  </r>
  <r>
    <s v="AH Diabetic Held - Medical Note"/>
    <s v="BTG  Moriel Gonzales"/>
    <s v="moriel.gonzales@company.com"/>
    <n v="11"/>
    <n v="7.8275101401836"/>
    <n v="0.1014"/>
    <n v="1.1836111111111001"/>
    <n v="1"/>
    <n v="9.0909090909090995E-2"/>
    <n v="0.71159183092578004"/>
    <n v="0"/>
    <n v="0"/>
    <n v="1.4053"/>
    <n v="7.2155411655873997E-2"/>
    <s v="0:01"/>
    <s v="7:00"/>
    <s v="0:33"/>
    <s v="6:27"/>
    <s v="0:00"/>
    <s v="38:33"/>
    <s v="0:00"/>
    <s v="0:00"/>
    <n v="0"/>
    <n v="0"/>
    <n v="0"/>
    <n v="0"/>
    <n v="0"/>
    <s v="0:00"/>
    <s v="0:00"/>
    <n v="0"/>
    <n v="0"/>
    <n v="0"/>
    <n v="0"/>
    <n v="0"/>
    <n v="0"/>
    <x v="0"/>
    <s v="Moriel Gonzales"/>
    <x v="3"/>
  </r>
  <r>
    <s v="AH Diabetic Held - Medical Note"/>
    <s v="BTG  Vil Pagsanjan"/>
    <s v="vil.pagsanjan@company.com"/>
    <n v="21"/>
    <n v="9.7159248635144007"/>
    <n v="1.0752999999999999"/>
    <n v="3.7777777777778E-2"/>
    <n v="0"/>
    <n v="0"/>
    <n v="0"/>
    <n v="0"/>
    <n v="0"/>
    <n v="2.1614"/>
    <n v="0.49750161932081"/>
    <s v="0:02"/>
    <s v="3:10"/>
    <s v="3:04"/>
    <s v="0:06"/>
    <s v="0:00"/>
    <s v="1:15"/>
    <s v="0:00"/>
    <s v="0:00"/>
    <n v="0"/>
    <n v="0"/>
    <n v="0"/>
    <n v="0"/>
    <n v="0"/>
    <s v="0:00"/>
    <s v="0:00"/>
    <n v="0"/>
    <n v="0"/>
    <n v="0"/>
    <n v="0"/>
    <n v="0"/>
    <n v="0"/>
    <x v="0"/>
    <s v="Vil Pagsanjan"/>
    <x v="3"/>
  </r>
  <r>
    <s v="AH Diabetic Held - Medical Note"/>
    <s v="BTG  Warren Gavino"/>
    <s v="warren.gavino@company.com"/>
    <n v="0"/>
    <n v="0"/>
    <n v="0"/>
    <n v="0"/>
    <n v="0"/>
    <n v="0"/>
    <n v="0"/>
    <n v="0"/>
    <n v="0"/>
    <n v="3.3E-3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Warren Gavino"/>
    <x v="3"/>
  </r>
  <r>
    <s v="AH Diabetic Held - Non-Billable"/>
    <s v="BTG_x0009_Rodolfo Galvez"/>
    <s v="rodolfo.galvez@company.com"/>
    <n v="0"/>
    <n v="0"/>
    <n v="0"/>
    <n v="0"/>
    <n v="0"/>
    <n v="0"/>
    <n v="0"/>
    <n v="0"/>
    <n v="0"/>
    <n v="0.41810000000000003"/>
    <n v="0"/>
    <s v="0:00"/>
    <s v="0:00"/>
    <s v="0:00"/>
    <s v="0:00"/>
    <s v="0:00"/>
    <s v="0:00"/>
    <s v="0:00"/>
    <s v="0:07"/>
    <n v="0"/>
    <n v="0"/>
    <n v="0"/>
    <n v="0"/>
    <n v="0"/>
    <s v="0:00"/>
    <s v="0:00"/>
    <n v="0"/>
    <n v="0"/>
    <n v="0"/>
    <n v="0"/>
    <n v="0"/>
    <n v="0"/>
    <x v="0"/>
    <s v="_x0009_Rodolfo Galvez"/>
    <x v="4"/>
  </r>
  <r>
    <s v="AH Diabetic Held - Non-Billable"/>
    <s v="BTG_x0009_Xavier Garzon"/>
    <s v="xavier.garzon@company.com"/>
    <n v="0"/>
    <n v="0"/>
    <n v="0"/>
    <n v="0"/>
    <n v="0"/>
    <n v="0"/>
    <n v="0"/>
    <n v="0"/>
    <n v="0"/>
    <n v="0.1144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_x0009_Xavier Garzon"/>
    <x v="4"/>
  </r>
  <r>
    <s v="AH Diabetic Held - Non-Billable"/>
    <s v="BTG  Angela Pearl Sabido"/>
    <s v="angela.sabido@company.com"/>
    <n v="0"/>
    <n v="0"/>
    <n v="0"/>
    <n v="0"/>
    <n v="0"/>
    <n v="0"/>
    <n v="0"/>
    <n v="0"/>
    <n v="0"/>
    <n v="0.28189999999999998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Angela Pearl Sabido"/>
    <x v="4"/>
  </r>
  <r>
    <s v="AH Diabetic Held - Non-Billable"/>
    <s v="BTG  Maria Gupit"/>
    <s v="maria.gupit@company.com"/>
    <n v="0"/>
    <n v="0"/>
    <n v="0"/>
    <n v="0"/>
    <n v="0"/>
    <n v="0"/>
    <n v="0"/>
    <n v="0"/>
    <n v="0"/>
    <n v="0.3639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Maria Gupit"/>
    <x v="4"/>
  </r>
  <r>
    <s v="AH Diabetic Held - Non-Billable"/>
    <s v="BTG  Marites Dellosa"/>
    <s v="marites.dellosa@company.com"/>
    <n v="0"/>
    <n v="0"/>
    <n v="0"/>
    <n v="0"/>
    <n v="0"/>
    <n v="0"/>
    <n v="0"/>
    <n v="0"/>
    <n v="0"/>
    <n v="0.1222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Marites Dellosa"/>
    <x v="4"/>
  </r>
  <r>
    <s v="AH Diabetic Held - Non-Billable"/>
    <s v="BTG  Moriel Gonzales"/>
    <s v="moriel.gonzales@company.com"/>
    <n v="0"/>
    <n v="0"/>
    <n v="0"/>
    <n v="0"/>
    <n v="0"/>
    <n v="0"/>
    <n v="0"/>
    <n v="0"/>
    <n v="0"/>
    <n v="0.30249999999999999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Moriel Gonzales"/>
    <x v="4"/>
  </r>
  <r>
    <s v="AH Diabetic Held - Non-Billable"/>
    <s v="BTG  Rose Manalo"/>
    <s v="rose.manalo@company.com"/>
    <n v="0"/>
    <n v="0"/>
    <n v="0"/>
    <n v="0"/>
    <n v="0"/>
    <n v="0"/>
    <n v="0"/>
    <n v="0"/>
    <n v="0"/>
    <n v="0.62809999999999999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Rose Manalo"/>
    <x v="4"/>
  </r>
  <r>
    <s v="AH Diabetic Held - Non-Billable"/>
    <s v="BTG Jake Lacerna"/>
    <s v="jake.lacerna@company.com"/>
    <n v="0"/>
    <n v="0"/>
    <n v="0"/>
    <n v="0"/>
    <n v="0"/>
    <n v="0"/>
    <n v="0"/>
    <n v="0"/>
    <n v="0"/>
    <n v="0.42580000000000001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Jake Lacerna"/>
    <x v="4"/>
  </r>
  <r>
    <s v="AH Diabetic Held - Non-Billable"/>
    <s v="ILO_x0009_Anthony Escoyala"/>
    <s v="anthony.escoyala@company.com"/>
    <n v="0"/>
    <n v="0"/>
    <n v="0"/>
    <n v="0"/>
    <n v="0"/>
    <n v="0"/>
    <n v="0"/>
    <n v="0"/>
    <n v="0"/>
    <n v="0.5706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Anthony Escoyala"/>
    <x v="4"/>
  </r>
  <r>
    <s v="AH Diabetic Held - Non-Billable"/>
    <s v="ILO_x0009_Ashly Ann Dionora"/>
    <s v="ashly.dionora@company.com"/>
    <n v="0"/>
    <n v="0"/>
    <n v="0"/>
    <n v="0"/>
    <n v="0"/>
    <n v="0"/>
    <n v="0"/>
    <n v="0"/>
    <n v="0"/>
    <n v="0.37669999999999998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Ashly Ann Dionora"/>
    <x v="4"/>
  </r>
  <r>
    <s v="AH Diabetic Held - Non-Billable"/>
    <s v="ILO_x0009_Diane Clarito"/>
    <s v="diane.clarito@company.com"/>
    <n v="0"/>
    <n v="0"/>
    <n v="0"/>
    <n v="0"/>
    <n v="0"/>
    <n v="0"/>
    <n v="0"/>
    <n v="0"/>
    <n v="0"/>
    <n v="0.54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Diane Clarito"/>
    <x v="4"/>
  </r>
  <r>
    <s v="AH Diabetic Held - Non-Billable"/>
    <s v="ILO_x0009_Faith Gaticales"/>
    <s v="faith.gaticales@company.com"/>
    <n v="0"/>
    <n v="0"/>
    <n v="0"/>
    <n v="0"/>
    <n v="0"/>
    <n v="0"/>
    <n v="0"/>
    <n v="0"/>
    <n v="0"/>
    <n v="0.35809999999999997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Faith Gaticales"/>
    <x v="4"/>
  </r>
  <r>
    <s v="AH Diabetic Held - Non-Billable"/>
    <s v="ILO_x0009_Jackie Bacting"/>
    <s v="jackie.bacting@company.com"/>
    <n v="0"/>
    <n v="0"/>
    <n v="0"/>
    <n v="0"/>
    <n v="0"/>
    <n v="0"/>
    <n v="0"/>
    <n v="0"/>
    <n v="0"/>
    <n v="0.69189999999999996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Jackie Bacting"/>
    <x v="4"/>
  </r>
  <r>
    <s v="AH Diabetic Held - Non-Billable"/>
    <s v="ILO_x0009_Jessa Luceno"/>
    <s v="jessa.luceno@company.com"/>
    <n v="0"/>
    <n v="0"/>
    <n v="0"/>
    <n v="0"/>
    <n v="0"/>
    <n v="0"/>
    <n v="0"/>
    <n v="0"/>
    <n v="0"/>
    <n v="0.56689999999999996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Jessa Luceno"/>
    <x v="4"/>
  </r>
  <r>
    <s v="AH Diabetic Held - Non-Billable"/>
    <s v="ILO_x0009_Laurice Anne Farid Lima"/>
    <s v="laurice.lima@company.com"/>
    <n v="0"/>
    <n v="0"/>
    <n v="0"/>
    <n v="0"/>
    <n v="0"/>
    <n v="0"/>
    <n v="0"/>
    <n v="0"/>
    <n v="0"/>
    <n v="0.50080000000000002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Laurice Anne Farid Lima"/>
    <x v="4"/>
  </r>
  <r>
    <s v="AH Diabetic Held - Non-Billable"/>
    <s v="ILO_x0009_Marites Magsalin"/>
    <s v="marites.magsalin@company.com"/>
    <n v="0"/>
    <n v="0"/>
    <n v="0"/>
    <n v="0"/>
    <n v="0"/>
    <n v="0"/>
    <n v="0"/>
    <n v="0"/>
    <n v="0"/>
    <n v="0.6522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Marites Magsalin"/>
    <x v="4"/>
  </r>
  <r>
    <s v="AH Diabetic Held - Non-Billable"/>
    <s v="ILO_x0009_Precy Mae Jaruda"/>
    <s v="precy.jaruda@company.com"/>
    <n v="0"/>
    <n v="0"/>
    <n v="0"/>
    <n v="0"/>
    <n v="0"/>
    <n v="0"/>
    <n v="0"/>
    <n v="0"/>
    <n v="0"/>
    <n v="0.49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Precy Mae Jaruda"/>
    <x v="4"/>
  </r>
  <r>
    <s v="AH Diabetic Held - Non-Billable"/>
    <s v="ILO_x0009_Reyna Mae Torado"/>
    <s v="reyna.torado@company.com"/>
    <n v="0"/>
    <n v="0"/>
    <n v="0"/>
    <n v="0"/>
    <n v="0"/>
    <n v="0"/>
    <n v="0"/>
    <n v="0"/>
    <n v="0"/>
    <n v="0.57140000000000002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Reyna Mae Torado"/>
    <x v="4"/>
  </r>
  <r>
    <s v="AH Diabetic Held - Non-Billable"/>
    <s v="ILO_x0009_Rulf Ejeil Mesa"/>
    <s v="ejeil.mesa@company.com"/>
    <n v="0"/>
    <n v="0"/>
    <n v="0"/>
    <n v="0"/>
    <n v="0"/>
    <n v="0"/>
    <n v="0"/>
    <n v="0"/>
    <n v="0"/>
    <n v="0.40889999999999999"/>
    <n v="0"/>
    <s v="0:00"/>
    <s v="0:00"/>
    <s v="0:00"/>
    <s v="0:00"/>
    <s v="0:00"/>
    <s v="0:03"/>
    <s v="0:00"/>
    <s v="0:00"/>
    <n v="0"/>
    <n v="0"/>
    <n v="0"/>
    <n v="0"/>
    <n v="0"/>
    <s v="0:00"/>
    <s v="0:00"/>
    <n v="0"/>
    <n v="0"/>
    <n v="0"/>
    <n v="0"/>
    <n v="0"/>
    <n v="0"/>
    <x v="1"/>
    <s v="_x0009_Rulf Ejeil Mesa"/>
    <x v="4"/>
  </r>
  <r>
    <s v="AH Diabetic Held - Non-Billable"/>
    <s v="ILO Bon Mark Gonzales"/>
    <s v="bon.gonzales@company.com"/>
    <n v="0"/>
    <n v="0"/>
    <n v="0"/>
    <n v="0"/>
    <n v="0"/>
    <n v="0"/>
    <n v="0"/>
    <n v="0"/>
    <n v="0"/>
    <n v="0.64780000000000004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Bon Mark Gonzales"/>
    <x v="4"/>
  </r>
  <r>
    <s v="AH Diabetic Held - Non-Billable"/>
    <s v="ILO Faith Ann Joaquin"/>
    <s v="faith.joaquin@company.com"/>
    <n v="0"/>
    <n v="0"/>
    <n v="0"/>
    <n v="0"/>
    <n v="0"/>
    <n v="0"/>
    <n v="0"/>
    <n v="0"/>
    <n v="0"/>
    <n v="3.5375000000000001"/>
    <n v="0"/>
    <s v="0:00"/>
    <s v="0:00"/>
    <s v="0:00"/>
    <s v="0:00"/>
    <s v="0:00"/>
    <s v="13:12"/>
    <s v="0:00"/>
    <s v="0:00"/>
    <n v="0"/>
    <n v="0"/>
    <n v="0"/>
    <n v="0"/>
    <n v="0"/>
    <s v="0:00"/>
    <s v="0:00"/>
    <n v="0"/>
    <n v="0"/>
    <n v="0"/>
    <n v="0"/>
    <n v="0"/>
    <n v="0"/>
    <x v="1"/>
    <s v="Faith Ann Joaquin"/>
    <x v="4"/>
  </r>
  <r>
    <s v="AH Diabetic Held - Non-Billable"/>
    <s v="ILO Jeboy Castanaday"/>
    <s v="jeboy.castanaday@company.com"/>
    <n v="0"/>
    <n v="0"/>
    <n v="0"/>
    <n v="0"/>
    <n v="0"/>
    <n v="0"/>
    <n v="0"/>
    <n v="0"/>
    <n v="0"/>
    <n v="0.43530000000000002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eboy Castanaday"/>
    <x v="4"/>
  </r>
  <r>
    <s v="AH Diabetic Held - Non-Billable"/>
    <s v="ILO Jimson Buenaflor"/>
    <s v="jimson.buenaflor@company.com"/>
    <n v="0"/>
    <n v="0"/>
    <n v="0"/>
    <n v="0"/>
    <n v="0"/>
    <n v="0"/>
    <n v="0"/>
    <n v="0"/>
    <n v="0"/>
    <n v="3.5411000000000001"/>
    <n v="0"/>
    <s v="0:00"/>
    <s v="0:00"/>
    <s v="0:00"/>
    <s v="0:00"/>
    <s v="0:00"/>
    <s v="13:00"/>
    <s v="0:00"/>
    <s v="0:00"/>
    <n v="0"/>
    <n v="0"/>
    <n v="0"/>
    <n v="0"/>
    <n v="0"/>
    <s v="0:00"/>
    <s v="0:00"/>
    <n v="0"/>
    <n v="0"/>
    <n v="0"/>
    <n v="0"/>
    <n v="0"/>
    <n v="0"/>
    <x v="1"/>
    <s v="Jimson Buenaflor"/>
    <x v="4"/>
  </r>
  <r>
    <s v="AH Diabetic Held - Non-Billable"/>
    <s v="ILO John Paul Juanico"/>
    <s v="john.juanico@company.com"/>
    <n v="0"/>
    <n v="0"/>
    <n v="0"/>
    <n v="0"/>
    <n v="0"/>
    <n v="0"/>
    <n v="0"/>
    <n v="0"/>
    <n v="0"/>
    <n v="3.5638999999999998"/>
    <n v="0"/>
    <s v="0:00"/>
    <s v="0:00"/>
    <s v="0:00"/>
    <s v="0:00"/>
    <s v="0:00"/>
    <s v="11:29"/>
    <s v="0:00"/>
    <s v="0:00"/>
    <n v="0"/>
    <n v="0"/>
    <n v="0"/>
    <n v="0"/>
    <n v="0"/>
    <s v="0:00"/>
    <s v="0:00"/>
    <n v="0"/>
    <n v="0"/>
    <n v="0"/>
    <n v="0"/>
    <n v="0"/>
    <n v="0"/>
    <x v="1"/>
    <s v="John Paul Juanico"/>
    <x v="4"/>
  </r>
  <r>
    <s v="AH Diabetic Held - Non-Billable"/>
    <s v="ILO Karl Anderson Sillorequez"/>
    <s v="karl.sillorequez@company.com"/>
    <n v="0"/>
    <n v="0"/>
    <n v="0"/>
    <n v="0"/>
    <n v="0"/>
    <n v="0"/>
    <n v="0"/>
    <n v="0"/>
    <n v="0"/>
    <n v="3.5428000000000002"/>
    <n v="0"/>
    <s v="0:00"/>
    <s v="0:00"/>
    <s v="0:00"/>
    <s v="0:00"/>
    <s v="0:00"/>
    <s v="12:24"/>
    <s v="0:00"/>
    <s v="0:00"/>
    <n v="0"/>
    <n v="0"/>
    <n v="0"/>
    <n v="0"/>
    <n v="0"/>
    <s v="0:00"/>
    <s v="0:00"/>
    <n v="0"/>
    <n v="0"/>
    <n v="0"/>
    <n v="0"/>
    <n v="0"/>
    <n v="0"/>
    <x v="1"/>
    <s v="Karl Anderson Sillorequez"/>
    <x v="4"/>
  </r>
  <r>
    <s v="AH Diabetic Held - Non-Billable"/>
    <s v="ILO Lory Mae Arro"/>
    <s v="lory.arro@company.com"/>
    <n v="0"/>
    <n v="0"/>
    <n v="0"/>
    <n v="0"/>
    <n v="0"/>
    <n v="0"/>
    <n v="0"/>
    <n v="0"/>
    <n v="0"/>
    <n v="0.47970000000000002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Lory Mae Arro"/>
    <x v="4"/>
  </r>
  <r>
    <s v="AH Diabetic Held - Non-Billable"/>
    <s v="ILO Regine Escalo"/>
    <s v="regine.escalo@company.com"/>
    <n v="0"/>
    <n v="0"/>
    <n v="0"/>
    <n v="0"/>
    <n v="0"/>
    <n v="0"/>
    <n v="0"/>
    <n v="0"/>
    <n v="0"/>
    <n v="0.71060000000000001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Regine Escalo"/>
    <x v="4"/>
  </r>
  <r>
    <s v="AH Diabetic Held - Non-Billable"/>
    <s v="ILO Vannesa Gayuna"/>
    <s v="vannesa.gayuna@company.com"/>
    <n v="0"/>
    <n v="0"/>
    <n v="0"/>
    <n v="0"/>
    <n v="0"/>
    <n v="0"/>
    <n v="0"/>
    <n v="0"/>
    <n v="0"/>
    <n v="0.53969999999999996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Vannesa Gayuna"/>
    <x v="4"/>
  </r>
  <r>
    <s v="AH Diabetic Held - Patient Call"/>
    <s v="BTG  Angela Pearl Sabido"/>
    <s v="angela.sabido@company.com"/>
    <n v="22"/>
    <n v="17.623968597291999"/>
    <n v="0.77110000000000001"/>
    <n v="0.22305555555556"/>
    <n v="1"/>
    <n v="4.5454545454544998E-2"/>
    <n v="0.80108948169510996"/>
    <n v="0"/>
    <n v="0"/>
    <n v="1.2483"/>
    <n v="0.61772009933509997"/>
    <s v="0:01"/>
    <s v="2:42"/>
    <s v="2:06"/>
    <s v="0:36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Angela Pearl Sabido"/>
    <x v="5"/>
  </r>
  <r>
    <s v="AH Diabetic Held - Patient Call"/>
    <s v="BTG  Catherine Recinto"/>
    <s v="catherine.recinto@company.com"/>
    <n v="41"/>
    <n v="12.053860175222001"/>
    <n v="2.7021999999999999"/>
    <n v="0.15055555555555999"/>
    <n v="0"/>
    <n v="0"/>
    <n v="0"/>
    <n v="0"/>
    <n v="0"/>
    <n v="3.4014000000000002"/>
    <n v="0.79443758452402002"/>
    <s v="0:02"/>
    <s v="4:10"/>
    <s v="3:57"/>
    <s v="0:13"/>
    <s v="0:00"/>
    <s v="34:24"/>
    <s v="0:00"/>
    <s v="0:00"/>
    <n v="0"/>
    <n v="0"/>
    <n v="0"/>
    <n v="0"/>
    <n v="0"/>
    <s v="0:00"/>
    <s v="0:00"/>
    <n v="0"/>
    <n v="0"/>
    <n v="0"/>
    <n v="0"/>
    <n v="0"/>
    <n v="0"/>
    <x v="0"/>
    <s v="Catherine Recinto"/>
    <x v="5"/>
  </r>
  <r>
    <s v="AH Diabetic Held - Patient Call"/>
    <s v="BTG  Fatima Cuenca"/>
    <s v="fatima.cuenca@company.com"/>
    <n v="48"/>
    <n v="15.504877576070999"/>
    <n v="2.0733000000000001"/>
    <n v="0.26"/>
    <n v="2"/>
    <n v="4.1666666666666997E-2"/>
    <n v="0.64603656566961998"/>
    <n v="0"/>
    <n v="0"/>
    <n v="3.0958000000000001"/>
    <n v="0.66971380580141004"/>
    <s v="0:01"/>
    <s v="2:55"/>
    <s v="2:35"/>
    <s v="0:19"/>
    <s v="0:00"/>
    <s v="48:32"/>
    <s v="0:00"/>
    <s v="0:00"/>
    <n v="0"/>
    <n v="0"/>
    <n v="0"/>
    <n v="0"/>
    <n v="0"/>
    <s v="0:00"/>
    <s v="0:00"/>
    <n v="0"/>
    <n v="0"/>
    <n v="0"/>
    <n v="0"/>
    <n v="0"/>
    <n v="0"/>
    <x v="0"/>
    <s v="Fatima Cuenca"/>
    <x v="5"/>
  </r>
  <r>
    <s v="AH Diabetic Held - Patient Call"/>
    <s v="BTG  Keith Aurea"/>
    <s v="keith.aurea@company.com"/>
    <n v="15"/>
    <n v="10.322758241001999"/>
    <n v="1.0072000000000001"/>
    <n v="3.5000000000000003E-2"/>
    <n v="1"/>
    <n v="6.6666666666666999E-2"/>
    <n v="0.68818388273346998"/>
    <n v="0"/>
    <n v="0"/>
    <n v="1.4531000000000001"/>
    <n v="0.69313880668914996"/>
    <s v="0:10"/>
    <s v="4:10"/>
    <s v="4:01"/>
    <s v="0:08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Keith Aurea"/>
    <x v="5"/>
  </r>
  <r>
    <s v="AH Diabetic Held - Patient Call"/>
    <s v="BTG  Lyka Alpitche"/>
    <s v="lyka.alpitche@company.com"/>
    <n v="49"/>
    <n v="14.971889513566"/>
    <n v="2.6206"/>
    <n v="8.9166666666667005E-2"/>
    <n v="2"/>
    <n v="4.0816326530611999E-2"/>
    <n v="0.61109753116596999"/>
    <n v="0"/>
    <n v="0"/>
    <n v="3.2728000000000002"/>
    <n v="0.80072109508678002"/>
    <s v="0:01"/>
    <s v="3:19"/>
    <s v="3:12"/>
    <s v="0:06"/>
    <s v="0:00"/>
    <s v="45:52"/>
    <s v="0:00"/>
    <s v="0:00"/>
    <n v="0"/>
    <n v="0"/>
    <n v="0"/>
    <n v="0"/>
    <n v="0"/>
    <s v="0:00"/>
    <s v="0:00"/>
    <n v="0"/>
    <n v="0"/>
    <n v="0"/>
    <n v="0"/>
    <n v="0"/>
    <n v="0"/>
    <x v="0"/>
    <s v="Lyka Alpitche"/>
    <x v="5"/>
  </r>
  <r>
    <s v="AH Diabetic Held - Patient Call"/>
    <s v="BTG  Maria Gupit"/>
    <s v="maria.gupit@company.com"/>
    <n v="21"/>
    <n v="15.03006012024"/>
    <n v="1.1736"/>
    <n v="2.2499999999999999E-2"/>
    <n v="1"/>
    <n v="4.7619047619047998E-2"/>
    <n v="0.71571714858288005"/>
    <n v="0"/>
    <n v="0"/>
    <n v="1.3972"/>
    <n v="0.83996564557687003"/>
    <s v="0:01"/>
    <s v="3:25"/>
    <s v="3:21"/>
    <s v="0:03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Maria Gupit"/>
    <x v="5"/>
  </r>
  <r>
    <s v="AH Diabetic Held - Patient Call"/>
    <s v="BTG  Moriel Gonzales"/>
    <s v="moriel.gonzales@company.com"/>
    <n v="18"/>
    <n v="11.968880909635001"/>
    <n v="1.1689000000000001"/>
    <n v="1.7777777777778E-2"/>
    <n v="2"/>
    <n v="0.11111111111110999"/>
    <n v="1.3298756566261001"/>
    <n v="0"/>
    <n v="0"/>
    <n v="1.5039"/>
    <n v="0.77724582751513005"/>
    <s v="0:01"/>
    <s v="3:57"/>
    <s v="3:53"/>
    <s v="0:03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Moriel Gonzales"/>
    <x v="5"/>
  </r>
  <r>
    <s v="AH Diabetic Held - Patient Call"/>
    <s v="BTG  Patrick Tubato"/>
    <s v="patrick.tubato@company.com"/>
    <n v="29"/>
    <n v="18.513789581205"/>
    <n v="1.0761000000000001"/>
    <n v="4.5277777777778E-2"/>
    <n v="1"/>
    <n v="3.4482758620690002E-2"/>
    <n v="0.63840653728293995"/>
    <n v="0"/>
    <n v="0"/>
    <n v="1.5664"/>
    <n v="0.68698927477017002"/>
    <s v="0:02"/>
    <s v="2:19"/>
    <s v="2:13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Patrick Tubato"/>
    <x v="5"/>
  </r>
  <r>
    <s v="AH Diabetic Held - Patient Call"/>
    <s v="BTG  Rolysies Olbes"/>
    <s v="rolysies.olbes@company.com"/>
    <n v="39"/>
    <n v="11.422211808809999"/>
    <n v="2.9906000000000001"/>
    <n v="4.2500000000000003E-2"/>
    <n v="0"/>
    <n v="0"/>
    <n v="0"/>
    <n v="0"/>
    <n v="0"/>
    <n v="3.4144000000000001"/>
    <n v="0.87587863167760005"/>
    <s v="0:01"/>
    <s v="4:39"/>
    <s v="4:36"/>
    <s v="0:03"/>
    <s v="0:00"/>
    <s v="32:56"/>
    <s v="0:00"/>
    <s v="0:00"/>
    <n v="0"/>
    <n v="0"/>
    <n v="0"/>
    <n v="0"/>
    <n v="0"/>
    <s v="0:00"/>
    <s v="0:00"/>
    <n v="0"/>
    <n v="0"/>
    <n v="0"/>
    <n v="0"/>
    <n v="0"/>
    <n v="0"/>
    <x v="0"/>
    <s v="Rolysies Olbes"/>
    <x v="5"/>
  </r>
  <r>
    <s v="AH Diabetic Held - Patient Call"/>
    <s v="BTG  Rose Manalo"/>
    <s v="rose.manalo@company.com"/>
    <n v="27"/>
    <n v="10.199456029012"/>
    <n v="2.2875000000000001"/>
    <n v="8.0833333333332993E-2"/>
    <n v="4"/>
    <n v="0.14814814814815"/>
    <n v="1.5110305228166001"/>
    <n v="0"/>
    <n v="0"/>
    <n v="2.6472000000000002"/>
    <n v="0.86412058023572003"/>
    <s v="0:01"/>
    <s v="5:15"/>
    <s v="5:05"/>
    <s v="0:10"/>
    <s v="0:00"/>
    <s v="31:46"/>
    <s v="0:00"/>
    <s v="0:00"/>
    <n v="0"/>
    <n v="0"/>
    <n v="0"/>
    <n v="0"/>
    <n v="0"/>
    <s v="0:00"/>
    <s v="0:00"/>
    <n v="0"/>
    <n v="0"/>
    <n v="0"/>
    <n v="0"/>
    <n v="0"/>
    <n v="0"/>
    <x v="0"/>
    <s v="Rose Manalo"/>
    <x v="5"/>
  </r>
  <r>
    <s v="AH Diabetic Held - Patient Call"/>
    <s v="BTG  Vil Pagsanjan"/>
    <s v="vil.pagsanjan@company.com"/>
    <n v="15"/>
    <n v="11.553570053146"/>
    <n v="1.105"/>
    <n v="3.3888888888889003E-2"/>
    <n v="1"/>
    <n v="6.6666666666666999E-2"/>
    <n v="0.77023800354309013"/>
    <n v="0"/>
    <n v="0"/>
    <n v="1.2983"/>
    <n v="0.85111299391511996"/>
    <s v="0:02"/>
    <s v="4:33"/>
    <s v="4:25"/>
    <s v="0:08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Vil Pagsanjan"/>
    <x v="5"/>
  </r>
  <r>
    <s v="AH Diabetic Held - Patient Call"/>
    <s v="BTG  Vince DeVeza"/>
    <s v="vince.deveza@company.com"/>
    <n v="22"/>
    <n v="14.542570068747001"/>
    <n v="1.2644"/>
    <n v="6.5277777777778004E-2"/>
    <n v="1"/>
    <n v="4.5454545454544998E-2"/>
    <n v="0.66102591221576001"/>
    <n v="0"/>
    <n v="0"/>
    <n v="1.5127999999999999"/>
    <n v="0.83580116340560995"/>
    <s v="0:01"/>
    <s v="3:37"/>
    <s v="3:26"/>
    <s v="0:1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Vince DeVeza"/>
    <x v="5"/>
  </r>
  <r>
    <s v="AH Diabetic Held - Patient Call"/>
    <s v="ILO Bon Mark Gonzales"/>
    <s v="bon.gonzales@company.com"/>
    <n v="0"/>
    <n v="0"/>
    <n v="0"/>
    <n v="0"/>
    <n v="0"/>
    <n v="0"/>
    <n v="0"/>
    <n v="0"/>
    <n v="0"/>
    <n v="1.1000000000000001E-3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Bon Mark Gonzales"/>
    <x v="5"/>
  </r>
  <r>
    <s v="AH Diabetic Held – Rework"/>
    <s v="ILO_x0009_Diane Clarito"/>
    <s v="diane.clarito@company.com"/>
    <n v="26"/>
    <n v="10.019267822735999"/>
    <n v="1.9558"/>
    <n v="0.18305555555556"/>
    <n v="0"/>
    <n v="0"/>
    <n v="0"/>
    <n v="0"/>
    <n v="0"/>
    <n v="2.5950000000000002"/>
    <n v="0.75368015414258005"/>
    <s v="0:01"/>
    <s v="4:56"/>
    <s v="4:30"/>
    <s v="0:25"/>
    <s v="0:00"/>
    <s v="5:32"/>
    <s v="0:00"/>
    <s v="0:00"/>
    <n v="0"/>
    <n v="0"/>
    <n v="0"/>
    <n v="0"/>
    <n v="0"/>
    <s v="0:00"/>
    <s v="0:00"/>
    <n v="0"/>
    <n v="0"/>
    <n v="0"/>
    <n v="0"/>
    <n v="0"/>
    <n v="0"/>
    <x v="1"/>
    <s v="_x0009_Diane Clarito"/>
    <x v="6"/>
  </r>
  <r>
    <s v="AH Diabetic Held – Rework"/>
    <s v="ILO_x0009_Laurice Anne Farid Lima"/>
    <s v="laurice.lima@company.com"/>
    <n v="20"/>
    <n v="9.5047999239616008"/>
    <n v="1.6318999999999999"/>
    <n v="0.21694444444444"/>
    <n v="0"/>
    <n v="0"/>
    <n v="0"/>
    <n v="0"/>
    <n v="0"/>
    <n v="2.1042000000000001"/>
    <n v="0.77554414979565012"/>
    <s v="0:01"/>
    <s v="5:32"/>
    <s v="4:53"/>
    <s v="0:39"/>
    <s v="0:00"/>
    <s v="45:53"/>
    <s v="0:00"/>
    <s v="0:00"/>
    <n v="0"/>
    <n v="0"/>
    <n v="0"/>
    <n v="0"/>
    <n v="0"/>
    <s v="0:00"/>
    <s v="0:00"/>
    <n v="0"/>
    <n v="0"/>
    <n v="0"/>
    <n v="0"/>
    <n v="0"/>
    <n v="0"/>
    <x v="1"/>
    <s v="_x0009_Laurice Anne Farid Lima"/>
    <x v="6"/>
  </r>
  <r>
    <s v="AH Diabetic Held – Rework"/>
    <s v="ILO Bon Mark Gonzales"/>
    <s v="bon.gonzales@company.com"/>
    <n v="17"/>
    <n v="8.9135906040267994"/>
    <n v="1.5947"/>
    <n v="0.10638888888889"/>
    <n v="0"/>
    <n v="0"/>
    <n v="0"/>
    <n v="0"/>
    <n v="0"/>
    <n v="1.9072"/>
    <n v="0.83614723154362003"/>
    <s v="0:01"/>
    <s v="6:00"/>
    <s v="5:37"/>
    <s v="0:22"/>
    <s v="0:00"/>
    <s v="53:50"/>
    <s v="0:00"/>
    <s v="0:00"/>
    <n v="0"/>
    <n v="0"/>
    <n v="0"/>
    <n v="0"/>
    <n v="0"/>
    <s v="0:00"/>
    <s v="0:00"/>
    <n v="0"/>
    <n v="0"/>
    <n v="0"/>
    <n v="0"/>
    <n v="0"/>
    <n v="0"/>
    <x v="1"/>
    <s v="Bon Mark Gonzales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DB534-77B9-495F-B114-624D60B9FEDE}" name="PivotTable1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T1:Z13" firstHeaderRow="0" firstDataRow="1" firstDataCol="2"/>
  <pivotFields count="40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m="1"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6"/>
        <item x="1"/>
        <item x="5"/>
        <item m="1" x="8"/>
        <item x="0"/>
        <item x="2"/>
        <item x="4"/>
        <item x="3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5"/>
    <field x="37"/>
  </rowFields>
  <rowItems count="12">
    <i>
      <x/>
      <x v="2"/>
    </i>
    <i r="1">
      <x v="4"/>
    </i>
    <i r="1">
      <x v="5"/>
    </i>
    <i r="1">
      <x v="6"/>
    </i>
    <i r="1">
      <x v="7"/>
    </i>
    <i>
      <x v="1"/>
      <x/>
    </i>
    <i r="1">
      <x v="1"/>
    </i>
    <i r="1">
      <x v="2"/>
    </i>
    <i r="1">
      <x v="5"/>
    </i>
    <i r="1">
      <x v="6"/>
    </i>
    <i>
      <x v="3"/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Calls" fld="3" baseField="0" baseItem="0"/>
    <dataField name="Sum of Points" fld="10" baseField="0" baseItem="0"/>
    <dataField name="Sum of Logged In" fld="12" baseField="0" baseItem="0"/>
    <dataField name="Sum of RPH" fld="38" baseField="0" baseItem="0" numFmtId="2"/>
    <dataField name="Sum of PPH" fld="39" baseField="0" baseItem="0" numFmtId="2"/>
  </dataFields>
  <formats count="4">
    <format dxfId="11">
      <pivotArea outline="0" fieldPosition="0">
        <references count="1">
          <reference field="4294967294" count="1" selected="0">
            <x v="3"/>
          </reference>
        </references>
      </pivotArea>
    </format>
    <format dxfId="10">
      <pivotArea outline="0" fieldPosition="0">
        <references count="1">
          <reference field="4294967294" count="1" selected="0">
            <x v="4"/>
          </reference>
        </references>
      </pivotArea>
    </format>
    <format dxfId="9">
      <pivotArea outline="0" fieldPosition="0">
        <references count="3">
          <reference field="4294967294" count="1" selected="0">
            <x v="2"/>
          </reference>
          <reference field="35" count="0" selected="0"/>
          <reference field="37" count="0" selected="0"/>
        </references>
      </pivotArea>
    </format>
    <format dxfId="8">
      <pivotArea field="35" grandRow="1" outline="0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1A1C17-0D26-4584-A6AA-C920E0A86CBE}" autoFormatId="16" applyNumberFormats="0" applyBorderFormats="0" applyFontFormats="0" applyPatternFormats="0" applyAlignmentFormats="0" applyWidthHeightFormats="0">
  <queryTableRefresh nextId="40" unboundColumnsRight="3">
    <queryTableFields count="38">
      <queryTableField id="1" name="Campaign" tableColumnId="1"/>
      <queryTableField id="2" name="Agent" tableColumnId="2"/>
      <queryTableField id="3" name="Agent Email" tableColumnId="3"/>
      <queryTableField id="4" name="Calls" tableColumnId="4"/>
      <queryTableField id="5" name="Calls/Hr" tableColumnId="5"/>
      <queryTableField id="6" name="Talk" tableColumnId="6"/>
      <queryTableField id="7" name="Wrap Up" tableColumnId="7"/>
      <queryTableField id="8" name="Conv" tableColumnId="8"/>
      <queryTableField id="9" name="Conv %" tableColumnId="9"/>
      <queryTableField id="10" name="Conv/Hr" tableColumnId="10"/>
      <queryTableField id="11" name="Points" tableColumnId="11"/>
      <queryTableField id="12" name="Points/Hr" tableColumnId="12"/>
      <queryTableField id="13" name="Logged In" tableColumnId="13"/>
      <queryTableField id="14" name="Eff %" tableColumnId="14"/>
      <queryTableField id="15" name="AAT" tableColumnId="15"/>
      <queryTableField id="16" name="AHT" tableColumnId="16"/>
      <queryTableField id="17" name="ATT" tableColumnId="17"/>
      <queryTableField id="18" name="AWT" tableColumnId="18"/>
      <queryTableField id="19" name="Administrative" tableColumnId="19"/>
      <queryTableField id="20" name="Break" tableColumnId="20"/>
      <queryTableField id="21" name="Coaching" tableColumnId="21"/>
      <queryTableField id="22" name="Unavailable" tableColumnId="22"/>
      <queryTableField id="23" name="QA Score" tableColumnId="23"/>
      <queryTableField id="24" name="Scorecards" tableColumnId="24"/>
      <queryTableField id="25" name="Passed" tableColumnId="25"/>
      <queryTableField id="26" name="Auto Fails" tableColumnId="26"/>
      <queryTableField id="27" name="Holds" tableColumnId="27"/>
      <queryTableField id="28" name="Hold" tableColumnId="28"/>
      <queryTableField id="29" name="Hold/Call" tableColumnId="29"/>
      <queryTableField id="30" name="Rings Tot" tableColumnId="30"/>
      <queryTableField id="31" name="Rings Ans" tableColumnId="31"/>
      <queryTableField id="32" name="Rings Decl" tableColumnId="32"/>
      <queryTableField id="33" name="Rings Timeout" tableColumnId="33"/>
      <queryTableField id="34" name="Rings Miss" tableColumnId="34"/>
      <queryTableField id="35" name="Rings Aban" tableColumnId="35"/>
      <queryTableField id="36" dataBound="0" tableColumnId="36"/>
      <queryTableField id="37" dataBound="0" tableColumnId="37"/>
      <queryTableField id="39" dataBound="0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728FDF-A090-4A0D-9FED-F41C659F6466}" name="Campaign_Report" displayName="Campaign_Report" ref="A1:AL79" tableType="queryTable" totalsRowShown="0">
  <autoFilter ref="A1:AL79" xr:uid="{D5728FDF-A090-4A0D-9FED-F41C659F6466}"/>
  <tableColumns count="38">
    <tableColumn id="1" xr3:uid="{33B97B86-91E3-4751-9581-FC84601269D1}" uniqueName="1" name="Campaign" queryTableFieldId="1"/>
    <tableColumn id="2" xr3:uid="{339969E0-8F22-46F2-B114-88B33B16F772}" uniqueName="2" name="Agent" queryTableFieldId="2"/>
    <tableColumn id="3" xr3:uid="{638B880B-7D26-4984-B98B-3775C5FC975B}" uniqueName="3" name="Agent Email" queryTableFieldId="3"/>
    <tableColumn id="4" xr3:uid="{66E899E6-547F-4EEA-967E-94FD16A89854}" uniqueName="4" name="Calls" queryTableFieldId="4"/>
    <tableColumn id="5" xr3:uid="{918A18C7-3367-4D97-AAAC-B8FC64641402}" uniqueName="5" name="Calls/Hr" queryTableFieldId="5"/>
    <tableColumn id="6" xr3:uid="{EE3E7F93-B91E-495B-85F5-560F06051355}" uniqueName="6" name="Talk" queryTableFieldId="6"/>
    <tableColumn id="7" xr3:uid="{12F88897-E9E8-4CA7-ADF5-7095D7BE6A7B}" uniqueName="7" name="Wrap Up" queryTableFieldId="7"/>
    <tableColumn id="8" xr3:uid="{3D44CBCF-9029-4CC0-96AF-77301D61053C}" uniqueName="8" name="Conv" queryTableFieldId="8"/>
    <tableColumn id="9" xr3:uid="{79D471D7-A88A-4BFA-A6DC-44269376A53E}" uniqueName="9" name="Conv %" queryTableFieldId="9"/>
    <tableColumn id="10" xr3:uid="{0A53D068-4435-4DFE-A9B7-A62472D0E08C}" uniqueName="10" name="Conv/Hr" queryTableFieldId="10"/>
    <tableColumn id="11" xr3:uid="{448B55D8-5E67-489C-BFEE-EE5FBD03ADB1}" uniqueName="11" name="Points" queryTableFieldId="11"/>
    <tableColumn id="12" xr3:uid="{93931E14-1CA4-4AC2-94A3-9BCA0DF8B3F3}" uniqueName="12" name="Points/Hr" queryTableFieldId="12"/>
    <tableColumn id="13" xr3:uid="{D79AA9D4-E1A5-43B7-AFAA-A11B7B3E258A}" uniqueName="13" name="Logged In" queryTableFieldId="13"/>
    <tableColumn id="14" xr3:uid="{8AC1671D-0864-41D9-9B7B-315D11EF0C2E}" uniqueName="14" name="Eff %" queryTableFieldId="14"/>
    <tableColumn id="15" xr3:uid="{2B4AD5FA-E9EA-4E36-8D17-1353857FC5A6}" uniqueName="15" name="AAT" queryTableFieldId="15"/>
    <tableColumn id="16" xr3:uid="{5903C223-70A9-4701-ACD8-215DC419DF0C}" uniqueName="16" name="AHT" queryTableFieldId="16"/>
    <tableColumn id="17" xr3:uid="{CCEA6092-CBEA-4105-81F1-22BDE3E09C73}" uniqueName="17" name="ATT" queryTableFieldId="17"/>
    <tableColumn id="18" xr3:uid="{A9CC45B2-D4A2-4806-97E8-1F7D9049FBEE}" uniqueName="18" name="AWT" queryTableFieldId="18"/>
    <tableColumn id="19" xr3:uid="{C57FD616-020E-4D2C-9EE8-7876822257D3}" uniqueName="19" name="Administrative" queryTableFieldId="19"/>
    <tableColumn id="20" xr3:uid="{593360DD-1010-47A2-B74E-F41FFE2F09B4}" uniqueName="20" name="Break" queryTableFieldId="20"/>
    <tableColumn id="21" xr3:uid="{8A5CE3E5-3E54-48D9-B6A3-0464C3592861}" uniqueName="21" name="Coaching" queryTableFieldId="21"/>
    <tableColumn id="22" xr3:uid="{89A6976F-D880-4D08-9BB2-96B5DB3598A5}" uniqueName="22" name="Unavailable" queryTableFieldId="22"/>
    <tableColumn id="23" xr3:uid="{34A4F242-36EE-4876-9CB3-7701EA5A0ED7}" uniqueName="23" name="QA Score" queryTableFieldId="23"/>
    <tableColumn id="24" xr3:uid="{6C2CBEAB-E0A0-4BF7-9FF6-5B8B8D70D624}" uniqueName="24" name="Scorecards" queryTableFieldId="24"/>
    <tableColumn id="25" xr3:uid="{FF7EE800-484D-4CBE-B489-82AAF80E0D75}" uniqueName="25" name="Passed" queryTableFieldId="25"/>
    <tableColumn id="26" xr3:uid="{76EA4941-D5A3-4752-AE49-D5BEF668B552}" uniqueName="26" name="Auto Fails" queryTableFieldId="26"/>
    <tableColumn id="27" xr3:uid="{00A7DC87-2EE1-417C-AF3E-42CACED376A4}" uniqueName="27" name="Holds" queryTableFieldId="27"/>
    <tableColumn id="28" xr3:uid="{78329249-AE48-490B-9106-3BF2B6CFB4C0}" uniqueName="28" name="Hold" queryTableFieldId="28"/>
    <tableColumn id="29" xr3:uid="{972DF8FE-1549-4FAF-8367-7C56BE97A633}" uniqueName="29" name="Hold/Call" queryTableFieldId="29"/>
    <tableColumn id="30" xr3:uid="{FA59E2C4-20EB-4B1F-A250-1AD657FE9DDA}" uniqueName="30" name="Rings Tot" queryTableFieldId="30"/>
    <tableColumn id="31" xr3:uid="{33ADF388-5FBE-4F2F-B788-CB914B0F7416}" uniqueName="31" name="Rings Ans" queryTableFieldId="31"/>
    <tableColumn id="32" xr3:uid="{0ACDE942-D073-42C9-BC32-C0523F3E3B40}" uniqueName="32" name="Rings Decl" queryTableFieldId="32"/>
    <tableColumn id="33" xr3:uid="{06D9DF2C-F3B2-4346-A08B-A66B777F1FEB}" uniqueName="33" name="Rings Timeout" queryTableFieldId="33"/>
    <tableColumn id="34" xr3:uid="{25B14FFF-6132-41E2-A214-6F21B710A6D1}" uniqueName="34" name="Rings Miss" queryTableFieldId="34"/>
    <tableColumn id="35" xr3:uid="{8B9849C3-8389-4328-ADA2-5AC9939D14E9}" uniqueName="35" name="Rings Aban" queryTableFieldId="35"/>
    <tableColumn id="36" xr3:uid="{68FFAE6E-4E76-4693-B41E-DBADDBDAE86D}" uniqueName="36" name="Site" queryTableFieldId="36" dataDxfId="2">
      <calculatedColumnFormula>LEFT(B2,3)</calculatedColumnFormula>
    </tableColumn>
    <tableColumn id="37" xr3:uid="{729D2EA6-641A-48AB-BF0D-B05E03BB4358}" uniqueName="37" name="AgentName" queryTableFieldId="37" dataDxfId="1">
      <calculatedColumnFormula>TRIM(RIGHT(B2, LEN(B2)-3))</calculatedColumnFormula>
    </tableColumn>
    <tableColumn id="39" xr3:uid="{ED32FC8B-A54E-4E23-B753-278257ABE055}" uniqueName="39" name="Workflow" queryTableFieldId="39" dataDxfId="0">
      <calculatedColumnFormula>_xlfn.XLOOKUP(Campaign_Report[[#This Row],[Campaign]],reference!A:A,reference!B:B)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ookerstudio.google.com/reporting/a1804b46-0312-42b0-80a1-6e7beba696da/page/p_h766chu63c?s=gBBoE3MmLjg&amp;pli=1" TargetMode="External"/><Relationship Id="rId2" Type="http://schemas.openxmlformats.org/officeDocument/2006/relationships/hyperlink" Target="https://hbos.freshdesk.com/support/tickets/new" TargetMode="External"/><Relationship Id="rId1" Type="http://schemas.openxmlformats.org/officeDocument/2006/relationships/hyperlink" Target="https://adapthealthhelpdesk.freshservice.com/support/ticket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defaultColWidth="12.6640625" defaultRowHeight="15.75" customHeight="1"/>
  <sheetData>
    <row r="1" spans="1:2">
      <c r="A1" s="1" t="s">
        <v>0</v>
      </c>
      <c r="B1" s="2" t="s">
        <v>1</v>
      </c>
    </row>
    <row r="2" spans="1:2">
      <c r="B2" s="2" t="s">
        <v>2</v>
      </c>
    </row>
    <row r="3" spans="1:2">
      <c r="A3" s="1" t="s">
        <v>3</v>
      </c>
      <c r="B3" s="2" t="s">
        <v>4</v>
      </c>
    </row>
  </sheetData>
  <hyperlinks>
    <hyperlink ref="B1" r:id="rId1" xr:uid="{00000000-0004-0000-0000-000000000000}"/>
    <hyperlink ref="B2" r:id="rId2" xr:uid="{00000000-0004-0000-0000-000001000000}"/>
    <hyperlink ref="B3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57"/>
  <sheetViews>
    <sheetView workbookViewId="0"/>
  </sheetViews>
  <sheetFormatPr defaultColWidth="12.6640625" defaultRowHeight="15.75" customHeight="1"/>
  <cols>
    <col min="1" max="1" width="20.6640625" customWidth="1"/>
    <col min="2" max="2" width="27" customWidth="1"/>
    <col min="14" max="14" width="14.6640625" customWidth="1"/>
    <col min="18" max="18" width="21.44140625" customWidth="1"/>
    <col min="23" max="23" width="12.6640625" hidden="1"/>
    <col min="24" max="24" width="16.33203125" customWidth="1"/>
    <col min="25" max="25" width="19.6640625" customWidth="1"/>
  </cols>
  <sheetData>
    <row r="1" spans="1:25" ht="15.75" customHeight="1">
      <c r="A1" s="3" t="s">
        <v>5</v>
      </c>
      <c r="B1" s="3" t="s">
        <v>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>
        <v>45547</v>
      </c>
      <c r="O1" s="5"/>
      <c r="P1" s="5"/>
      <c r="Q1" s="5"/>
      <c r="R1" s="6" t="s">
        <v>7</v>
      </c>
      <c r="S1" s="7" t="s">
        <v>8</v>
      </c>
      <c r="T1" s="7" t="s">
        <v>9</v>
      </c>
      <c r="U1" s="7" t="s">
        <v>10</v>
      </c>
      <c r="V1" s="7" t="s">
        <v>11</v>
      </c>
      <c r="W1" s="7"/>
      <c r="X1" s="7" t="s">
        <v>12</v>
      </c>
      <c r="Y1" s="8"/>
    </row>
    <row r="2" spans="1:25" ht="15.75" customHeight="1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10"/>
      <c r="O2" s="5"/>
      <c r="P2" s="5"/>
      <c r="Q2" s="5"/>
      <c r="R2" s="11" t="s">
        <v>26</v>
      </c>
      <c r="S2" s="12">
        <v>15</v>
      </c>
      <c r="T2" s="12">
        <v>1284</v>
      </c>
      <c r="U2" s="12">
        <v>2</v>
      </c>
      <c r="V2" s="12">
        <v>80</v>
      </c>
      <c r="W2" s="13"/>
      <c r="X2" s="14">
        <v>0.61</v>
      </c>
    </row>
    <row r="3" spans="1:25" ht="15.75" customHeight="1">
      <c r="A3" s="15" t="s">
        <v>27</v>
      </c>
      <c r="B3" s="16">
        <v>4</v>
      </c>
      <c r="C3" s="16">
        <v>25</v>
      </c>
      <c r="D3" s="16">
        <v>5</v>
      </c>
      <c r="E3" s="16">
        <v>24</v>
      </c>
      <c r="F3" s="16">
        <v>9</v>
      </c>
      <c r="G3" s="17"/>
      <c r="H3" s="17"/>
      <c r="I3" s="17"/>
      <c r="J3" s="17"/>
      <c r="K3" s="17"/>
      <c r="L3" s="17"/>
      <c r="M3" s="16">
        <v>67</v>
      </c>
      <c r="N3" s="18">
        <v>0.43280000000000002</v>
      </c>
      <c r="O3" s="5"/>
      <c r="P3" s="5"/>
      <c r="Q3" s="5"/>
      <c r="R3" s="11" t="s">
        <v>28</v>
      </c>
      <c r="S3" s="12">
        <v>15</v>
      </c>
      <c r="T3" s="12">
        <v>1021</v>
      </c>
      <c r="U3" s="12">
        <v>4</v>
      </c>
      <c r="V3" s="12">
        <v>32</v>
      </c>
      <c r="W3" s="13"/>
      <c r="X3" s="14">
        <v>0.44</v>
      </c>
    </row>
    <row r="4" spans="1:25" ht="15.75" customHeight="1">
      <c r="A4" s="15" t="s">
        <v>29</v>
      </c>
      <c r="B4" s="16">
        <v>7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6">
        <v>7</v>
      </c>
      <c r="N4" s="18">
        <v>1</v>
      </c>
      <c r="O4" s="5"/>
      <c r="P4" s="5"/>
      <c r="Q4" s="5"/>
      <c r="R4" s="11" t="s">
        <v>30</v>
      </c>
      <c r="S4" s="12">
        <v>20</v>
      </c>
      <c r="T4" s="12">
        <v>41</v>
      </c>
      <c r="U4" s="12">
        <v>1</v>
      </c>
      <c r="V4" s="12">
        <v>5</v>
      </c>
      <c r="W4" s="13"/>
      <c r="X4" s="19">
        <v>1</v>
      </c>
    </row>
    <row r="5" spans="1:25" ht="15.75" customHeight="1">
      <c r="A5" s="15" t="s">
        <v>31</v>
      </c>
      <c r="B5" s="16">
        <v>11</v>
      </c>
      <c r="C5" s="16">
        <v>6</v>
      </c>
      <c r="D5" s="17"/>
      <c r="E5" s="16">
        <v>1</v>
      </c>
      <c r="F5" s="17"/>
      <c r="G5" s="17"/>
      <c r="H5" s="17"/>
      <c r="I5" s="17"/>
      <c r="J5" s="17"/>
      <c r="K5" s="17"/>
      <c r="L5" s="17"/>
      <c r="M5" s="16">
        <v>18</v>
      </c>
      <c r="N5" s="18">
        <v>0.94440000000000002</v>
      </c>
      <c r="O5" s="5"/>
      <c r="P5" s="5"/>
      <c r="Q5" s="5"/>
      <c r="R5" s="11" t="s">
        <v>32</v>
      </c>
      <c r="S5" s="12">
        <v>17</v>
      </c>
      <c r="T5" s="12">
        <v>315</v>
      </c>
      <c r="U5" s="12">
        <v>2</v>
      </c>
      <c r="V5" s="12">
        <v>20</v>
      </c>
      <c r="W5" s="13"/>
      <c r="X5" s="19">
        <v>1</v>
      </c>
    </row>
    <row r="6" spans="1:25" ht="15.75" customHeight="1">
      <c r="A6" s="20" t="s">
        <v>33</v>
      </c>
      <c r="B6" s="16">
        <v>1547</v>
      </c>
      <c r="C6" s="16">
        <v>1604</v>
      </c>
      <c r="D6" s="16">
        <v>196</v>
      </c>
      <c r="E6" s="16">
        <v>348</v>
      </c>
      <c r="F6" s="16">
        <v>304</v>
      </c>
      <c r="G6" s="16">
        <v>482</v>
      </c>
      <c r="H6" s="16">
        <v>976</v>
      </c>
      <c r="I6" s="16">
        <v>701</v>
      </c>
      <c r="J6" s="16">
        <v>824</v>
      </c>
      <c r="K6" s="16">
        <v>470</v>
      </c>
      <c r="L6" s="16">
        <v>1</v>
      </c>
      <c r="M6" s="16">
        <v>7453</v>
      </c>
      <c r="N6" s="18">
        <v>0.42280000000000001</v>
      </c>
      <c r="O6" s="5"/>
      <c r="P6" s="5"/>
      <c r="Q6" s="5"/>
      <c r="R6" s="11" t="s">
        <v>34</v>
      </c>
      <c r="S6" s="12">
        <v>17</v>
      </c>
      <c r="T6" s="12">
        <v>176</v>
      </c>
      <c r="U6" s="12">
        <v>2</v>
      </c>
      <c r="V6" s="12">
        <v>11</v>
      </c>
      <c r="W6" s="13"/>
      <c r="X6" s="21">
        <v>0.94599999999999995</v>
      </c>
    </row>
    <row r="7" spans="1:25" ht="15.75" customHeight="1">
      <c r="A7" s="15" t="s">
        <v>35</v>
      </c>
      <c r="B7" s="16">
        <v>135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6">
        <v>135</v>
      </c>
      <c r="N7" s="18">
        <v>1</v>
      </c>
      <c r="O7" s="5"/>
      <c r="P7" s="5"/>
      <c r="Q7" s="5"/>
      <c r="R7" s="11" t="s">
        <v>36</v>
      </c>
      <c r="S7" s="12">
        <v>10</v>
      </c>
      <c r="T7" s="12">
        <v>0</v>
      </c>
      <c r="U7" s="13"/>
      <c r="V7" s="13"/>
      <c r="W7" s="13"/>
      <c r="X7" s="22" t="s">
        <v>37</v>
      </c>
    </row>
    <row r="8" spans="1:25" ht="15.75" customHeight="1">
      <c r="A8" s="15" t="s">
        <v>38</v>
      </c>
      <c r="B8" s="16">
        <v>96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6">
        <v>96</v>
      </c>
      <c r="N8" s="18">
        <v>1</v>
      </c>
      <c r="O8" s="5"/>
      <c r="P8" s="5"/>
      <c r="Q8" s="5"/>
      <c r="R8" s="11" t="s">
        <v>39</v>
      </c>
      <c r="S8" s="12">
        <v>20</v>
      </c>
      <c r="T8" s="12">
        <v>25</v>
      </c>
      <c r="U8" s="12">
        <v>5</v>
      </c>
      <c r="V8" s="12">
        <v>1</v>
      </c>
      <c r="W8" s="12">
        <v>1447</v>
      </c>
      <c r="X8" s="19">
        <v>1</v>
      </c>
    </row>
    <row r="9" spans="1:25" ht="15.75" customHeight="1">
      <c r="A9" s="20" t="s">
        <v>40</v>
      </c>
      <c r="B9" s="16">
        <v>1776</v>
      </c>
      <c r="C9" s="16">
        <v>636</v>
      </c>
      <c r="D9" s="16">
        <v>620</v>
      </c>
      <c r="E9" s="16">
        <v>242</v>
      </c>
      <c r="F9" s="16">
        <v>378</v>
      </c>
      <c r="G9" s="16">
        <v>467</v>
      </c>
      <c r="H9" s="16">
        <v>824</v>
      </c>
      <c r="I9" s="16">
        <v>554</v>
      </c>
      <c r="J9" s="16">
        <v>591</v>
      </c>
      <c r="K9" s="16">
        <v>375</v>
      </c>
      <c r="L9" s="17"/>
      <c r="M9" s="16">
        <v>6463</v>
      </c>
      <c r="N9" s="18">
        <v>0.37319999999999998</v>
      </c>
      <c r="O9" s="5"/>
      <c r="P9" s="5"/>
      <c r="Q9" s="5"/>
      <c r="R9" s="11" t="s">
        <v>41</v>
      </c>
      <c r="S9" s="12">
        <v>25</v>
      </c>
      <c r="T9" s="12">
        <v>145</v>
      </c>
      <c r="U9" s="12">
        <v>1</v>
      </c>
      <c r="V9" s="12">
        <v>18</v>
      </c>
      <c r="W9" s="13"/>
      <c r="X9" s="21">
        <v>0.93</v>
      </c>
    </row>
    <row r="10" spans="1:25" ht="15.75" customHeight="1">
      <c r="A10" s="15" t="s">
        <v>42</v>
      </c>
      <c r="B10" s="16">
        <v>213</v>
      </c>
      <c r="C10" s="16">
        <v>34</v>
      </c>
      <c r="D10" s="16">
        <v>9</v>
      </c>
      <c r="E10" s="16">
        <v>1</v>
      </c>
      <c r="F10" s="16">
        <v>7</v>
      </c>
      <c r="G10" s="17"/>
      <c r="H10" s="17"/>
      <c r="I10" s="17"/>
      <c r="J10" s="17"/>
      <c r="K10" s="17"/>
      <c r="L10" s="17"/>
      <c r="M10" s="16">
        <v>264</v>
      </c>
      <c r="N10" s="18">
        <v>0.93559999999999999</v>
      </c>
      <c r="O10" s="5"/>
      <c r="P10" s="5"/>
      <c r="Q10" s="5"/>
      <c r="R10" s="11" t="s">
        <v>43</v>
      </c>
      <c r="S10" s="12">
        <v>10</v>
      </c>
      <c r="T10" s="12">
        <v>20</v>
      </c>
      <c r="U10" s="12">
        <v>5</v>
      </c>
      <c r="V10" s="12">
        <v>1</v>
      </c>
      <c r="W10" s="13"/>
      <c r="X10" s="19">
        <v>1</v>
      </c>
    </row>
    <row r="11" spans="1:25" ht="15.75" customHeight="1">
      <c r="A11" s="15" t="s">
        <v>44</v>
      </c>
      <c r="B11" s="16">
        <v>7060</v>
      </c>
      <c r="C11" s="16">
        <v>3115</v>
      </c>
      <c r="D11" s="16">
        <v>3065</v>
      </c>
      <c r="E11" s="16">
        <v>3913</v>
      </c>
      <c r="F11" s="16">
        <v>5276</v>
      </c>
      <c r="G11" s="16">
        <v>2592</v>
      </c>
      <c r="H11" s="16">
        <v>85</v>
      </c>
      <c r="I11" s="16">
        <v>23</v>
      </c>
      <c r="J11" s="16">
        <v>13</v>
      </c>
      <c r="K11" s="16">
        <v>34</v>
      </c>
      <c r="L11" s="17"/>
      <c r="M11" s="16">
        <v>25176</v>
      </c>
      <c r="N11" s="18">
        <v>0.4042</v>
      </c>
      <c r="O11" s="5"/>
      <c r="P11" s="5"/>
      <c r="Q11" s="5"/>
      <c r="R11" s="11" t="s">
        <v>45</v>
      </c>
      <c r="S11" s="12">
        <v>25</v>
      </c>
      <c r="T11" s="12">
        <v>1</v>
      </c>
      <c r="U11" s="12">
        <v>5</v>
      </c>
      <c r="V11" s="12">
        <v>0</v>
      </c>
      <c r="W11" s="13"/>
      <c r="X11" s="19">
        <v>1</v>
      </c>
    </row>
    <row r="12" spans="1:25" ht="15.75" customHeight="1">
      <c r="A12" s="23" t="s">
        <v>25</v>
      </c>
      <c r="B12" s="24">
        <v>10849</v>
      </c>
      <c r="C12" s="24">
        <v>5420</v>
      </c>
      <c r="D12" s="24">
        <v>3895</v>
      </c>
      <c r="E12" s="24">
        <v>4529</v>
      </c>
      <c r="F12" s="24">
        <v>5974</v>
      </c>
      <c r="G12" s="24">
        <v>3541</v>
      </c>
      <c r="H12" s="24">
        <v>1885</v>
      </c>
      <c r="I12" s="24">
        <v>1278</v>
      </c>
      <c r="J12" s="24">
        <v>1428</v>
      </c>
      <c r="K12" s="24">
        <v>879</v>
      </c>
      <c r="L12" s="24">
        <v>1</v>
      </c>
      <c r="M12" s="24">
        <v>39679</v>
      </c>
      <c r="N12" s="18">
        <v>0.41</v>
      </c>
      <c r="O12" s="5"/>
      <c r="P12" s="5"/>
      <c r="Q12" s="5"/>
      <c r="R12" s="11" t="s">
        <v>42</v>
      </c>
      <c r="S12" s="12">
        <v>15</v>
      </c>
      <c r="T12" s="12">
        <v>23</v>
      </c>
      <c r="U12" s="12">
        <v>5</v>
      </c>
      <c r="V12" s="12">
        <v>1</v>
      </c>
      <c r="W12" s="13"/>
      <c r="X12" s="25">
        <v>0.94</v>
      </c>
    </row>
    <row r="13" spans="1:25" ht="15.75" customHeight="1">
      <c r="O13" s="5"/>
      <c r="P13" s="5"/>
      <c r="Q13" s="5"/>
      <c r="R13" s="11" t="s">
        <v>46</v>
      </c>
      <c r="S13" s="12">
        <v>6</v>
      </c>
      <c r="T13" s="12">
        <v>27</v>
      </c>
      <c r="U13" s="12">
        <v>1</v>
      </c>
      <c r="V13" s="12">
        <v>3</v>
      </c>
      <c r="W13" s="13"/>
      <c r="X13" s="13" t="s">
        <v>47</v>
      </c>
    </row>
    <row r="14" spans="1:25" ht="15.75" customHeight="1">
      <c r="O14" s="5"/>
      <c r="P14" s="5"/>
      <c r="Q14" s="5"/>
      <c r="R14" s="11" t="s">
        <v>48</v>
      </c>
      <c r="S14" s="12">
        <v>15</v>
      </c>
      <c r="T14" s="12">
        <v>80</v>
      </c>
      <c r="U14" s="12">
        <v>1</v>
      </c>
      <c r="V14" s="12">
        <v>10</v>
      </c>
      <c r="W14" s="13"/>
      <c r="X14" s="13" t="s">
        <v>47</v>
      </c>
    </row>
    <row r="15" spans="1:25" ht="15.75" customHeight="1">
      <c r="O15" s="5"/>
      <c r="P15" s="5"/>
      <c r="Q15" s="5"/>
      <c r="R15" s="11" t="s">
        <v>49</v>
      </c>
      <c r="S15" s="12">
        <v>12</v>
      </c>
      <c r="T15" s="12">
        <v>167</v>
      </c>
      <c r="U15" s="12">
        <v>3</v>
      </c>
      <c r="V15" s="12">
        <v>7</v>
      </c>
      <c r="W15" s="13"/>
      <c r="X15" s="26">
        <v>0.4</v>
      </c>
    </row>
    <row r="16" spans="1:25" ht="15.75" customHeight="1">
      <c r="A16" s="3" t="s">
        <v>5</v>
      </c>
      <c r="B16" s="3" t="s">
        <v>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27">
        <v>45547.208333333336</v>
      </c>
      <c r="O16" s="5"/>
      <c r="P16" s="5"/>
      <c r="Q16" s="5"/>
      <c r="R16" s="11" t="s">
        <v>50</v>
      </c>
      <c r="S16" s="12">
        <v>12</v>
      </c>
      <c r="T16" s="12">
        <v>0</v>
      </c>
      <c r="U16" s="12">
        <v>5</v>
      </c>
      <c r="V16" s="12">
        <v>1</v>
      </c>
      <c r="W16" s="12">
        <v>93</v>
      </c>
      <c r="X16" s="28">
        <v>0.73</v>
      </c>
    </row>
    <row r="17" spans="1:25" ht="15.75" customHeight="1">
      <c r="A17" s="9" t="s">
        <v>13</v>
      </c>
      <c r="B17" s="9" t="s">
        <v>14</v>
      </c>
      <c r="C17" s="9" t="s">
        <v>15</v>
      </c>
      <c r="D17" s="9" t="s">
        <v>16</v>
      </c>
      <c r="E17" s="9" t="s">
        <v>17</v>
      </c>
      <c r="F17" s="9" t="s">
        <v>18</v>
      </c>
      <c r="G17" s="9" t="s">
        <v>19</v>
      </c>
      <c r="H17" s="9" t="s">
        <v>20</v>
      </c>
      <c r="I17" s="9" t="s">
        <v>21</v>
      </c>
      <c r="J17" s="9" t="s">
        <v>22</v>
      </c>
      <c r="K17" s="9" t="s">
        <v>23</v>
      </c>
      <c r="L17" s="9" t="s">
        <v>24</v>
      </c>
      <c r="M17" s="9" t="s">
        <v>25</v>
      </c>
      <c r="N17" s="5"/>
      <c r="O17" s="5"/>
      <c r="P17" s="5"/>
      <c r="Q17" s="5"/>
      <c r="R17" s="11" t="s">
        <v>51</v>
      </c>
      <c r="S17" s="13"/>
      <c r="T17" s="12">
        <v>160</v>
      </c>
      <c r="U17" s="12">
        <v>5</v>
      </c>
      <c r="V17" s="12">
        <v>4</v>
      </c>
      <c r="W17" s="13"/>
      <c r="X17" s="19">
        <v>1</v>
      </c>
    </row>
    <row r="18" spans="1:25" ht="15.75" customHeight="1">
      <c r="A18" s="15" t="s">
        <v>27</v>
      </c>
      <c r="B18" s="16">
        <v>4</v>
      </c>
      <c r="C18" s="16">
        <v>25</v>
      </c>
      <c r="D18" s="16">
        <v>5</v>
      </c>
      <c r="E18" s="16">
        <v>24</v>
      </c>
      <c r="F18" s="16">
        <v>9</v>
      </c>
      <c r="G18" s="17"/>
      <c r="H18" s="17"/>
      <c r="I18" s="17"/>
      <c r="J18" s="17"/>
      <c r="K18" s="17"/>
      <c r="L18" s="17"/>
      <c r="M18" s="16">
        <v>67</v>
      </c>
      <c r="N18" s="18">
        <v>0.43280000000000002</v>
      </c>
      <c r="O18" s="5"/>
      <c r="P18" s="5"/>
      <c r="Q18" s="5"/>
      <c r="R18" s="11" t="s">
        <v>52</v>
      </c>
      <c r="S18" s="13"/>
      <c r="T18" s="12">
        <v>40</v>
      </c>
      <c r="U18" s="12">
        <v>5</v>
      </c>
      <c r="V18" s="12">
        <v>1</v>
      </c>
      <c r="W18" s="13"/>
      <c r="X18" s="19">
        <v>1</v>
      </c>
    </row>
    <row r="19" spans="1:25" ht="15.75" customHeight="1">
      <c r="A19" s="15" t="s">
        <v>29</v>
      </c>
      <c r="B19" s="16">
        <v>14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6">
        <v>14</v>
      </c>
      <c r="N19" s="18">
        <v>1</v>
      </c>
      <c r="O19" s="5"/>
      <c r="P19" s="5"/>
      <c r="Q19" s="5"/>
      <c r="R19" s="11" t="s">
        <v>53</v>
      </c>
      <c r="S19" s="13"/>
      <c r="T19" s="12">
        <v>40</v>
      </c>
      <c r="U19" s="12">
        <v>5</v>
      </c>
      <c r="V19" s="12">
        <v>1</v>
      </c>
      <c r="W19" s="13"/>
      <c r="X19" s="19">
        <v>1</v>
      </c>
    </row>
    <row r="20" spans="1:25" ht="15.75" customHeight="1">
      <c r="A20" s="15" t="s">
        <v>31</v>
      </c>
      <c r="B20" s="16">
        <v>9</v>
      </c>
      <c r="C20" s="16">
        <v>4</v>
      </c>
      <c r="D20" s="17"/>
      <c r="E20" s="16">
        <v>1</v>
      </c>
      <c r="F20" s="17"/>
      <c r="G20" s="17"/>
      <c r="H20" s="17"/>
      <c r="I20" s="17"/>
      <c r="J20" s="17"/>
      <c r="K20" s="17"/>
      <c r="L20" s="17"/>
      <c r="M20" s="16">
        <v>14</v>
      </c>
      <c r="N20" s="18">
        <v>0.92859999999999998</v>
      </c>
      <c r="O20" s="5"/>
      <c r="P20" s="5"/>
      <c r="Q20" s="5"/>
      <c r="R20" s="11" t="s">
        <v>54</v>
      </c>
      <c r="S20" s="13"/>
      <c r="T20" s="12">
        <v>160</v>
      </c>
      <c r="U20" s="12">
        <v>5</v>
      </c>
      <c r="V20" s="12">
        <v>4</v>
      </c>
      <c r="W20" s="13"/>
      <c r="X20" s="29">
        <v>1</v>
      </c>
      <c r="Y20" s="1" t="s">
        <v>55</v>
      </c>
    </row>
    <row r="21" spans="1:25" ht="15.75" customHeight="1">
      <c r="A21" s="15" t="s">
        <v>33</v>
      </c>
      <c r="B21" s="16">
        <v>1586</v>
      </c>
      <c r="C21" s="16">
        <v>1608</v>
      </c>
      <c r="D21" s="16">
        <v>196</v>
      </c>
      <c r="E21" s="16">
        <v>348</v>
      </c>
      <c r="F21" s="16">
        <v>304</v>
      </c>
      <c r="G21" s="16">
        <v>483</v>
      </c>
      <c r="H21" s="16">
        <v>976</v>
      </c>
      <c r="I21" s="16">
        <v>701</v>
      </c>
      <c r="J21" s="16">
        <v>824</v>
      </c>
      <c r="K21" s="16">
        <v>468</v>
      </c>
      <c r="L21" s="16">
        <v>1</v>
      </c>
      <c r="M21" s="16">
        <v>7495</v>
      </c>
      <c r="N21" s="18">
        <v>0.42620000000000002</v>
      </c>
      <c r="O21" s="5"/>
      <c r="P21" s="5"/>
      <c r="Q21" s="5"/>
      <c r="R21" s="11" t="s">
        <v>56</v>
      </c>
      <c r="S21" s="13"/>
      <c r="T21" s="12">
        <v>40</v>
      </c>
      <c r="U21" s="12">
        <v>5</v>
      </c>
      <c r="V21" s="12">
        <v>1</v>
      </c>
      <c r="W21" s="13"/>
      <c r="X21" s="19">
        <v>1</v>
      </c>
    </row>
    <row r="22" spans="1:25" ht="15.75" customHeight="1">
      <c r="A22" s="15" t="s">
        <v>35</v>
      </c>
      <c r="B22" s="16">
        <v>132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6">
        <v>132</v>
      </c>
      <c r="N22" s="18">
        <v>1</v>
      </c>
      <c r="O22" s="5"/>
      <c r="P22" s="5"/>
      <c r="Q22" s="5"/>
      <c r="R22" s="30" t="s">
        <v>57</v>
      </c>
      <c r="S22" s="13"/>
      <c r="T22" s="12">
        <v>20</v>
      </c>
      <c r="U22" s="12">
        <v>5</v>
      </c>
      <c r="V22" s="12">
        <v>0.5</v>
      </c>
      <c r="W22" s="13"/>
      <c r="X22" s="13"/>
    </row>
    <row r="23" spans="1:25" ht="15.75" customHeight="1">
      <c r="A23" s="15" t="s">
        <v>38</v>
      </c>
      <c r="B23" s="16">
        <v>89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6">
        <v>89</v>
      </c>
      <c r="N23" s="18">
        <v>1</v>
      </c>
      <c r="O23" s="5"/>
      <c r="P23" s="5"/>
      <c r="Q23" s="5"/>
      <c r="R23" s="11" t="s">
        <v>58</v>
      </c>
      <c r="S23" s="12">
        <v>10</v>
      </c>
      <c r="T23" s="12">
        <v>39</v>
      </c>
      <c r="U23" s="12">
        <v>5</v>
      </c>
      <c r="V23" s="12">
        <v>1</v>
      </c>
      <c r="W23" s="13"/>
      <c r="X23" s="19">
        <v>1</v>
      </c>
    </row>
    <row r="24" spans="1:25" ht="15.75" customHeight="1">
      <c r="A24" s="15" t="s">
        <v>40</v>
      </c>
      <c r="B24" s="16">
        <v>1853</v>
      </c>
      <c r="C24" s="16">
        <v>637</v>
      </c>
      <c r="D24" s="16">
        <v>620</v>
      </c>
      <c r="E24" s="16">
        <v>243</v>
      </c>
      <c r="F24" s="16">
        <v>379</v>
      </c>
      <c r="G24" s="16">
        <v>466</v>
      </c>
      <c r="H24" s="16">
        <v>824</v>
      </c>
      <c r="I24" s="16">
        <v>553</v>
      </c>
      <c r="J24" s="16">
        <v>591</v>
      </c>
      <c r="K24" s="16">
        <v>374</v>
      </c>
      <c r="L24" s="17"/>
      <c r="M24" s="16">
        <v>6540</v>
      </c>
      <c r="N24" s="18">
        <v>0.38069999999999998</v>
      </c>
      <c r="O24" s="5"/>
      <c r="P24" s="5"/>
      <c r="Q24" s="5"/>
      <c r="R24" s="11" t="s">
        <v>59</v>
      </c>
      <c r="S24" s="12">
        <v>6</v>
      </c>
      <c r="T24" s="12">
        <v>89</v>
      </c>
      <c r="U24" s="12">
        <v>1</v>
      </c>
      <c r="V24" s="12">
        <v>11</v>
      </c>
      <c r="W24" s="13"/>
      <c r="X24" s="19">
        <v>1</v>
      </c>
    </row>
    <row r="25" spans="1:25" ht="15.75" customHeight="1">
      <c r="A25" s="15" t="s">
        <v>42</v>
      </c>
      <c r="B25" s="16">
        <v>220</v>
      </c>
      <c r="C25" s="16">
        <v>34</v>
      </c>
      <c r="D25" s="16">
        <v>9</v>
      </c>
      <c r="E25" s="16">
        <v>1</v>
      </c>
      <c r="F25" s="16">
        <v>7</v>
      </c>
      <c r="G25" s="17"/>
      <c r="H25" s="17"/>
      <c r="I25" s="17"/>
      <c r="J25" s="17"/>
      <c r="K25" s="17"/>
      <c r="L25" s="17"/>
      <c r="M25" s="16">
        <v>271</v>
      </c>
      <c r="N25" s="18">
        <v>0.93730000000000002</v>
      </c>
      <c r="O25" s="5"/>
      <c r="P25" s="5"/>
      <c r="Q25" s="5"/>
      <c r="R25" s="11" t="s">
        <v>60</v>
      </c>
      <c r="S25" s="12">
        <v>20</v>
      </c>
      <c r="T25" s="12">
        <v>250</v>
      </c>
      <c r="U25" s="12">
        <v>22</v>
      </c>
      <c r="V25" s="12">
        <v>1</v>
      </c>
      <c r="W25" s="13"/>
      <c r="X25" s="14">
        <v>0.62519999999999998</v>
      </c>
    </row>
    <row r="26" spans="1:25" ht="15.75" customHeight="1">
      <c r="A26" s="15" t="s">
        <v>44</v>
      </c>
      <c r="B26" s="16">
        <v>7362</v>
      </c>
      <c r="C26" s="16">
        <v>2900</v>
      </c>
      <c r="D26" s="16">
        <v>2874</v>
      </c>
      <c r="E26" s="16">
        <v>3480</v>
      </c>
      <c r="F26" s="16">
        <v>5134</v>
      </c>
      <c r="G26" s="16">
        <v>2523</v>
      </c>
      <c r="H26" s="16">
        <v>84</v>
      </c>
      <c r="I26" s="16">
        <v>25</v>
      </c>
      <c r="J26" s="16">
        <v>14</v>
      </c>
      <c r="K26" s="16">
        <v>45</v>
      </c>
      <c r="L26" s="17"/>
      <c r="M26" s="16">
        <v>24441</v>
      </c>
      <c r="N26" s="18">
        <v>0.4199</v>
      </c>
      <c r="O26" s="5"/>
      <c r="P26" s="5"/>
      <c r="Q26" s="5"/>
      <c r="R26" s="11" t="s">
        <v>61</v>
      </c>
      <c r="S26" s="12">
        <v>20</v>
      </c>
      <c r="T26" s="12">
        <v>50</v>
      </c>
      <c r="U26" s="12">
        <v>1</v>
      </c>
      <c r="V26" s="12">
        <v>6</v>
      </c>
      <c r="W26" s="13"/>
      <c r="X26" s="13" t="s">
        <v>47</v>
      </c>
    </row>
    <row r="27" spans="1:25" ht="15.6">
      <c r="A27" s="23" t="s">
        <v>25</v>
      </c>
      <c r="B27" s="24">
        <v>11269</v>
      </c>
      <c r="C27" s="24">
        <v>5208</v>
      </c>
      <c r="D27" s="24">
        <v>3704</v>
      </c>
      <c r="E27" s="24">
        <v>4097</v>
      </c>
      <c r="F27" s="24">
        <v>5833</v>
      </c>
      <c r="G27" s="24">
        <v>3472</v>
      </c>
      <c r="H27" s="24">
        <v>1884</v>
      </c>
      <c r="I27" s="24">
        <v>1279</v>
      </c>
      <c r="J27" s="24">
        <v>1429</v>
      </c>
      <c r="K27" s="24">
        <v>887</v>
      </c>
      <c r="L27" s="24">
        <v>1</v>
      </c>
      <c r="M27" s="24">
        <v>39063</v>
      </c>
      <c r="N27" s="18">
        <v>0.42180000000000001</v>
      </c>
      <c r="O27" s="5"/>
      <c r="P27" s="5"/>
      <c r="Q27" s="5"/>
      <c r="R27" s="11" t="s">
        <v>62</v>
      </c>
      <c r="S27" s="12">
        <v>15</v>
      </c>
      <c r="T27" s="12">
        <v>40</v>
      </c>
      <c r="U27" s="12">
        <v>1</v>
      </c>
      <c r="V27" s="12">
        <v>5</v>
      </c>
      <c r="W27" s="13"/>
      <c r="X27" s="19">
        <v>1</v>
      </c>
    </row>
    <row r="28" spans="1:25" ht="15.6"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5" ht="15.6">
      <c r="A29" s="3" t="s">
        <v>5</v>
      </c>
      <c r="B29" s="3"/>
      <c r="C29" s="3" t="s">
        <v>63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1">
        <v>45548</v>
      </c>
      <c r="R29" s="1" t="s">
        <v>64</v>
      </c>
    </row>
    <row r="30" spans="1:25" ht="15.6">
      <c r="A30" s="9" t="s">
        <v>65</v>
      </c>
      <c r="B30" s="9" t="s">
        <v>66</v>
      </c>
      <c r="C30" s="9" t="s">
        <v>14</v>
      </c>
      <c r="D30" s="9" t="s">
        <v>15</v>
      </c>
      <c r="E30" s="9" t="s">
        <v>16</v>
      </c>
      <c r="F30" s="9" t="s">
        <v>17</v>
      </c>
      <c r="G30" s="9" t="s">
        <v>18</v>
      </c>
      <c r="H30" s="9" t="s">
        <v>19</v>
      </c>
      <c r="I30" s="9" t="s">
        <v>20</v>
      </c>
      <c r="J30" s="9" t="s">
        <v>21</v>
      </c>
      <c r="K30" s="9" t="s">
        <v>22</v>
      </c>
      <c r="L30" s="9" t="s">
        <v>23</v>
      </c>
      <c r="M30" s="9" t="s">
        <v>24</v>
      </c>
      <c r="N30" s="9" t="s">
        <v>25</v>
      </c>
      <c r="O30" s="32" t="s">
        <v>12</v>
      </c>
      <c r="R30" s="6" t="s">
        <v>7</v>
      </c>
      <c r="S30" s="6" t="s">
        <v>8</v>
      </c>
      <c r="T30" s="6" t="s">
        <v>9</v>
      </c>
      <c r="U30" s="6" t="s">
        <v>10</v>
      </c>
      <c r="V30" s="6" t="s">
        <v>11</v>
      </c>
      <c r="W30" s="6"/>
      <c r="X30" s="6" t="s">
        <v>12</v>
      </c>
    </row>
    <row r="31" spans="1:25" ht="15.6">
      <c r="A31" s="33" t="s">
        <v>27</v>
      </c>
      <c r="B31" s="5"/>
      <c r="C31" s="5"/>
      <c r="D31" s="34">
        <v>29</v>
      </c>
      <c r="E31" s="34">
        <v>4</v>
      </c>
      <c r="F31" s="34">
        <v>25</v>
      </c>
      <c r="G31" s="34">
        <v>9</v>
      </c>
      <c r="H31" s="5"/>
      <c r="I31" s="5"/>
      <c r="J31" s="5"/>
      <c r="K31" s="5"/>
      <c r="L31" s="5"/>
      <c r="M31" s="5"/>
      <c r="N31" s="34">
        <v>67</v>
      </c>
      <c r="O31" s="35">
        <v>0</v>
      </c>
      <c r="R31" s="36" t="s">
        <v>26</v>
      </c>
      <c r="S31" s="37">
        <v>15</v>
      </c>
      <c r="T31" s="37">
        <v>1284</v>
      </c>
      <c r="U31" s="37">
        <v>2</v>
      </c>
      <c r="V31" s="37">
        <v>80</v>
      </c>
      <c r="W31" s="36"/>
      <c r="X31" s="38">
        <v>0.56999999999999995</v>
      </c>
    </row>
    <row r="32" spans="1:25" ht="15.6">
      <c r="A32" s="33" t="s">
        <v>29</v>
      </c>
      <c r="B32" s="5" t="s">
        <v>67</v>
      </c>
      <c r="C32" s="34">
        <v>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34">
        <v>1</v>
      </c>
      <c r="O32" s="35">
        <v>1</v>
      </c>
      <c r="R32" s="36" t="s">
        <v>28</v>
      </c>
      <c r="S32" s="37">
        <v>15</v>
      </c>
      <c r="T32" s="37">
        <v>1021</v>
      </c>
      <c r="U32" s="37">
        <v>4</v>
      </c>
      <c r="V32" s="37">
        <v>32</v>
      </c>
      <c r="W32" s="36"/>
      <c r="X32" s="38">
        <v>0.44</v>
      </c>
    </row>
    <row r="33" spans="1:24" ht="15.6">
      <c r="A33" s="33" t="s">
        <v>35</v>
      </c>
      <c r="B33" s="5"/>
      <c r="C33" s="34">
        <v>184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34">
        <v>184</v>
      </c>
      <c r="O33" s="35">
        <v>1</v>
      </c>
      <c r="R33" s="36" t="s">
        <v>30</v>
      </c>
      <c r="S33" s="37">
        <v>20</v>
      </c>
      <c r="T33" s="37">
        <v>41</v>
      </c>
      <c r="U33" s="37">
        <v>1</v>
      </c>
      <c r="V33" s="37">
        <v>5</v>
      </c>
      <c r="W33" s="36"/>
      <c r="X33" s="38">
        <v>1</v>
      </c>
    </row>
    <row r="34" spans="1:24" ht="15.6">
      <c r="A34" s="33" t="s">
        <v>38</v>
      </c>
      <c r="B34" s="5"/>
      <c r="C34" s="34">
        <v>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34">
        <v>5</v>
      </c>
      <c r="O34" s="35">
        <v>1</v>
      </c>
      <c r="R34" s="36" t="s">
        <v>32</v>
      </c>
      <c r="S34" s="37">
        <v>17</v>
      </c>
      <c r="T34" s="37">
        <v>315</v>
      </c>
      <c r="U34" s="37">
        <v>2</v>
      </c>
      <c r="V34" s="37">
        <v>20</v>
      </c>
      <c r="W34" s="36"/>
      <c r="X34" s="38">
        <v>0.95</v>
      </c>
    </row>
    <row r="35" spans="1:24" ht="15.6">
      <c r="A35" s="17" t="s">
        <v>31</v>
      </c>
      <c r="B35" s="5"/>
      <c r="C35" s="34">
        <v>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34">
        <v>5</v>
      </c>
      <c r="O35" s="39">
        <v>1</v>
      </c>
      <c r="R35" s="36" t="s">
        <v>34</v>
      </c>
      <c r="S35" s="37">
        <v>17</v>
      </c>
      <c r="T35" s="37">
        <v>176</v>
      </c>
      <c r="U35" s="37">
        <v>2</v>
      </c>
      <c r="V35" s="37">
        <v>11</v>
      </c>
      <c r="W35" s="36"/>
      <c r="X35" s="38"/>
    </row>
    <row r="36" spans="1:24" ht="15.6">
      <c r="A36" s="17" t="s">
        <v>33</v>
      </c>
      <c r="B36" s="5"/>
      <c r="C36" s="34">
        <v>1116</v>
      </c>
      <c r="D36" s="34">
        <v>1366</v>
      </c>
      <c r="E36" s="34">
        <v>955</v>
      </c>
      <c r="F36" s="34">
        <v>330</v>
      </c>
      <c r="G36" s="34">
        <v>317</v>
      </c>
      <c r="H36" s="34">
        <v>447</v>
      </c>
      <c r="I36" s="34">
        <v>1059</v>
      </c>
      <c r="J36" s="34">
        <v>669</v>
      </c>
      <c r="K36" s="34">
        <v>839</v>
      </c>
      <c r="L36" s="34">
        <v>485</v>
      </c>
      <c r="M36" s="34">
        <v>1</v>
      </c>
      <c r="N36" s="34">
        <v>7584</v>
      </c>
      <c r="O36" s="39">
        <v>0.33</v>
      </c>
      <c r="R36" s="36" t="s">
        <v>36</v>
      </c>
      <c r="S36" s="37">
        <v>10</v>
      </c>
      <c r="T36" s="37">
        <v>0</v>
      </c>
      <c r="U36" s="36"/>
      <c r="V36" s="36"/>
      <c r="W36" s="36"/>
      <c r="X36" s="40"/>
    </row>
    <row r="37" spans="1:24" ht="15.6">
      <c r="A37" s="17" t="s">
        <v>40</v>
      </c>
      <c r="B37" s="5"/>
      <c r="C37" s="34">
        <v>1412</v>
      </c>
      <c r="D37" s="34">
        <v>915</v>
      </c>
      <c r="E37" s="34">
        <v>869</v>
      </c>
      <c r="F37" s="34">
        <v>216</v>
      </c>
      <c r="G37" s="34">
        <v>375</v>
      </c>
      <c r="H37" s="34">
        <v>473</v>
      </c>
      <c r="I37" s="34">
        <v>872</v>
      </c>
      <c r="J37" s="34">
        <v>533</v>
      </c>
      <c r="K37" s="34">
        <v>595</v>
      </c>
      <c r="L37" s="34">
        <v>389</v>
      </c>
      <c r="M37" s="5"/>
      <c r="N37" s="34">
        <v>6649</v>
      </c>
      <c r="O37" s="39">
        <v>0.35</v>
      </c>
      <c r="R37" s="36" t="s">
        <v>39</v>
      </c>
      <c r="S37" s="37">
        <v>20</v>
      </c>
      <c r="T37" s="37">
        <v>25</v>
      </c>
      <c r="U37" s="37">
        <v>5</v>
      </c>
      <c r="V37" s="37">
        <v>1</v>
      </c>
      <c r="W37" s="37">
        <v>1447</v>
      </c>
      <c r="X37" s="38"/>
    </row>
    <row r="38" spans="1:24" ht="15.6">
      <c r="A38" s="17" t="s">
        <v>42</v>
      </c>
      <c r="B38" s="5"/>
      <c r="C38" s="34">
        <v>184</v>
      </c>
      <c r="D38" s="34">
        <v>74</v>
      </c>
      <c r="E38" s="34">
        <v>14</v>
      </c>
      <c r="F38" s="34">
        <v>2</v>
      </c>
      <c r="G38" s="34">
        <v>7</v>
      </c>
      <c r="H38" s="34">
        <v>1</v>
      </c>
      <c r="I38" s="5"/>
      <c r="J38" s="5"/>
      <c r="K38" s="5"/>
      <c r="L38" s="5"/>
      <c r="M38" s="5"/>
      <c r="N38" s="34">
        <v>282</v>
      </c>
      <c r="O38" s="39">
        <v>0.91</v>
      </c>
      <c r="R38" s="36" t="s">
        <v>41</v>
      </c>
      <c r="S38" s="37">
        <v>25</v>
      </c>
      <c r="T38" s="37">
        <v>145</v>
      </c>
      <c r="U38" s="37">
        <v>1</v>
      </c>
      <c r="V38" s="37">
        <v>18</v>
      </c>
      <c r="W38" s="36"/>
      <c r="X38" s="41">
        <v>0.77</v>
      </c>
    </row>
    <row r="39" spans="1:24" ht="15.6">
      <c r="A39" s="42" t="s">
        <v>44</v>
      </c>
      <c r="B39" s="5" t="s">
        <v>67</v>
      </c>
      <c r="C39" s="34">
        <v>319</v>
      </c>
      <c r="D39" s="34">
        <v>109</v>
      </c>
      <c r="E39" s="34">
        <v>31</v>
      </c>
      <c r="F39" s="34">
        <v>106</v>
      </c>
      <c r="G39" s="34">
        <v>263</v>
      </c>
      <c r="H39" s="34">
        <v>107</v>
      </c>
      <c r="I39" s="34">
        <v>19</v>
      </c>
      <c r="J39" s="5"/>
      <c r="K39" s="5"/>
      <c r="L39" s="5"/>
      <c r="M39" s="5"/>
      <c r="N39" s="34">
        <v>954</v>
      </c>
      <c r="O39" s="39">
        <v>0.45</v>
      </c>
      <c r="R39" s="36" t="s">
        <v>43</v>
      </c>
      <c r="S39" s="37">
        <v>10</v>
      </c>
      <c r="T39" s="37">
        <v>20</v>
      </c>
      <c r="U39" s="37">
        <v>5</v>
      </c>
      <c r="V39" s="37">
        <v>1</v>
      </c>
      <c r="W39" s="36"/>
      <c r="X39" s="38">
        <v>1</v>
      </c>
    </row>
    <row r="40" spans="1:24" ht="15.6">
      <c r="A40" s="42"/>
      <c r="B40" s="5" t="s">
        <v>68</v>
      </c>
      <c r="C40" s="34">
        <v>34</v>
      </c>
      <c r="D40" s="34">
        <v>2</v>
      </c>
      <c r="E40" s="34">
        <v>3</v>
      </c>
      <c r="F40" s="34">
        <v>1</v>
      </c>
      <c r="G40" s="34">
        <v>2</v>
      </c>
      <c r="H40" s="34">
        <v>4</v>
      </c>
      <c r="I40" s="5"/>
      <c r="J40" s="5"/>
      <c r="K40" s="5"/>
      <c r="L40" s="5"/>
      <c r="M40" s="5"/>
      <c r="N40" s="34">
        <v>46</v>
      </c>
      <c r="O40" s="39">
        <v>0.78</v>
      </c>
      <c r="R40" s="36" t="s">
        <v>45</v>
      </c>
      <c r="S40" s="37">
        <v>25</v>
      </c>
      <c r="T40" s="37">
        <v>1</v>
      </c>
      <c r="U40" s="37">
        <v>5</v>
      </c>
      <c r="V40" s="37">
        <v>0</v>
      </c>
      <c r="W40" s="36"/>
      <c r="X40" s="38">
        <v>1</v>
      </c>
    </row>
    <row r="41" spans="1:24" ht="15.6">
      <c r="A41" s="42"/>
      <c r="B41" s="5" t="s">
        <v>69</v>
      </c>
      <c r="C41" s="34">
        <v>800</v>
      </c>
      <c r="D41" s="34">
        <v>446</v>
      </c>
      <c r="E41" s="34">
        <v>83</v>
      </c>
      <c r="F41" s="34">
        <v>8</v>
      </c>
      <c r="G41" s="34">
        <v>12</v>
      </c>
      <c r="H41" s="34">
        <v>7</v>
      </c>
      <c r="I41" s="34">
        <v>1</v>
      </c>
      <c r="J41" s="5"/>
      <c r="K41" s="5"/>
      <c r="L41" s="5"/>
      <c r="M41" s="5"/>
      <c r="N41" s="34">
        <v>1357</v>
      </c>
      <c r="O41" s="39">
        <v>0.92</v>
      </c>
      <c r="R41" s="36" t="s">
        <v>42</v>
      </c>
      <c r="S41" s="37">
        <v>15</v>
      </c>
      <c r="T41" s="37">
        <v>23</v>
      </c>
      <c r="U41" s="37">
        <v>5</v>
      </c>
      <c r="V41" s="37">
        <v>1</v>
      </c>
      <c r="W41" s="36"/>
      <c r="X41" s="41"/>
    </row>
    <row r="42" spans="1:24" ht="15.6">
      <c r="A42" s="42"/>
      <c r="B42" s="5" t="s">
        <v>70</v>
      </c>
      <c r="C42" s="34">
        <v>863</v>
      </c>
      <c r="D42" s="34">
        <v>299</v>
      </c>
      <c r="E42" s="34">
        <v>44</v>
      </c>
      <c r="F42" s="34">
        <v>3</v>
      </c>
      <c r="G42" s="5"/>
      <c r="H42" s="5"/>
      <c r="I42" s="5"/>
      <c r="J42" s="5"/>
      <c r="K42" s="5"/>
      <c r="L42" s="5"/>
      <c r="M42" s="5"/>
      <c r="N42" s="34">
        <v>1209</v>
      </c>
      <c r="O42" s="39">
        <v>0.96</v>
      </c>
      <c r="R42" s="36" t="s">
        <v>46</v>
      </c>
      <c r="S42" s="37">
        <v>6</v>
      </c>
      <c r="T42" s="37">
        <v>27</v>
      </c>
      <c r="U42" s="37">
        <v>1</v>
      </c>
      <c r="V42" s="37">
        <v>3</v>
      </c>
      <c r="W42" s="36"/>
      <c r="X42" s="43"/>
    </row>
    <row r="43" spans="1:24" ht="15.6">
      <c r="A43" s="42"/>
      <c r="B43" s="5" t="s">
        <v>71</v>
      </c>
      <c r="C43" s="34">
        <v>2207</v>
      </c>
      <c r="D43" s="34">
        <v>456</v>
      </c>
      <c r="E43" s="34">
        <v>44</v>
      </c>
      <c r="F43" s="34">
        <v>127</v>
      </c>
      <c r="G43" s="34">
        <v>14</v>
      </c>
      <c r="H43" s="34">
        <v>4</v>
      </c>
      <c r="I43" s="5"/>
      <c r="J43" s="5"/>
      <c r="K43" s="5"/>
      <c r="L43" s="5"/>
      <c r="M43" s="5"/>
      <c r="N43" s="34">
        <v>2852</v>
      </c>
      <c r="O43" s="39">
        <v>0.93</v>
      </c>
      <c r="R43" s="36" t="s">
        <v>48</v>
      </c>
      <c r="S43" s="37">
        <v>15</v>
      </c>
      <c r="T43" s="37">
        <v>80</v>
      </c>
      <c r="U43" s="37">
        <v>1</v>
      </c>
      <c r="V43" s="37">
        <v>10</v>
      </c>
      <c r="W43" s="36"/>
      <c r="X43" s="43"/>
    </row>
    <row r="44" spans="1:24" ht="15.6">
      <c r="A44" s="42"/>
      <c r="B44" s="5" t="s">
        <v>72</v>
      </c>
      <c r="C44" s="34">
        <v>5105</v>
      </c>
      <c r="D44" s="34">
        <v>718</v>
      </c>
      <c r="E44" s="34">
        <v>1758</v>
      </c>
      <c r="F44" s="34">
        <v>1198</v>
      </c>
      <c r="G44" s="34">
        <v>3087</v>
      </c>
      <c r="H44" s="34">
        <v>4268</v>
      </c>
      <c r="I44" s="34">
        <v>107</v>
      </c>
      <c r="J44" s="5"/>
      <c r="K44" s="5"/>
      <c r="L44" s="5"/>
      <c r="M44" s="5"/>
      <c r="N44" s="34">
        <v>16241</v>
      </c>
      <c r="O44" s="39">
        <v>0.36</v>
      </c>
      <c r="R44" s="36" t="s">
        <v>49</v>
      </c>
      <c r="S44" s="37">
        <v>12</v>
      </c>
      <c r="T44" s="37">
        <v>167</v>
      </c>
      <c r="U44" s="37">
        <v>3</v>
      </c>
      <c r="V44" s="37">
        <v>7</v>
      </c>
      <c r="W44" s="36"/>
      <c r="X44" s="41">
        <v>0.9</v>
      </c>
    </row>
    <row r="45" spans="1:24" ht="15.6">
      <c r="A45" s="17"/>
      <c r="B45" s="5" t="s">
        <v>73</v>
      </c>
      <c r="C45" s="34">
        <v>51</v>
      </c>
      <c r="D45" s="34">
        <v>32</v>
      </c>
      <c r="E45" s="34">
        <v>10</v>
      </c>
      <c r="F45" s="34">
        <v>87</v>
      </c>
      <c r="G45" s="34">
        <v>85</v>
      </c>
      <c r="H45" s="34">
        <v>14</v>
      </c>
      <c r="I45" s="34">
        <v>13</v>
      </c>
      <c r="J45" s="34">
        <v>23</v>
      </c>
      <c r="K45" s="34">
        <v>13</v>
      </c>
      <c r="L45" s="34">
        <v>34</v>
      </c>
      <c r="M45" s="5"/>
      <c r="N45" s="34">
        <v>362</v>
      </c>
      <c r="O45" s="39">
        <v>0.23</v>
      </c>
      <c r="R45" s="36" t="s">
        <v>50</v>
      </c>
      <c r="S45" s="37">
        <v>12</v>
      </c>
      <c r="T45" s="37">
        <v>0</v>
      </c>
      <c r="U45" s="37">
        <v>5</v>
      </c>
      <c r="V45" s="37">
        <v>1</v>
      </c>
      <c r="W45" s="37">
        <v>93</v>
      </c>
      <c r="X45" s="41">
        <v>1</v>
      </c>
    </row>
    <row r="46" spans="1:24" ht="15.6">
      <c r="A46" s="44" t="s">
        <v>25</v>
      </c>
      <c r="B46" s="44"/>
      <c r="C46" s="24">
        <v>12286</v>
      </c>
      <c r="D46" s="24">
        <v>4446</v>
      </c>
      <c r="E46" s="24">
        <v>3815</v>
      </c>
      <c r="F46" s="24">
        <v>2103</v>
      </c>
      <c r="G46" s="24">
        <v>4171</v>
      </c>
      <c r="H46" s="24">
        <v>5325</v>
      </c>
      <c r="I46" s="24">
        <v>2071</v>
      </c>
      <c r="J46" s="24">
        <v>1225</v>
      </c>
      <c r="K46" s="24">
        <v>1447</v>
      </c>
      <c r="L46" s="24">
        <v>908</v>
      </c>
      <c r="M46" s="24">
        <v>1</v>
      </c>
      <c r="N46" s="24">
        <v>37798</v>
      </c>
      <c r="O46" s="39">
        <v>0.44</v>
      </c>
      <c r="R46" s="36" t="s">
        <v>51</v>
      </c>
      <c r="S46" s="36"/>
      <c r="T46" s="37">
        <v>160</v>
      </c>
      <c r="U46" s="37">
        <v>5</v>
      </c>
      <c r="V46" s="37">
        <v>4</v>
      </c>
      <c r="W46" s="36"/>
      <c r="X46" s="38">
        <v>1</v>
      </c>
    </row>
    <row r="47" spans="1:24" ht="13.2">
      <c r="R47" s="36" t="s">
        <v>52</v>
      </c>
      <c r="S47" s="36"/>
      <c r="T47" s="37">
        <v>40</v>
      </c>
      <c r="U47" s="37">
        <v>5</v>
      </c>
      <c r="V47" s="37">
        <v>1</v>
      </c>
      <c r="W47" s="36"/>
      <c r="X47" s="38">
        <v>1</v>
      </c>
    </row>
    <row r="48" spans="1:24" ht="15.6">
      <c r="A48" s="3" t="s">
        <v>5</v>
      </c>
      <c r="B48" s="3" t="s">
        <v>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" t="s">
        <v>74</v>
      </c>
      <c r="R48" s="36" t="s">
        <v>53</v>
      </c>
      <c r="S48" s="36"/>
      <c r="T48" s="37">
        <v>40</v>
      </c>
      <c r="U48" s="37">
        <v>5</v>
      </c>
      <c r="V48" s="37">
        <v>1</v>
      </c>
      <c r="W48" s="36"/>
      <c r="X48" s="38">
        <v>1</v>
      </c>
    </row>
    <row r="49" spans="1:24" ht="15.6">
      <c r="A49" s="9" t="s">
        <v>13</v>
      </c>
      <c r="B49" s="9" t="s">
        <v>14</v>
      </c>
      <c r="C49" s="9" t="s">
        <v>15</v>
      </c>
      <c r="D49" s="9" t="s">
        <v>16</v>
      </c>
      <c r="E49" s="9" t="s">
        <v>17</v>
      </c>
      <c r="F49" s="9" t="s">
        <v>18</v>
      </c>
      <c r="G49" s="9" t="s">
        <v>19</v>
      </c>
      <c r="H49" s="9" t="s">
        <v>20</v>
      </c>
      <c r="I49" s="9" t="s">
        <v>21</v>
      </c>
      <c r="J49" s="9" t="s">
        <v>22</v>
      </c>
      <c r="K49" s="9" t="s">
        <v>23</v>
      </c>
      <c r="L49" s="9" t="s">
        <v>24</v>
      </c>
      <c r="M49" s="9" t="s">
        <v>25</v>
      </c>
      <c r="N49" s="5"/>
      <c r="R49" s="36" t="s">
        <v>54</v>
      </c>
      <c r="S49" s="36"/>
      <c r="T49" s="37">
        <v>160</v>
      </c>
      <c r="U49" s="37">
        <v>5</v>
      </c>
      <c r="V49" s="37">
        <v>4</v>
      </c>
      <c r="W49" s="36"/>
      <c r="X49" s="45">
        <v>1</v>
      </c>
    </row>
    <row r="50" spans="1:24" ht="15.6">
      <c r="A50" s="15" t="s">
        <v>27</v>
      </c>
      <c r="B50" s="17"/>
      <c r="C50" s="16">
        <v>29</v>
      </c>
      <c r="D50" s="16">
        <v>4</v>
      </c>
      <c r="E50" s="16">
        <v>25</v>
      </c>
      <c r="F50" s="16">
        <v>9</v>
      </c>
      <c r="G50" s="17"/>
      <c r="H50" s="17"/>
      <c r="I50" s="17"/>
      <c r="J50" s="17"/>
      <c r="K50" s="17"/>
      <c r="L50" s="17"/>
      <c r="M50" s="16">
        <v>67</v>
      </c>
      <c r="N50" s="18">
        <v>0.43280000000000002</v>
      </c>
      <c r="R50" s="36" t="s">
        <v>56</v>
      </c>
      <c r="S50" s="36"/>
      <c r="T50" s="37">
        <v>40</v>
      </c>
      <c r="U50" s="37">
        <v>5</v>
      </c>
      <c r="V50" s="37">
        <v>1</v>
      </c>
      <c r="W50" s="36"/>
      <c r="X50" s="38">
        <v>1</v>
      </c>
    </row>
    <row r="51" spans="1:24" ht="15.6">
      <c r="A51" s="15" t="s">
        <v>29</v>
      </c>
      <c r="B51" s="16">
        <v>6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6">
        <v>6</v>
      </c>
      <c r="N51" s="18">
        <v>1</v>
      </c>
      <c r="R51" s="36" t="s">
        <v>57</v>
      </c>
      <c r="S51" s="36"/>
      <c r="T51" s="37">
        <v>20</v>
      </c>
      <c r="U51" s="37">
        <v>5</v>
      </c>
      <c r="V51" s="37">
        <v>0.5</v>
      </c>
      <c r="W51" s="36"/>
      <c r="X51" s="43"/>
    </row>
    <row r="52" spans="1:24" ht="15.6">
      <c r="A52" s="15" t="s">
        <v>31</v>
      </c>
      <c r="B52" s="16">
        <v>5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6">
        <v>5</v>
      </c>
      <c r="N52" s="18">
        <v>1</v>
      </c>
      <c r="R52" s="36" t="s">
        <v>58</v>
      </c>
      <c r="S52" s="37">
        <v>10</v>
      </c>
      <c r="T52" s="37">
        <v>39</v>
      </c>
      <c r="U52" s="37">
        <v>5</v>
      </c>
      <c r="V52" s="37">
        <v>1</v>
      </c>
      <c r="W52" s="36"/>
      <c r="X52" s="38">
        <v>0.77</v>
      </c>
    </row>
    <row r="53" spans="1:24" ht="15.6">
      <c r="A53" s="15" t="s">
        <v>33</v>
      </c>
      <c r="B53" s="16">
        <v>1153</v>
      </c>
      <c r="C53" s="16">
        <v>1366</v>
      </c>
      <c r="D53" s="16">
        <v>960</v>
      </c>
      <c r="E53" s="16">
        <v>330</v>
      </c>
      <c r="F53" s="16">
        <v>317</v>
      </c>
      <c r="G53" s="16">
        <v>448</v>
      </c>
      <c r="H53" s="16">
        <v>1059</v>
      </c>
      <c r="I53" s="16">
        <v>669</v>
      </c>
      <c r="J53" s="16">
        <v>839</v>
      </c>
      <c r="K53" s="16">
        <v>485</v>
      </c>
      <c r="L53" s="16">
        <v>1</v>
      </c>
      <c r="M53" s="16">
        <v>7627</v>
      </c>
      <c r="N53" s="18">
        <v>0.33029999999999998</v>
      </c>
      <c r="R53" s="36" t="s">
        <v>59</v>
      </c>
      <c r="S53" s="37">
        <v>6</v>
      </c>
      <c r="T53" s="37">
        <v>89</v>
      </c>
      <c r="U53" s="37">
        <v>1</v>
      </c>
      <c r="V53" s="37">
        <v>11</v>
      </c>
      <c r="W53" s="36"/>
      <c r="X53" s="38">
        <v>0.74880000000000002</v>
      </c>
    </row>
    <row r="54" spans="1:24" ht="15.6">
      <c r="A54" s="15" t="s">
        <v>35</v>
      </c>
      <c r="B54" s="16">
        <v>139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6">
        <v>139</v>
      </c>
      <c r="N54" s="18">
        <v>1</v>
      </c>
      <c r="R54" s="36" t="s">
        <v>60</v>
      </c>
      <c r="S54" s="37">
        <v>20</v>
      </c>
      <c r="T54" s="37">
        <v>250</v>
      </c>
      <c r="U54" s="37">
        <v>22</v>
      </c>
      <c r="V54" s="37">
        <v>1</v>
      </c>
      <c r="W54" s="36"/>
      <c r="X54" s="38">
        <v>1</v>
      </c>
    </row>
    <row r="55" spans="1:24" ht="15.6">
      <c r="A55" s="15" t="s">
        <v>38</v>
      </c>
      <c r="B55" s="16">
        <v>12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6">
        <v>12</v>
      </c>
      <c r="N55" s="18">
        <v>1</v>
      </c>
      <c r="R55" s="36" t="s">
        <v>61</v>
      </c>
      <c r="S55" s="37">
        <v>20</v>
      </c>
      <c r="T55" s="37">
        <v>50</v>
      </c>
      <c r="U55" s="37">
        <v>1</v>
      </c>
      <c r="V55" s="37">
        <v>6</v>
      </c>
      <c r="W55" s="36"/>
      <c r="X55" s="43"/>
    </row>
    <row r="56" spans="1:24" ht="15.6">
      <c r="A56" s="15" t="s">
        <v>40</v>
      </c>
      <c r="B56" s="16">
        <v>1458</v>
      </c>
      <c r="C56" s="16">
        <v>916</v>
      </c>
      <c r="D56" s="16">
        <v>869</v>
      </c>
      <c r="E56" s="16">
        <v>217</v>
      </c>
      <c r="F56" s="16">
        <v>376</v>
      </c>
      <c r="G56" s="16">
        <v>473</v>
      </c>
      <c r="H56" s="16">
        <v>872</v>
      </c>
      <c r="I56" s="16">
        <v>533</v>
      </c>
      <c r="J56" s="16">
        <v>594</v>
      </c>
      <c r="K56" s="16">
        <v>389</v>
      </c>
      <c r="L56" s="17"/>
      <c r="M56" s="16">
        <v>6697</v>
      </c>
      <c r="N56" s="18">
        <v>0.35449999999999998</v>
      </c>
      <c r="R56" s="36" t="s">
        <v>62</v>
      </c>
      <c r="S56" s="37">
        <v>15</v>
      </c>
      <c r="T56" s="37">
        <v>40</v>
      </c>
      <c r="U56" s="37">
        <v>1</v>
      </c>
      <c r="V56" s="37">
        <v>5</v>
      </c>
      <c r="W56" s="36"/>
      <c r="X56" s="38"/>
    </row>
    <row r="57" spans="1:24" ht="15.6">
      <c r="A57" s="15" t="s">
        <v>42</v>
      </c>
      <c r="B57" s="16">
        <v>185</v>
      </c>
      <c r="C57" s="16">
        <v>73</v>
      </c>
      <c r="D57" s="16">
        <v>14</v>
      </c>
      <c r="E57" s="16">
        <v>2</v>
      </c>
      <c r="F57" s="16">
        <v>6</v>
      </c>
      <c r="G57" s="16">
        <v>1</v>
      </c>
      <c r="H57" s="17"/>
      <c r="I57" s="17"/>
      <c r="J57" s="17"/>
      <c r="K57" s="17"/>
      <c r="L57" s="17"/>
      <c r="M57" s="16">
        <v>281</v>
      </c>
      <c r="N57" s="18">
        <v>0.91810000000000003</v>
      </c>
    </row>
    <row r="58" spans="1:24" ht="15.6">
      <c r="A58" s="15" t="s">
        <v>44</v>
      </c>
      <c r="B58" s="16">
        <v>9336</v>
      </c>
      <c r="C58" s="16">
        <v>2020</v>
      </c>
      <c r="D58" s="16">
        <v>1945</v>
      </c>
      <c r="E58" s="16">
        <v>1454</v>
      </c>
      <c r="F58" s="16">
        <v>3414</v>
      </c>
      <c r="G58" s="16">
        <v>4074</v>
      </c>
      <c r="H58" s="16">
        <v>118</v>
      </c>
      <c r="I58" s="16">
        <v>24</v>
      </c>
      <c r="J58" s="16">
        <v>14</v>
      </c>
      <c r="K58" s="16">
        <v>44</v>
      </c>
      <c r="L58" s="17"/>
      <c r="M58" s="16">
        <v>22443</v>
      </c>
      <c r="N58" s="18">
        <v>0.50600000000000001</v>
      </c>
    </row>
    <row r="59" spans="1:24" ht="15.6">
      <c r="A59" s="23" t="s">
        <v>25</v>
      </c>
      <c r="B59" s="24">
        <v>12294</v>
      </c>
      <c r="C59" s="24">
        <v>4404</v>
      </c>
      <c r="D59" s="24">
        <v>3792</v>
      </c>
      <c r="E59" s="24">
        <v>2028</v>
      </c>
      <c r="F59" s="24">
        <v>4122</v>
      </c>
      <c r="G59" s="24">
        <v>4996</v>
      </c>
      <c r="H59" s="24">
        <v>2049</v>
      </c>
      <c r="I59" s="24">
        <v>1226</v>
      </c>
      <c r="J59" s="24">
        <v>1447</v>
      </c>
      <c r="K59" s="24">
        <v>918</v>
      </c>
      <c r="L59" s="24">
        <v>1</v>
      </c>
      <c r="M59" s="24">
        <v>37277</v>
      </c>
      <c r="N59" s="18">
        <v>0.44790000000000002</v>
      </c>
    </row>
    <row r="61" spans="1:24" ht="15.6">
      <c r="A61" s="3" t="s">
        <v>5</v>
      </c>
      <c r="B61" s="3" t="s">
        <v>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5" t="s">
        <v>75</v>
      </c>
    </row>
    <row r="62" spans="1:24" ht="15.6">
      <c r="A62" s="9" t="s">
        <v>13</v>
      </c>
      <c r="B62" s="9" t="s">
        <v>14</v>
      </c>
      <c r="C62" s="9" t="s">
        <v>15</v>
      </c>
      <c r="D62" s="9" t="s">
        <v>16</v>
      </c>
      <c r="E62" s="9" t="s">
        <v>17</v>
      </c>
      <c r="F62" s="9" t="s">
        <v>18</v>
      </c>
      <c r="G62" s="9" t="s">
        <v>19</v>
      </c>
      <c r="H62" s="9" t="s">
        <v>20</v>
      </c>
      <c r="I62" s="9" t="s">
        <v>21</v>
      </c>
      <c r="J62" s="9" t="s">
        <v>22</v>
      </c>
      <c r="K62" s="9" t="s">
        <v>23</v>
      </c>
      <c r="L62" s="9" t="s">
        <v>24</v>
      </c>
      <c r="M62" s="9" t="s">
        <v>25</v>
      </c>
      <c r="N62" s="5"/>
    </row>
    <row r="63" spans="1:24" ht="15.6">
      <c r="A63" s="15" t="s">
        <v>27</v>
      </c>
      <c r="B63" s="17"/>
      <c r="C63" s="16">
        <v>29</v>
      </c>
      <c r="D63" s="16">
        <v>4</v>
      </c>
      <c r="E63" s="16">
        <v>25</v>
      </c>
      <c r="F63" s="16">
        <v>9</v>
      </c>
      <c r="G63" s="17"/>
      <c r="H63" s="17"/>
      <c r="I63" s="17"/>
      <c r="J63" s="17"/>
      <c r="K63" s="17"/>
      <c r="L63" s="17"/>
      <c r="M63" s="16">
        <v>67</v>
      </c>
      <c r="N63" s="18">
        <v>0.43280000000000002</v>
      </c>
    </row>
    <row r="64" spans="1:24" ht="15.6">
      <c r="A64" s="15" t="s">
        <v>31</v>
      </c>
      <c r="B64" s="16">
        <v>5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6">
        <v>5</v>
      </c>
      <c r="N64" s="18">
        <v>1</v>
      </c>
    </row>
    <row r="65" spans="1:15" ht="15.6">
      <c r="A65" s="15" t="s">
        <v>33</v>
      </c>
      <c r="B65" s="16">
        <v>1200</v>
      </c>
      <c r="C65" s="16">
        <v>1366</v>
      </c>
      <c r="D65" s="16">
        <v>960</v>
      </c>
      <c r="E65" s="16">
        <v>330</v>
      </c>
      <c r="F65" s="16">
        <v>317</v>
      </c>
      <c r="G65" s="16">
        <v>448</v>
      </c>
      <c r="H65" s="16">
        <v>1059</v>
      </c>
      <c r="I65" s="16">
        <v>669</v>
      </c>
      <c r="J65" s="16">
        <v>839</v>
      </c>
      <c r="K65" s="16">
        <v>485</v>
      </c>
      <c r="L65" s="16">
        <v>1</v>
      </c>
      <c r="M65" s="16">
        <v>7674</v>
      </c>
      <c r="N65" s="18">
        <v>0.33439999999999998</v>
      </c>
    </row>
    <row r="66" spans="1:15" ht="15.6">
      <c r="A66" s="15" t="s">
        <v>35</v>
      </c>
      <c r="B66" s="16">
        <v>38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6">
        <v>38</v>
      </c>
      <c r="N66" s="18">
        <v>1</v>
      </c>
    </row>
    <row r="67" spans="1:15" ht="15.6">
      <c r="A67" s="15" t="s">
        <v>38</v>
      </c>
      <c r="B67" s="16">
        <v>9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6">
        <v>9</v>
      </c>
      <c r="N67" s="18">
        <v>1</v>
      </c>
    </row>
    <row r="68" spans="1:15" ht="15.6">
      <c r="A68" s="15" t="s">
        <v>40</v>
      </c>
      <c r="B68" s="16">
        <v>1568</v>
      </c>
      <c r="C68" s="16">
        <v>916</v>
      </c>
      <c r="D68" s="16">
        <v>869</v>
      </c>
      <c r="E68" s="16">
        <v>217</v>
      </c>
      <c r="F68" s="16">
        <v>376</v>
      </c>
      <c r="G68" s="16">
        <v>472</v>
      </c>
      <c r="H68" s="16">
        <v>872</v>
      </c>
      <c r="I68" s="16">
        <v>533</v>
      </c>
      <c r="J68" s="16">
        <v>594</v>
      </c>
      <c r="K68" s="16">
        <v>389</v>
      </c>
      <c r="L68" s="17"/>
      <c r="M68" s="16">
        <v>6806</v>
      </c>
      <c r="N68" s="18">
        <v>0.36499999999999999</v>
      </c>
    </row>
    <row r="69" spans="1:15" ht="15.6">
      <c r="A69" s="15" t="s">
        <v>42</v>
      </c>
      <c r="B69" s="16">
        <v>176</v>
      </c>
      <c r="C69" s="16">
        <v>71</v>
      </c>
      <c r="D69" s="16">
        <v>14</v>
      </c>
      <c r="E69" s="16">
        <v>2</v>
      </c>
      <c r="F69" s="16">
        <v>6</v>
      </c>
      <c r="G69" s="16">
        <v>1</v>
      </c>
      <c r="H69" s="17"/>
      <c r="I69" s="17"/>
      <c r="J69" s="17"/>
      <c r="K69" s="17"/>
      <c r="L69" s="17"/>
      <c r="M69" s="16">
        <v>270</v>
      </c>
      <c r="N69" s="18">
        <v>0.91479999999999995</v>
      </c>
    </row>
    <row r="70" spans="1:15" ht="15.6">
      <c r="A70" s="15" t="s">
        <v>44</v>
      </c>
      <c r="B70" s="16">
        <v>9385</v>
      </c>
      <c r="C70" s="16">
        <v>1983</v>
      </c>
      <c r="D70" s="16">
        <v>1845</v>
      </c>
      <c r="E70" s="16">
        <v>1391</v>
      </c>
      <c r="F70" s="16">
        <v>3203</v>
      </c>
      <c r="G70" s="16">
        <v>3692</v>
      </c>
      <c r="H70" s="16">
        <v>115</v>
      </c>
      <c r="I70" s="16">
        <v>24</v>
      </c>
      <c r="J70" s="16">
        <v>14</v>
      </c>
      <c r="K70" s="16">
        <v>44</v>
      </c>
      <c r="L70" s="17"/>
      <c r="M70" s="16">
        <v>21696</v>
      </c>
      <c r="N70" s="18">
        <v>0.52400000000000002</v>
      </c>
    </row>
    <row r="71" spans="1:15" ht="15.6">
      <c r="A71" s="23" t="s">
        <v>25</v>
      </c>
      <c r="B71" s="24">
        <v>12381</v>
      </c>
      <c r="C71" s="24">
        <v>4365</v>
      </c>
      <c r="D71" s="24">
        <v>3692</v>
      </c>
      <c r="E71" s="24">
        <v>1965</v>
      </c>
      <c r="F71" s="24">
        <v>3911</v>
      </c>
      <c r="G71" s="24">
        <v>4613</v>
      </c>
      <c r="H71" s="24">
        <v>2046</v>
      </c>
      <c r="I71" s="24">
        <v>1226</v>
      </c>
      <c r="J71" s="24">
        <v>1447</v>
      </c>
      <c r="K71" s="24">
        <v>918</v>
      </c>
      <c r="L71" s="24">
        <v>1</v>
      </c>
      <c r="M71" s="24">
        <v>36565</v>
      </c>
      <c r="N71" s="18">
        <v>0.45800000000000002</v>
      </c>
    </row>
    <row r="74" spans="1:15" ht="15.6">
      <c r="A74" s="3" t="s">
        <v>5</v>
      </c>
      <c r="B74" s="3"/>
      <c r="C74" s="3" t="s">
        <v>63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46">
        <v>45551</v>
      </c>
    </row>
    <row r="75" spans="1:15" ht="15.6">
      <c r="A75" s="9" t="s">
        <v>65</v>
      </c>
      <c r="B75" s="9" t="s">
        <v>66</v>
      </c>
      <c r="C75" s="9" t="s">
        <v>14</v>
      </c>
      <c r="D75" s="9" t="s">
        <v>15</v>
      </c>
      <c r="E75" s="9" t="s">
        <v>16</v>
      </c>
      <c r="F75" s="9" t="s">
        <v>17</v>
      </c>
      <c r="G75" s="9" t="s">
        <v>18</v>
      </c>
      <c r="H75" s="9" t="s">
        <v>19</v>
      </c>
      <c r="I75" s="9" t="s">
        <v>20</v>
      </c>
      <c r="J75" s="9" t="s">
        <v>21</v>
      </c>
      <c r="K75" s="9" t="s">
        <v>22</v>
      </c>
      <c r="L75" s="9" t="s">
        <v>23</v>
      </c>
      <c r="M75" s="9" t="s">
        <v>24</v>
      </c>
      <c r="N75" s="9" t="s">
        <v>25</v>
      </c>
      <c r="O75" s="32" t="s">
        <v>12</v>
      </c>
    </row>
    <row r="76" spans="1:15" ht="15.6">
      <c r="A76" s="47" t="s">
        <v>27</v>
      </c>
      <c r="B76" s="5"/>
      <c r="C76" s="34">
        <v>387</v>
      </c>
      <c r="D76" s="34">
        <v>4</v>
      </c>
      <c r="E76" s="34">
        <v>25</v>
      </c>
      <c r="F76" s="34">
        <v>5</v>
      </c>
      <c r="G76" s="34">
        <v>31</v>
      </c>
      <c r="H76" s="5"/>
      <c r="I76" s="5"/>
      <c r="J76" s="5"/>
      <c r="K76" s="5"/>
      <c r="L76" s="5"/>
      <c r="M76" s="5"/>
      <c r="N76" s="34">
        <v>452</v>
      </c>
      <c r="O76" s="48">
        <v>0.86</v>
      </c>
    </row>
    <row r="77" spans="1:15" ht="15.6">
      <c r="A77" s="47" t="s">
        <v>29</v>
      </c>
      <c r="B77" s="5"/>
      <c r="C77" s="34">
        <v>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34">
        <v>7</v>
      </c>
      <c r="O77" s="48">
        <v>1</v>
      </c>
    </row>
    <row r="78" spans="1:15" ht="15.6">
      <c r="A78" s="47" t="s">
        <v>35</v>
      </c>
      <c r="B78" s="5"/>
      <c r="C78" s="34">
        <v>249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34">
        <v>249</v>
      </c>
      <c r="O78" s="48">
        <v>1</v>
      </c>
    </row>
    <row r="79" spans="1:15" ht="15.6">
      <c r="A79" s="47" t="s">
        <v>38</v>
      </c>
      <c r="B79" s="5"/>
      <c r="C79" s="34">
        <v>15</v>
      </c>
      <c r="D79" s="34">
        <v>3</v>
      </c>
      <c r="E79" s="5"/>
      <c r="F79" s="5"/>
      <c r="G79" s="5"/>
      <c r="H79" s="5"/>
      <c r="I79" s="5"/>
      <c r="J79" s="5"/>
      <c r="K79" s="5"/>
      <c r="L79" s="5"/>
      <c r="M79" s="5"/>
      <c r="N79" s="34">
        <v>18</v>
      </c>
      <c r="O79" s="48">
        <v>0.83</v>
      </c>
    </row>
    <row r="80" spans="1:15" ht="15.6">
      <c r="A80" s="17" t="s">
        <v>31</v>
      </c>
      <c r="B80" s="5"/>
      <c r="C80" s="34">
        <v>71</v>
      </c>
      <c r="D80" s="34">
        <v>5</v>
      </c>
      <c r="E80" s="5"/>
      <c r="F80" s="5"/>
      <c r="G80" s="5"/>
      <c r="H80" s="5"/>
      <c r="I80" s="5"/>
      <c r="J80" s="5"/>
      <c r="K80" s="5"/>
      <c r="L80" s="5"/>
      <c r="M80" s="5"/>
      <c r="N80" s="34">
        <v>76</v>
      </c>
      <c r="O80" s="39">
        <v>1</v>
      </c>
    </row>
    <row r="81" spans="1:15" ht="15.6">
      <c r="A81" s="17" t="s">
        <v>33</v>
      </c>
      <c r="B81" s="5"/>
      <c r="C81" s="34">
        <v>591</v>
      </c>
      <c r="D81" s="34">
        <v>1521</v>
      </c>
      <c r="E81" s="34">
        <v>586</v>
      </c>
      <c r="F81" s="34">
        <v>851</v>
      </c>
      <c r="G81" s="34">
        <v>539</v>
      </c>
      <c r="H81" s="34">
        <v>378</v>
      </c>
      <c r="I81" s="34">
        <v>1063</v>
      </c>
      <c r="J81" s="34">
        <v>753</v>
      </c>
      <c r="K81" s="34">
        <v>828</v>
      </c>
      <c r="L81" s="34">
        <v>533</v>
      </c>
      <c r="M81" s="34">
        <v>1</v>
      </c>
      <c r="N81" s="34">
        <v>7644</v>
      </c>
      <c r="O81" s="39">
        <v>0.28000000000000003</v>
      </c>
    </row>
    <row r="82" spans="1:15" ht="15.6">
      <c r="A82" s="17" t="s">
        <v>40</v>
      </c>
      <c r="B82" s="5"/>
      <c r="C82" s="34">
        <v>529</v>
      </c>
      <c r="D82" s="34">
        <v>1762</v>
      </c>
      <c r="E82" s="34">
        <v>262</v>
      </c>
      <c r="F82" s="34">
        <v>719</v>
      </c>
      <c r="G82" s="34">
        <v>470</v>
      </c>
      <c r="H82" s="34">
        <v>401</v>
      </c>
      <c r="I82" s="34">
        <v>913</v>
      </c>
      <c r="J82" s="34">
        <v>616</v>
      </c>
      <c r="K82" s="34">
        <v>598</v>
      </c>
      <c r="L82" s="34">
        <v>408</v>
      </c>
      <c r="M82" s="5"/>
      <c r="N82" s="34">
        <v>6678</v>
      </c>
      <c r="O82" s="39">
        <v>0.34</v>
      </c>
    </row>
    <row r="83" spans="1:15" ht="15.6">
      <c r="A83" s="17" t="s">
        <v>42</v>
      </c>
      <c r="B83" s="5"/>
      <c r="C83" s="34">
        <v>55</v>
      </c>
      <c r="D83" s="34">
        <v>182</v>
      </c>
      <c r="E83" s="34">
        <v>5</v>
      </c>
      <c r="F83" s="34">
        <v>15</v>
      </c>
      <c r="G83" s="34">
        <v>4</v>
      </c>
      <c r="H83" s="34">
        <v>3</v>
      </c>
      <c r="I83" s="5"/>
      <c r="J83" s="5"/>
      <c r="K83" s="5"/>
      <c r="L83" s="5"/>
      <c r="M83" s="5"/>
      <c r="N83" s="34">
        <v>264</v>
      </c>
      <c r="O83" s="39">
        <v>0.9</v>
      </c>
    </row>
    <row r="84" spans="1:15" ht="15.6">
      <c r="A84" s="17" t="s">
        <v>44</v>
      </c>
      <c r="B84" s="5"/>
      <c r="C84" s="34">
        <v>8846</v>
      </c>
      <c r="D84" s="34">
        <v>9498</v>
      </c>
      <c r="E84" s="34">
        <v>923</v>
      </c>
      <c r="F84" s="34">
        <v>1787</v>
      </c>
      <c r="G84" s="34">
        <v>2748</v>
      </c>
      <c r="H84" s="34">
        <v>3496</v>
      </c>
      <c r="I84" s="34">
        <v>309</v>
      </c>
      <c r="J84" s="34">
        <v>18</v>
      </c>
      <c r="K84" s="34">
        <v>15</v>
      </c>
      <c r="L84" s="34">
        <v>35</v>
      </c>
      <c r="M84" s="5"/>
      <c r="N84" s="34">
        <v>27675</v>
      </c>
      <c r="O84" s="39">
        <v>0.66</v>
      </c>
    </row>
    <row r="85" spans="1:15" ht="15.6">
      <c r="A85" s="44" t="s">
        <v>25</v>
      </c>
      <c r="B85" s="44"/>
      <c r="C85" s="24">
        <v>10750</v>
      </c>
      <c r="D85" s="24">
        <v>12975</v>
      </c>
      <c r="E85" s="24">
        <v>1801</v>
      </c>
      <c r="F85" s="24">
        <v>3377</v>
      </c>
      <c r="G85" s="24">
        <v>3792</v>
      </c>
      <c r="H85" s="24">
        <v>4278</v>
      </c>
      <c r="I85" s="24">
        <v>2285</v>
      </c>
      <c r="J85" s="24">
        <v>1387</v>
      </c>
      <c r="K85" s="24">
        <v>1441</v>
      </c>
      <c r="L85" s="24">
        <v>976</v>
      </c>
      <c r="M85" s="24">
        <v>1</v>
      </c>
      <c r="N85" s="24">
        <v>43063</v>
      </c>
      <c r="O85" s="39">
        <v>0.55000000000000004</v>
      </c>
    </row>
    <row r="87" spans="1:15" ht="15.6">
      <c r="A87" s="3" t="s">
        <v>5</v>
      </c>
      <c r="B87" s="3" t="s">
        <v>6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49">
        <v>45551.0625</v>
      </c>
    </row>
    <row r="88" spans="1:15" ht="15.6">
      <c r="A88" s="9" t="s">
        <v>13</v>
      </c>
      <c r="B88" s="9" t="s">
        <v>14</v>
      </c>
      <c r="C88" s="9" t="s">
        <v>15</v>
      </c>
      <c r="D88" s="9" t="s">
        <v>16</v>
      </c>
      <c r="E88" s="9" t="s">
        <v>17</v>
      </c>
      <c r="F88" s="9" t="s">
        <v>18</v>
      </c>
      <c r="G88" s="9" t="s">
        <v>19</v>
      </c>
      <c r="H88" s="9" t="s">
        <v>20</v>
      </c>
      <c r="I88" s="9" t="s">
        <v>21</v>
      </c>
      <c r="J88" s="9" t="s">
        <v>22</v>
      </c>
      <c r="K88" s="9" t="s">
        <v>23</v>
      </c>
      <c r="L88" s="9" t="s">
        <v>24</v>
      </c>
      <c r="M88" s="9" t="s">
        <v>25</v>
      </c>
      <c r="N88" s="50">
        <v>45551</v>
      </c>
    </row>
    <row r="89" spans="1:15" ht="15.6">
      <c r="A89" s="15" t="s">
        <v>27</v>
      </c>
      <c r="B89" s="16">
        <v>194</v>
      </c>
      <c r="C89" s="16">
        <v>4</v>
      </c>
      <c r="D89" s="16">
        <v>24</v>
      </c>
      <c r="E89" s="16">
        <v>5</v>
      </c>
      <c r="F89" s="16">
        <v>30</v>
      </c>
      <c r="G89" s="17"/>
      <c r="H89" s="17"/>
      <c r="I89" s="17"/>
      <c r="J89" s="17"/>
      <c r="K89" s="17"/>
      <c r="L89" s="17"/>
      <c r="M89" s="16">
        <v>257</v>
      </c>
      <c r="N89" s="39">
        <v>0.77</v>
      </c>
    </row>
    <row r="90" spans="1:15" ht="15.6">
      <c r="A90" s="15" t="s">
        <v>29</v>
      </c>
      <c r="B90" s="16">
        <v>22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6">
        <v>22</v>
      </c>
      <c r="N90" s="39">
        <v>1</v>
      </c>
    </row>
    <row r="91" spans="1:15" ht="15.6">
      <c r="A91" s="15" t="s">
        <v>31</v>
      </c>
      <c r="B91" s="16">
        <v>71</v>
      </c>
      <c r="C91" s="16">
        <v>5</v>
      </c>
      <c r="D91" s="17"/>
      <c r="E91" s="17"/>
      <c r="F91" s="17"/>
      <c r="G91" s="17"/>
      <c r="H91" s="17"/>
      <c r="I91" s="17"/>
      <c r="J91" s="17"/>
      <c r="K91" s="17"/>
      <c r="L91" s="17"/>
      <c r="M91" s="16">
        <v>76</v>
      </c>
      <c r="N91" s="39">
        <v>1</v>
      </c>
    </row>
    <row r="92" spans="1:15" ht="15.6">
      <c r="A92" s="15" t="s">
        <v>33</v>
      </c>
      <c r="B92" s="16">
        <v>677</v>
      </c>
      <c r="C92" s="16">
        <v>1488</v>
      </c>
      <c r="D92" s="16">
        <v>560</v>
      </c>
      <c r="E92" s="16">
        <v>818</v>
      </c>
      <c r="F92" s="16">
        <v>527</v>
      </c>
      <c r="G92" s="16">
        <v>370</v>
      </c>
      <c r="H92" s="16">
        <v>1058</v>
      </c>
      <c r="I92" s="16">
        <v>750</v>
      </c>
      <c r="J92" s="16">
        <v>828</v>
      </c>
      <c r="K92" s="16">
        <v>519</v>
      </c>
      <c r="L92" s="16">
        <v>1</v>
      </c>
      <c r="M92" s="16">
        <v>7596</v>
      </c>
      <c r="N92" s="39">
        <v>0.28999999999999998</v>
      </c>
    </row>
    <row r="93" spans="1:15" ht="15.6">
      <c r="A93" s="15" t="s">
        <v>35</v>
      </c>
      <c r="B93" s="16">
        <v>164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6">
        <v>164</v>
      </c>
      <c r="N93" s="39">
        <v>1</v>
      </c>
    </row>
    <row r="94" spans="1:15" ht="15.6">
      <c r="A94" s="15" t="s">
        <v>38</v>
      </c>
      <c r="B94" s="16">
        <v>44</v>
      </c>
      <c r="C94" s="16">
        <v>3</v>
      </c>
      <c r="D94" s="17"/>
      <c r="E94" s="17"/>
      <c r="F94" s="17"/>
      <c r="G94" s="17"/>
      <c r="H94" s="17"/>
      <c r="I94" s="17"/>
      <c r="J94" s="17"/>
      <c r="K94" s="17"/>
      <c r="L94" s="17"/>
      <c r="M94" s="16">
        <v>47</v>
      </c>
      <c r="N94" s="39">
        <v>1</v>
      </c>
    </row>
    <row r="95" spans="1:15" ht="15.6">
      <c r="A95" s="15" t="s">
        <v>40</v>
      </c>
      <c r="B95" s="16">
        <v>622</v>
      </c>
      <c r="C95" s="16">
        <v>1727</v>
      </c>
      <c r="D95" s="16">
        <v>253</v>
      </c>
      <c r="E95" s="16">
        <v>685</v>
      </c>
      <c r="F95" s="16">
        <v>449</v>
      </c>
      <c r="G95" s="16">
        <v>396</v>
      </c>
      <c r="H95" s="16">
        <v>896</v>
      </c>
      <c r="I95" s="16">
        <v>611</v>
      </c>
      <c r="J95" s="16">
        <v>596</v>
      </c>
      <c r="K95" s="16">
        <v>388</v>
      </c>
      <c r="L95" s="17"/>
      <c r="M95" s="16">
        <v>6623</v>
      </c>
      <c r="N95" s="39">
        <v>0.35</v>
      </c>
    </row>
    <row r="96" spans="1:15" ht="15.6">
      <c r="A96" s="15" t="s">
        <v>42</v>
      </c>
      <c r="B96" s="16">
        <v>69</v>
      </c>
      <c r="C96" s="16">
        <v>173</v>
      </c>
      <c r="D96" s="16">
        <v>5</v>
      </c>
      <c r="E96" s="16">
        <v>15</v>
      </c>
      <c r="F96" s="16">
        <v>4</v>
      </c>
      <c r="G96" s="16">
        <v>3</v>
      </c>
      <c r="H96" s="17"/>
      <c r="I96" s="17"/>
      <c r="J96" s="17"/>
      <c r="K96" s="17"/>
      <c r="L96" s="17"/>
      <c r="M96" s="16">
        <v>269</v>
      </c>
      <c r="N96" s="39">
        <v>0.9</v>
      </c>
    </row>
    <row r="97" spans="1:14" ht="15.6">
      <c r="A97" s="15" t="s">
        <v>44</v>
      </c>
      <c r="B97" s="16">
        <v>9226</v>
      </c>
      <c r="C97" s="16">
        <v>9212</v>
      </c>
      <c r="D97" s="16">
        <v>906</v>
      </c>
      <c r="E97" s="16">
        <v>1752</v>
      </c>
      <c r="F97" s="16">
        <v>2694</v>
      </c>
      <c r="G97" s="16">
        <v>3410</v>
      </c>
      <c r="H97" s="16">
        <v>290</v>
      </c>
      <c r="I97" s="16">
        <v>19</v>
      </c>
      <c r="J97" s="16">
        <v>17</v>
      </c>
      <c r="K97" s="16">
        <v>46</v>
      </c>
      <c r="L97" s="17"/>
      <c r="M97" s="16">
        <v>27572</v>
      </c>
      <c r="N97" s="39">
        <v>0.67</v>
      </c>
    </row>
    <row r="98" spans="1:14" ht="15.6">
      <c r="A98" s="23" t="s">
        <v>25</v>
      </c>
      <c r="B98" s="24">
        <v>11089</v>
      </c>
      <c r="C98" s="24">
        <v>12612</v>
      </c>
      <c r="D98" s="24">
        <v>1748</v>
      </c>
      <c r="E98" s="24">
        <v>3275</v>
      </c>
      <c r="F98" s="24">
        <v>3704</v>
      </c>
      <c r="G98" s="24">
        <v>4179</v>
      </c>
      <c r="H98" s="24">
        <v>2244</v>
      </c>
      <c r="I98" s="24">
        <v>1380</v>
      </c>
      <c r="J98" s="24">
        <v>1441</v>
      </c>
      <c r="K98" s="24">
        <v>953</v>
      </c>
      <c r="L98" s="24">
        <v>1</v>
      </c>
      <c r="M98" s="24">
        <v>42626</v>
      </c>
      <c r="N98" s="39">
        <v>0.56000000000000005</v>
      </c>
    </row>
    <row r="100" spans="1:14" ht="13.8">
      <c r="A100" s="51" t="s">
        <v>5</v>
      </c>
      <c r="B100" s="51" t="s">
        <v>6</v>
      </c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</row>
    <row r="101" spans="1:14" ht="13.8">
      <c r="A101" s="52" t="s">
        <v>13</v>
      </c>
      <c r="B101" s="52" t="s">
        <v>14</v>
      </c>
      <c r="C101" s="52" t="s">
        <v>15</v>
      </c>
      <c r="D101" s="52" t="s">
        <v>16</v>
      </c>
      <c r="E101" s="52" t="s">
        <v>17</v>
      </c>
      <c r="F101" s="52" t="s">
        <v>18</v>
      </c>
      <c r="G101" s="52" t="s">
        <v>19</v>
      </c>
      <c r="H101" s="52" t="s">
        <v>20</v>
      </c>
      <c r="I101" s="52" t="s">
        <v>21</v>
      </c>
      <c r="J101" s="52" t="s">
        <v>22</v>
      </c>
      <c r="K101" s="52" t="s">
        <v>23</v>
      </c>
      <c r="L101" s="52" t="s">
        <v>24</v>
      </c>
      <c r="M101" s="52" t="s">
        <v>25</v>
      </c>
      <c r="N101" s="53">
        <v>45552</v>
      </c>
    </row>
    <row r="102" spans="1:14" ht="13.8">
      <c r="A102" s="54" t="s">
        <v>27</v>
      </c>
      <c r="B102" s="55">
        <v>9</v>
      </c>
      <c r="C102" s="55">
        <v>27</v>
      </c>
      <c r="D102" s="55">
        <v>4</v>
      </c>
      <c r="E102" s="55">
        <v>28</v>
      </c>
      <c r="F102" s="55">
        <v>24</v>
      </c>
      <c r="G102" s="55">
        <v>7</v>
      </c>
      <c r="H102" s="56"/>
      <c r="I102" s="56"/>
      <c r="J102" s="56"/>
      <c r="K102" s="56"/>
      <c r="L102" s="56"/>
      <c r="M102" s="55">
        <v>99</v>
      </c>
      <c r="N102" s="57">
        <v>0.36359999999999998</v>
      </c>
    </row>
    <row r="103" spans="1:14" ht="13.8">
      <c r="A103" s="54" t="s">
        <v>29</v>
      </c>
      <c r="B103" s="55">
        <v>2</v>
      </c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5">
        <v>2</v>
      </c>
      <c r="N103" s="57">
        <v>1</v>
      </c>
    </row>
    <row r="104" spans="1:14" ht="13.8">
      <c r="A104" s="54" t="s">
        <v>31</v>
      </c>
      <c r="B104" s="55">
        <v>3</v>
      </c>
      <c r="C104" s="55">
        <v>76</v>
      </c>
      <c r="D104" s="56"/>
      <c r="E104" s="56"/>
      <c r="F104" s="56"/>
      <c r="G104" s="56"/>
      <c r="H104" s="56"/>
      <c r="I104" s="56"/>
      <c r="J104" s="56"/>
      <c r="K104" s="56"/>
      <c r="L104" s="56"/>
      <c r="M104" s="55">
        <v>79</v>
      </c>
      <c r="N104" s="57">
        <v>1</v>
      </c>
    </row>
    <row r="105" spans="1:14" ht="13.8">
      <c r="A105" s="54" t="s">
        <v>33</v>
      </c>
      <c r="B105" s="55">
        <v>1492</v>
      </c>
      <c r="C105" s="55">
        <v>1124</v>
      </c>
      <c r="D105" s="55">
        <v>160</v>
      </c>
      <c r="E105" s="55">
        <v>743</v>
      </c>
      <c r="F105" s="55">
        <v>489</v>
      </c>
      <c r="G105" s="55">
        <v>395</v>
      </c>
      <c r="H105" s="55">
        <v>1032</v>
      </c>
      <c r="I105" s="55">
        <v>725</v>
      </c>
      <c r="J105" s="55">
        <v>841</v>
      </c>
      <c r="K105" s="55">
        <v>515</v>
      </c>
      <c r="L105" s="55">
        <v>1</v>
      </c>
      <c r="M105" s="55">
        <v>7517</v>
      </c>
      <c r="N105" s="57">
        <v>0.34799999999999998</v>
      </c>
    </row>
    <row r="106" spans="1:14" ht="13.8">
      <c r="A106" s="54" t="s">
        <v>35</v>
      </c>
      <c r="B106" s="55">
        <v>125</v>
      </c>
      <c r="C106" s="55">
        <v>1</v>
      </c>
      <c r="D106" s="56"/>
      <c r="E106" s="56"/>
      <c r="F106" s="56"/>
      <c r="G106" s="56"/>
      <c r="H106" s="56"/>
      <c r="I106" s="56"/>
      <c r="J106" s="56"/>
      <c r="K106" s="56"/>
      <c r="L106" s="56"/>
      <c r="M106" s="55">
        <v>126</v>
      </c>
      <c r="N106" s="57">
        <v>1</v>
      </c>
    </row>
    <row r="107" spans="1:14" ht="13.8">
      <c r="A107" s="54" t="s">
        <v>38</v>
      </c>
      <c r="B107" s="55">
        <v>2</v>
      </c>
      <c r="C107" s="55">
        <v>13</v>
      </c>
      <c r="D107" s="56"/>
      <c r="E107" s="56"/>
      <c r="F107" s="56"/>
      <c r="G107" s="56"/>
      <c r="H107" s="56"/>
      <c r="I107" s="56"/>
      <c r="J107" s="56"/>
      <c r="K107" s="56"/>
      <c r="L107" s="56"/>
      <c r="M107" s="55">
        <v>15</v>
      </c>
      <c r="N107" s="57">
        <v>1</v>
      </c>
    </row>
    <row r="108" spans="1:14" ht="13.8">
      <c r="A108" s="54" t="s">
        <v>40</v>
      </c>
      <c r="B108" s="55">
        <v>1021</v>
      </c>
      <c r="C108" s="55">
        <v>1398</v>
      </c>
      <c r="D108" s="55">
        <v>139</v>
      </c>
      <c r="E108" s="55">
        <v>660</v>
      </c>
      <c r="F108" s="55">
        <v>371</v>
      </c>
      <c r="G108" s="55">
        <v>449</v>
      </c>
      <c r="H108" s="55">
        <v>883</v>
      </c>
      <c r="I108" s="55">
        <v>562</v>
      </c>
      <c r="J108" s="55">
        <v>583</v>
      </c>
      <c r="K108" s="55">
        <v>385</v>
      </c>
      <c r="L108" s="56"/>
      <c r="M108" s="55">
        <v>6451</v>
      </c>
      <c r="N108" s="57">
        <v>0.375</v>
      </c>
    </row>
    <row r="109" spans="1:14" ht="13.8">
      <c r="A109" s="54" t="s">
        <v>42</v>
      </c>
      <c r="B109" s="55">
        <v>57</v>
      </c>
      <c r="C109" s="55">
        <v>157</v>
      </c>
      <c r="D109" s="55">
        <v>39</v>
      </c>
      <c r="E109" s="55">
        <v>15</v>
      </c>
      <c r="F109" s="55">
        <v>6</v>
      </c>
      <c r="G109" s="55">
        <v>3</v>
      </c>
      <c r="H109" s="56"/>
      <c r="I109" s="56"/>
      <c r="J109" s="56"/>
      <c r="K109" s="56"/>
      <c r="L109" s="56"/>
      <c r="M109" s="55">
        <v>277</v>
      </c>
      <c r="N109" s="57">
        <v>0.77259999999999995</v>
      </c>
    </row>
    <row r="110" spans="1:14" ht="13.8">
      <c r="A110" s="54" t="s">
        <v>44</v>
      </c>
      <c r="B110" s="55">
        <v>4214</v>
      </c>
      <c r="C110" s="55">
        <v>13820</v>
      </c>
      <c r="D110" s="55">
        <v>758</v>
      </c>
      <c r="E110" s="55">
        <v>2215</v>
      </c>
      <c r="F110" s="55">
        <v>2556</v>
      </c>
      <c r="G110" s="55">
        <v>3764</v>
      </c>
      <c r="H110" s="55">
        <v>288</v>
      </c>
      <c r="I110" s="55">
        <v>20</v>
      </c>
      <c r="J110" s="55">
        <v>15</v>
      </c>
      <c r="K110" s="55">
        <v>35</v>
      </c>
      <c r="L110" s="56"/>
      <c r="M110" s="55">
        <v>27685</v>
      </c>
      <c r="N110" s="57">
        <v>0.65139999999999998</v>
      </c>
    </row>
    <row r="111" spans="1:14" ht="13.8">
      <c r="A111" s="58" t="s">
        <v>25</v>
      </c>
      <c r="B111" s="59">
        <v>6925</v>
      </c>
      <c r="C111" s="59">
        <v>16616</v>
      </c>
      <c r="D111" s="59">
        <v>1100</v>
      </c>
      <c r="E111" s="59">
        <v>3661</v>
      </c>
      <c r="F111" s="59">
        <v>3446</v>
      </c>
      <c r="G111" s="59">
        <v>4618</v>
      </c>
      <c r="H111" s="59">
        <v>2203</v>
      </c>
      <c r="I111" s="59">
        <v>1307</v>
      </c>
      <c r="J111" s="59">
        <v>1439</v>
      </c>
      <c r="K111" s="59">
        <v>935</v>
      </c>
      <c r="L111" s="59">
        <v>1</v>
      </c>
      <c r="M111" s="59">
        <v>42251</v>
      </c>
      <c r="N111" s="60">
        <v>0.55720000000000003</v>
      </c>
    </row>
    <row r="113" spans="1:14" ht="13.8">
      <c r="A113" s="51" t="s">
        <v>5</v>
      </c>
      <c r="B113" s="51" t="s">
        <v>6</v>
      </c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61">
        <v>45552</v>
      </c>
    </row>
    <row r="114" spans="1:14" ht="13.8">
      <c r="A114" s="52" t="s">
        <v>13</v>
      </c>
      <c r="B114" s="52" t="s">
        <v>14</v>
      </c>
      <c r="C114" s="52" t="s">
        <v>15</v>
      </c>
      <c r="D114" s="52" t="s">
        <v>16</v>
      </c>
      <c r="E114" s="52" t="s">
        <v>17</v>
      </c>
      <c r="F114" s="52" t="s">
        <v>18</v>
      </c>
      <c r="G114" s="52" t="s">
        <v>19</v>
      </c>
      <c r="H114" s="52" t="s">
        <v>20</v>
      </c>
      <c r="I114" s="52" t="s">
        <v>21</v>
      </c>
      <c r="J114" s="52" t="s">
        <v>22</v>
      </c>
      <c r="K114" s="52" t="s">
        <v>23</v>
      </c>
      <c r="L114" s="52" t="s">
        <v>24</v>
      </c>
      <c r="M114" s="52" t="s">
        <v>25</v>
      </c>
      <c r="N114" s="62"/>
    </row>
    <row r="115" spans="1:14" ht="13.8">
      <c r="A115" s="54" t="s">
        <v>27</v>
      </c>
      <c r="B115" s="55">
        <v>9</v>
      </c>
      <c r="C115" s="55">
        <v>27</v>
      </c>
      <c r="D115" s="55">
        <v>4</v>
      </c>
      <c r="E115" s="55">
        <v>28</v>
      </c>
      <c r="F115" s="55">
        <v>24</v>
      </c>
      <c r="G115" s="55">
        <v>7</v>
      </c>
      <c r="H115" s="56"/>
      <c r="I115" s="56"/>
      <c r="J115" s="56"/>
      <c r="K115" s="56"/>
      <c r="L115" s="56"/>
      <c r="M115" s="55">
        <v>99</v>
      </c>
      <c r="N115" s="57">
        <v>0.36359999999999998</v>
      </c>
    </row>
    <row r="116" spans="1:14" ht="13.8">
      <c r="A116" s="54" t="s">
        <v>29</v>
      </c>
      <c r="B116" s="55">
        <v>2</v>
      </c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5">
        <v>2</v>
      </c>
      <c r="N116" s="57">
        <v>1</v>
      </c>
    </row>
    <row r="117" spans="1:14" ht="13.8">
      <c r="A117" s="54" t="s">
        <v>31</v>
      </c>
      <c r="B117" s="55">
        <v>3</v>
      </c>
      <c r="C117" s="55">
        <v>76</v>
      </c>
      <c r="D117" s="56"/>
      <c r="E117" s="56"/>
      <c r="F117" s="56"/>
      <c r="G117" s="56"/>
      <c r="H117" s="56"/>
      <c r="I117" s="56"/>
      <c r="J117" s="56"/>
      <c r="K117" s="56"/>
      <c r="L117" s="56"/>
      <c r="M117" s="55">
        <v>79</v>
      </c>
      <c r="N117" s="57">
        <v>1</v>
      </c>
    </row>
    <row r="118" spans="1:14" ht="13.8">
      <c r="A118" s="54" t="s">
        <v>33</v>
      </c>
      <c r="B118" s="55">
        <v>1492</v>
      </c>
      <c r="C118" s="55">
        <v>1124</v>
      </c>
      <c r="D118" s="55">
        <v>160</v>
      </c>
      <c r="E118" s="55">
        <v>743</v>
      </c>
      <c r="F118" s="55">
        <v>489</v>
      </c>
      <c r="G118" s="55">
        <v>395</v>
      </c>
      <c r="H118" s="55">
        <v>1032</v>
      </c>
      <c r="I118" s="55">
        <v>725</v>
      </c>
      <c r="J118" s="55">
        <v>841</v>
      </c>
      <c r="K118" s="55">
        <v>515</v>
      </c>
      <c r="L118" s="55">
        <v>1</v>
      </c>
      <c r="M118" s="55">
        <v>7517</v>
      </c>
      <c r="N118" s="57">
        <v>0.34799999999999998</v>
      </c>
    </row>
    <row r="119" spans="1:14" ht="13.8">
      <c r="A119" s="54" t="s">
        <v>35</v>
      </c>
      <c r="B119" s="55">
        <v>125</v>
      </c>
      <c r="C119" s="55">
        <v>1</v>
      </c>
      <c r="D119" s="56"/>
      <c r="E119" s="56"/>
      <c r="F119" s="56"/>
      <c r="G119" s="56"/>
      <c r="H119" s="56"/>
      <c r="I119" s="56"/>
      <c r="J119" s="56"/>
      <c r="K119" s="56"/>
      <c r="L119" s="56"/>
      <c r="M119" s="55">
        <v>126</v>
      </c>
      <c r="N119" s="57">
        <v>1</v>
      </c>
    </row>
    <row r="120" spans="1:14" ht="13.8">
      <c r="A120" s="54" t="s">
        <v>38</v>
      </c>
      <c r="B120" s="55">
        <v>2</v>
      </c>
      <c r="C120" s="55">
        <v>13</v>
      </c>
      <c r="D120" s="56"/>
      <c r="E120" s="56"/>
      <c r="F120" s="56"/>
      <c r="G120" s="56"/>
      <c r="H120" s="56"/>
      <c r="I120" s="56"/>
      <c r="J120" s="56"/>
      <c r="K120" s="56"/>
      <c r="L120" s="56"/>
      <c r="M120" s="55">
        <v>15</v>
      </c>
      <c r="N120" s="57">
        <v>1</v>
      </c>
    </row>
    <row r="121" spans="1:14" ht="13.8">
      <c r="A121" s="54" t="s">
        <v>40</v>
      </c>
      <c r="B121" s="55">
        <v>1021</v>
      </c>
      <c r="C121" s="55">
        <v>1398</v>
      </c>
      <c r="D121" s="55">
        <v>139</v>
      </c>
      <c r="E121" s="55">
        <v>660</v>
      </c>
      <c r="F121" s="55">
        <v>371</v>
      </c>
      <c r="G121" s="55">
        <v>449</v>
      </c>
      <c r="H121" s="55">
        <v>883</v>
      </c>
      <c r="I121" s="55">
        <v>562</v>
      </c>
      <c r="J121" s="55">
        <v>583</v>
      </c>
      <c r="K121" s="55">
        <v>385</v>
      </c>
      <c r="L121" s="56"/>
      <c r="M121" s="55">
        <v>6451</v>
      </c>
      <c r="N121" s="57">
        <v>0.375</v>
      </c>
    </row>
    <row r="122" spans="1:14" ht="13.8">
      <c r="A122" s="54" t="s">
        <v>42</v>
      </c>
      <c r="B122" s="55">
        <v>57</v>
      </c>
      <c r="C122" s="55">
        <v>157</v>
      </c>
      <c r="D122" s="55">
        <v>39</v>
      </c>
      <c r="E122" s="55">
        <v>15</v>
      </c>
      <c r="F122" s="55">
        <v>6</v>
      </c>
      <c r="G122" s="55">
        <v>3</v>
      </c>
      <c r="H122" s="56"/>
      <c r="I122" s="56"/>
      <c r="J122" s="56"/>
      <c r="K122" s="56"/>
      <c r="L122" s="56"/>
      <c r="M122" s="55">
        <v>277</v>
      </c>
      <c r="N122" s="57">
        <v>0.77259999999999995</v>
      </c>
    </row>
    <row r="123" spans="1:14" ht="13.8">
      <c r="A123" s="54" t="s">
        <v>44</v>
      </c>
      <c r="B123" s="55">
        <v>4214</v>
      </c>
      <c r="C123" s="55">
        <v>13820</v>
      </c>
      <c r="D123" s="55">
        <v>758</v>
      </c>
      <c r="E123" s="55">
        <v>2215</v>
      </c>
      <c r="F123" s="55">
        <v>2556</v>
      </c>
      <c r="G123" s="55">
        <v>3764</v>
      </c>
      <c r="H123" s="55">
        <v>288</v>
      </c>
      <c r="I123" s="55">
        <v>20</v>
      </c>
      <c r="J123" s="55">
        <v>15</v>
      </c>
      <c r="K123" s="55">
        <v>35</v>
      </c>
      <c r="L123" s="56"/>
      <c r="M123" s="55">
        <v>27685</v>
      </c>
      <c r="N123" s="57">
        <v>0.65139999999999998</v>
      </c>
    </row>
    <row r="124" spans="1:14" ht="13.8">
      <c r="A124" s="58" t="s">
        <v>25</v>
      </c>
      <c r="B124" s="59">
        <v>6925</v>
      </c>
      <c r="C124" s="59">
        <v>16616</v>
      </c>
      <c r="D124" s="59">
        <v>1100</v>
      </c>
      <c r="E124" s="59">
        <v>3661</v>
      </c>
      <c r="F124" s="59">
        <v>3446</v>
      </c>
      <c r="G124" s="59">
        <v>4618</v>
      </c>
      <c r="H124" s="59">
        <v>2203</v>
      </c>
      <c r="I124" s="59">
        <v>1307</v>
      </c>
      <c r="J124" s="59">
        <v>1439</v>
      </c>
      <c r="K124" s="59">
        <v>935</v>
      </c>
      <c r="L124" s="59">
        <v>1</v>
      </c>
      <c r="M124" s="59">
        <v>42251</v>
      </c>
      <c r="N124" s="57">
        <v>0.55720000000000003</v>
      </c>
    </row>
    <row r="126" spans="1:14" ht="15.6">
      <c r="A126" s="3" t="s">
        <v>5</v>
      </c>
      <c r="B126" s="3" t="s">
        <v>6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49">
        <v>45552.520833333336</v>
      </c>
    </row>
    <row r="127" spans="1:14" ht="15.6">
      <c r="A127" s="9" t="s">
        <v>13</v>
      </c>
      <c r="B127" s="9" t="s">
        <v>14</v>
      </c>
      <c r="C127" s="9" t="s">
        <v>15</v>
      </c>
      <c r="D127" s="9" t="s">
        <v>16</v>
      </c>
      <c r="E127" s="9" t="s">
        <v>17</v>
      </c>
      <c r="F127" s="9" t="s">
        <v>18</v>
      </c>
      <c r="G127" s="9" t="s">
        <v>19</v>
      </c>
      <c r="H127" s="9" t="s">
        <v>20</v>
      </c>
      <c r="I127" s="9" t="s">
        <v>21</v>
      </c>
      <c r="J127" s="9" t="s">
        <v>22</v>
      </c>
      <c r="K127" s="9" t="s">
        <v>23</v>
      </c>
      <c r="L127" s="9" t="s">
        <v>25</v>
      </c>
      <c r="M127" s="5"/>
    </row>
    <row r="128" spans="1:14" ht="15.6">
      <c r="A128" s="15" t="s">
        <v>27</v>
      </c>
      <c r="B128" s="17"/>
      <c r="C128" s="16">
        <v>23</v>
      </c>
      <c r="D128" s="16">
        <v>4</v>
      </c>
      <c r="E128" s="16">
        <v>28</v>
      </c>
      <c r="F128" s="16">
        <v>24</v>
      </c>
      <c r="G128" s="16">
        <v>7</v>
      </c>
      <c r="H128" s="17"/>
      <c r="I128" s="17"/>
      <c r="J128" s="17"/>
      <c r="K128" s="17"/>
      <c r="L128" s="16">
        <v>86</v>
      </c>
      <c r="M128" s="18">
        <v>0.26740000000000003</v>
      </c>
    </row>
    <row r="129" spans="1:15" ht="15.6">
      <c r="A129" s="15" t="s">
        <v>29</v>
      </c>
      <c r="B129" s="16">
        <v>11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6">
        <v>11</v>
      </c>
      <c r="M129" s="18">
        <v>1</v>
      </c>
    </row>
    <row r="130" spans="1:15" ht="15.6">
      <c r="A130" s="15" t="s">
        <v>31</v>
      </c>
      <c r="B130" s="16">
        <v>3</v>
      </c>
      <c r="C130" s="16">
        <v>76</v>
      </c>
      <c r="D130" s="17"/>
      <c r="E130" s="17"/>
      <c r="F130" s="17"/>
      <c r="G130" s="17"/>
      <c r="H130" s="17"/>
      <c r="I130" s="17"/>
      <c r="J130" s="17"/>
      <c r="K130" s="17"/>
      <c r="L130" s="16">
        <v>79</v>
      </c>
      <c r="M130" s="18">
        <v>1</v>
      </c>
    </row>
    <row r="131" spans="1:15" ht="15.6">
      <c r="A131" s="15" t="s">
        <v>33</v>
      </c>
      <c r="B131" s="16">
        <v>1587</v>
      </c>
      <c r="C131" s="16">
        <v>1064</v>
      </c>
      <c r="D131" s="16">
        <v>155</v>
      </c>
      <c r="E131" s="16">
        <v>721</v>
      </c>
      <c r="F131" s="16">
        <v>480</v>
      </c>
      <c r="G131" s="16">
        <v>383</v>
      </c>
      <c r="H131" s="16">
        <v>1022</v>
      </c>
      <c r="I131" s="16">
        <v>724</v>
      </c>
      <c r="J131" s="16">
        <v>841</v>
      </c>
      <c r="K131" s="16">
        <v>514</v>
      </c>
      <c r="L131" s="16">
        <v>7491</v>
      </c>
      <c r="M131" s="18">
        <v>0.35389999999999999</v>
      </c>
    </row>
    <row r="132" spans="1:15" ht="15.6">
      <c r="A132" s="15" t="s">
        <v>35</v>
      </c>
      <c r="B132" s="16">
        <v>48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6">
        <v>48</v>
      </c>
      <c r="M132" s="18">
        <v>1</v>
      </c>
    </row>
    <row r="133" spans="1:15" ht="15.6">
      <c r="A133" s="15" t="s">
        <v>38</v>
      </c>
      <c r="B133" s="16">
        <v>12</v>
      </c>
      <c r="C133" s="16">
        <v>13</v>
      </c>
      <c r="D133" s="17"/>
      <c r="E133" s="17"/>
      <c r="F133" s="17"/>
      <c r="G133" s="17"/>
      <c r="H133" s="17"/>
      <c r="I133" s="17"/>
      <c r="J133" s="17"/>
      <c r="K133" s="17"/>
      <c r="L133" s="16">
        <v>25</v>
      </c>
      <c r="M133" s="18">
        <v>1</v>
      </c>
    </row>
    <row r="134" spans="1:15" ht="15.6">
      <c r="A134" s="15" t="s">
        <v>40</v>
      </c>
      <c r="B134" s="16">
        <v>1098</v>
      </c>
      <c r="C134" s="16">
        <v>1330</v>
      </c>
      <c r="D134" s="16">
        <v>129</v>
      </c>
      <c r="E134" s="16">
        <v>652</v>
      </c>
      <c r="F134" s="16">
        <v>368</v>
      </c>
      <c r="G134" s="16">
        <v>426</v>
      </c>
      <c r="H134" s="16">
        <v>866</v>
      </c>
      <c r="I134" s="16">
        <v>562</v>
      </c>
      <c r="J134" s="16">
        <v>579</v>
      </c>
      <c r="K134" s="16">
        <v>381</v>
      </c>
      <c r="L134" s="16">
        <v>6391</v>
      </c>
      <c r="M134" s="18">
        <v>0.37990000000000002</v>
      </c>
    </row>
    <row r="135" spans="1:15" ht="15.6">
      <c r="A135" s="15" t="s">
        <v>42</v>
      </c>
      <c r="B135" s="16">
        <v>78</v>
      </c>
      <c r="C135" s="16">
        <v>155</v>
      </c>
      <c r="D135" s="16">
        <v>37</v>
      </c>
      <c r="E135" s="16">
        <v>15</v>
      </c>
      <c r="F135" s="16">
        <v>6</v>
      </c>
      <c r="G135" s="16">
        <v>3</v>
      </c>
      <c r="H135" s="17"/>
      <c r="I135" s="17"/>
      <c r="J135" s="17"/>
      <c r="K135" s="17"/>
      <c r="L135" s="16">
        <v>294</v>
      </c>
      <c r="M135" s="18">
        <v>0.79249999999999998</v>
      </c>
    </row>
    <row r="136" spans="1:15" ht="15.6">
      <c r="A136" s="15" t="s">
        <v>44</v>
      </c>
      <c r="B136" s="16">
        <v>4354</v>
      </c>
      <c r="C136" s="16">
        <v>13385</v>
      </c>
      <c r="D136" s="16">
        <v>751</v>
      </c>
      <c r="E136" s="16">
        <v>2204</v>
      </c>
      <c r="F136" s="16">
        <v>2528</v>
      </c>
      <c r="G136" s="16">
        <v>3752</v>
      </c>
      <c r="H136" s="16">
        <v>283</v>
      </c>
      <c r="I136" s="16">
        <v>21</v>
      </c>
      <c r="J136" s="16">
        <v>17</v>
      </c>
      <c r="K136" s="16">
        <v>46</v>
      </c>
      <c r="L136" s="16">
        <v>27341</v>
      </c>
      <c r="M136" s="18">
        <v>0.64880000000000004</v>
      </c>
    </row>
    <row r="137" spans="1:15" ht="15.6">
      <c r="A137" s="23" t="s">
        <v>25</v>
      </c>
      <c r="B137" s="24">
        <v>7191</v>
      </c>
      <c r="C137" s="24">
        <v>16046</v>
      </c>
      <c r="D137" s="24">
        <v>1076</v>
      </c>
      <c r="E137" s="24">
        <v>3620</v>
      </c>
      <c r="F137" s="24">
        <v>3406</v>
      </c>
      <c r="G137" s="24">
        <v>4571</v>
      </c>
      <c r="H137" s="24">
        <v>2171</v>
      </c>
      <c r="I137" s="24">
        <v>1307</v>
      </c>
      <c r="J137" s="24">
        <v>1437</v>
      </c>
      <c r="K137" s="24">
        <v>941</v>
      </c>
      <c r="L137" s="24">
        <v>41766</v>
      </c>
      <c r="M137" s="18">
        <v>0.55640000000000001</v>
      </c>
    </row>
    <row r="139" spans="1:15" ht="15.6">
      <c r="A139" s="3" t="s">
        <v>5</v>
      </c>
      <c r="B139" s="3"/>
      <c r="C139" s="3" t="s">
        <v>63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63">
        <v>45553</v>
      </c>
    </row>
    <row r="140" spans="1:15" ht="15.6">
      <c r="A140" s="9" t="s">
        <v>65</v>
      </c>
      <c r="B140" s="9" t="s">
        <v>66</v>
      </c>
      <c r="C140" s="9" t="s">
        <v>14</v>
      </c>
      <c r="D140" s="9" t="s">
        <v>15</v>
      </c>
      <c r="E140" s="9" t="s">
        <v>16</v>
      </c>
      <c r="F140" s="9" t="s">
        <v>17</v>
      </c>
      <c r="G140" s="9" t="s">
        <v>18</v>
      </c>
      <c r="H140" s="9" t="s">
        <v>19</v>
      </c>
      <c r="I140" s="9" t="s">
        <v>20</v>
      </c>
      <c r="J140" s="9" t="s">
        <v>21</v>
      </c>
      <c r="K140" s="9" t="s">
        <v>22</v>
      </c>
      <c r="L140" s="9" t="s">
        <v>23</v>
      </c>
      <c r="M140" s="9" t="s">
        <v>24</v>
      </c>
      <c r="N140" s="9" t="s">
        <v>25</v>
      </c>
      <c r="O140" s="32" t="s">
        <v>12</v>
      </c>
    </row>
    <row r="141" spans="1:15" ht="15.6">
      <c r="A141" s="47" t="s">
        <v>27</v>
      </c>
      <c r="B141" s="5" t="s">
        <v>67</v>
      </c>
      <c r="C141" s="5"/>
      <c r="D141" s="34">
        <v>23</v>
      </c>
      <c r="E141" s="34">
        <v>4</v>
      </c>
      <c r="F141" s="34">
        <v>28</v>
      </c>
      <c r="G141" s="34">
        <v>24</v>
      </c>
      <c r="H141" s="34">
        <v>7</v>
      </c>
      <c r="I141" s="5"/>
      <c r="J141" s="5"/>
      <c r="K141" s="5"/>
      <c r="L141" s="5"/>
      <c r="M141" s="5"/>
      <c r="N141" s="34">
        <v>86</v>
      </c>
      <c r="O141" s="48">
        <v>0</v>
      </c>
    </row>
    <row r="142" spans="1:15" ht="15.6">
      <c r="A142" s="47" t="s">
        <v>29</v>
      </c>
      <c r="B142" s="5" t="s">
        <v>67</v>
      </c>
      <c r="C142" s="34">
        <v>4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34">
        <v>4</v>
      </c>
      <c r="O142" s="48">
        <v>1</v>
      </c>
    </row>
    <row r="143" spans="1:15" ht="15.6">
      <c r="A143" s="47" t="s">
        <v>35</v>
      </c>
      <c r="B143" s="5"/>
      <c r="C143" s="34">
        <v>37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34">
        <v>37</v>
      </c>
      <c r="O143" s="48">
        <v>1</v>
      </c>
    </row>
    <row r="144" spans="1:15" ht="15.6">
      <c r="A144" s="47" t="s">
        <v>38</v>
      </c>
      <c r="B144" s="5"/>
      <c r="C144" s="34">
        <v>10</v>
      </c>
      <c r="D144" s="34">
        <v>13</v>
      </c>
      <c r="E144" s="5"/>
      <c r="F144" s="5"/>
      <c r="G144" s="5"/>
      <c r="H144" s="5"/>
      <c r="I144" s="5"/>
      <c r="J144" s="5"/>
      <c r="K144" s="5"/>
      <c r="L144" s="5"/>
      <c r="M144" s="5"/>
      <c r="N144" s="34">
        <v>23</v>
      </c>
      <c r="O144" s="48">
        <v>0.43</v>
      </c>
    </row>
    <row r="145" spans="1:15" ht="15.6">
      <c r="A145" s="17" t="s">
        <v>31</v>
      </c>
      <c r="B145" s="5"/>
      <c r="C145" s="34">
        <v>3</v>
      </c>
      <c r="D145" s="34">
        <v>73</v>
      </c>
      <c r="E145" s="5"/>
      <c r="F145" s="5"/>
      <c r="G145" s="5"/>
      <c r="H145" s="5"/>
      <c r="I145" s="5"/>
      <c r="J145" s="5"/>
      <c r="K145" s="5"/>
      <c r="L145" s="5"/>
      <c r="M145" s="5"/>
      <c r="N145" s="34">
        <v>76</v>
      </c>
      <c r="O145" s="39">
        <v>1</v>
      </c>
    </row>
    <row r="146" spans="1:15" ht="15.6">
      <c r="A146" s="17" t="s">
        <v>33</v>
      </c>
      <c r="B146" s="5"/>
      <c r="C146" s="34">
        <v>1762</v>
      </c>
      <c r="D146" s="34">
        <v>880</v>
      </c>
      <c r="E146" s="34">
        <v>324</v>
      </c>
      <c r="F146" s="34">
        <v>517</v>
      </c>
      <c r="G146" s="34">
        <v>425</v>
      </c>
      <c r="H146" s="34">
        <v>414</v>
      </c>
      <c r="I146" s="34">
        <v>979</v>
      </c>
      <c r="J146" s="34">
        <v>678</v>
      </c>
      <c r="K146" s="34">
        <v>785</v>
      </c>
      <c r="L146" s="34">
        <v>483</v>
      </c>
      <c r="M146" s="5"/>
      <c r="N146" s="34">
        <v>7247</v>
      </c>
      <c r="O146" s="39">
        <v>0.36</v>
      </c>
    </row>
    <row r="147" spans="1:15" ht="15.6">
      <c r="A147" s="17" t="s">
        <v>40</v>
      </c>
      <c r="B147" s="5"/>
      <c r="C147" s="34">
        <v>1440</v>
      </c>
      <c r="D147" s="34">
        <v>891</v>
      </c>
      <c r="E147" s="34">
        <v>237</v>
      </c>
      <c r="F147" s="34">
        <v>447</v>
      </c>
      <c r="G147" s="34">
        <v>399</v>
      </c>
      <c r="H147" s="34">
        <v>460</v>
      </c>
      <c r="I147" s="34">
        <v>820</v>
      </c>
      <c r="J147" s="34">
        <v>525</v>
      </c>
      <c r="K147" s="34">
        <v>513</v>
      </c>
      <c r="L147" s="34">
        <v>356</v>
      </c>
      <c r="M147" s="5"/>
      <c r="N147" s="34">
        <v>6088</v>
      </c>
      <c r="O147" s="39">
        <v>0.38</v>
      </c>
    </row>
    <row r="148" spans="1:15" ht="15.6">
      <c r="A148" s="17" t="s">
        <v>42</v>
      </c>
      <c r="B148" s="5"/>
      <c r="C148" s="34">
        <v>85</v>
      </c>
      <c r="D148" s="34">
        <v>110</v>
      </c>
      <c r="E148" s="34">
        <v>59</v>
      </c>
      <c r="F148" s="34">
        <v>11</v>
      </c>
      <c r="G148" s="34">
        <v>10</v>
      </c>
      <c r="H148" s="34">
        <v>3</v>
      </c>
      <c r="I148" s="5"/>
      <c r="J148" s="5"/>
      <c r="K148" s="5"/>
      <c r="L148" s="5"/>
      <c r="M148" s="5"/>
      <c r="N148" s="34">
        <v>278</v>
      </c>
      <c r="O148" s="39">
        <v>0.7</v>
      </c>
    </row>
    <row r="149" spans="1:15" ht="15.6">
      <c r="A149" s="42" t="s">
        <v>44</v>
      </c>
      <c r="B149" s="5" t="s">
        <v>67</v>
      </c>
      <c r="C149" s="34">
        <v>474</v>
      </c>
      <c r="D149" s="34">
        <v>812</v>
      </c>
      <c r="E149" s="34">
        <v>22</v>
      </c>
      <c r="F149" s="34">
        <v>67</v>
      </c>
      <c r="G149" s="34">
        <v>149</v>
      </c>
      <c r="H149" s="34">
        <v>99</v>
      </c>
      <c r="I149" s="34">
        <v>28</v>
      </c>
      <c r="J149" s="5"/>
      <c r="K149" s="5"/>
      <c r="L149" s="5"/>
      <c r="M149" s="5"/>
      <c r="N149" s="34">
        <v>1651</v>
      </c>
      <c r="O149" s="39">
        <v>0.78</v>
      </c>
    </row>
    <row r="150" spans="1:15" ht="15.6">
      <c r="A150" s="42"/>
      <c r="B150" s="5" t="s">
        <v>68</v>
      </c>
      <c r="C150" s="34">
        <v>78</v>
      </c>
      <c r="D150" s="34">
        <v>270</v>
      </c>
      <c r="E150" s="34">
        <v>6</v>
      </c>
      <c r="F150" s="34">
        <v>1</v>
      </c>
      <c r="G150" s="34">
        <v>3</v>
      </c>
      <c r="H150" s="34">
        <v>6</v>
      </c>
      <c r="I150" s="5"/>
      <c r="J150" s="5"/>
      <c r="K150" s="5"/>
      <c r="L150" s="5"/>
      <c r="M150" s="5"/>
      <c r="N150" s="34">
        <v>364</v>
      </c>
      <c r="O150" s="39">
        <v>0.96</v>
      </c>
    </row>
    <row r="151" spans="1:15" ht="15.6">
      <c r="A151" s="42"/>
      <c r="B151" s="5" t="s">
        <v>69</v>
      </c>
      <c r="C151" s="34">
        <v>1206</v>
      </c>
      <c r="D151" s="34">
        <v>513</v>
      </c>
      <c r="E151" s="34">
        <v>443</v>
      </c>
      <c r="F151" s="34">
        <v>53</v>
      </c>
      <c r="G151" s="34">
        <v>14</v>
      </c>
      <c r="H151" s="34">
        <v>14</v>
      </c>
      <c r="I151" s="34">
        <v>2</v>
      </c>
      <c r="J151" s="5"/>
      <c r="K151" s="5"/>
      <c r="L151" s="5"/>
      <c r="M151" s="5"/>
      <c r="N151" s="34">
        <v>2245</v>
      </c>
      <c r="O151" s="39">
        <v>0.77</v>
      </c>
    </row>
    <row r="152" spans="1:15" ht="15.6">
      <c r="A152" s="42"/>
      <c r="B152" s="5" t="s">
        <v>70</v>
      </c>
      <c r="C152" s="34">
        <v>416</v>
      </c>
      <c r="D152" s="34">
        <v>478</v>
      </c>
      <c r="E152" s="34">
        <v>143</v>
      </c>
      <c r="F152" s="34">
        <v>140</v>
      </c>
      <c r="G152" s="34">
        <v>3</v>
      </c>
      <c r="H152" s="5"/>
      <c r="I152" s="5"/>
      <c r="J152" s="5"/>
      <c r="K152" s="5"/>
      <c r="L152" s="5"/>
      <c r="M152" s="5"/>
      <c r="N152" s="34">
        <v>1180</v>
      </c>
      <c r="O152" s="39">
        <v>0.76</v>
      </c>
    </row>
    <row r="153" spans="1:15" ht="15.6">
      <c r="A153" s="42"/>
      <c r="B153" s="5" t="s">
        <v>71</v>
      </c>
      <c r="C153" s="34">
        <v>943</v>
      </c>
      <c r="D153" s="34">
        <v>1505</v>
      </c>
      <c r="E153" s="34">
        <v>478</v>
      </c>
      <c r="F153" s="34">
        <v>178</v>
      </c>
      <c r="G153" s="34">
        <v>71</v>
      </c>
      <c r="H153" s="34">
        <v>6</v>
      </c>
      <c r="I153" s="34">
        <v>2</v>
      </c>
      <c r="J153" s="5"/>
      <c r="K153" s="5"/>
      <c r="L153" s="5"/>
      <c r="M153" s="5"/>
      <c r="N153" s="34">
        <v>3183</v>
      </c>
      <c r="O153" s="39">
        <v>0.77</v>
      </c>
    </row>
    <row r="154" spans="1:15" ht="15.6">
      <c r="A154" s="42"/>
      <c r="B154" s="5" t="s">
        <v>72</v>
      </c>
      <c r="C154" s="34">
        <v>2623</v>
      </c>
      <c r="D154" s="34">
        <v>7504</v>
      </c>
      <c r="E154" s="34">
        <v>198</v>
      </c>
      <c r="F154" s="34">
        <v>1220</v>
      </c>
      <c r="G154" s="34">
        <v>2257</v>
      </c>
      <c r="H154" s="34">
        <v>3881</v>
      </c>
      <c r="I154" s="34">
        <v>242</v>
      </c>
      <c r="J154" s="5"/>
      <c r="K154" s="5"/>
      <c r="L154" s="5"/>
      <c r="M154" s="5"/>
      <c r="N154" s="34">
        <v>17925</v>
      </c>
      <c r="O154" s="39">
        <v>0.56000000000000005</v>
      </c>
    </row>
    <row r="155" spans="1:15" ht="15.6">
      <c r="A155" s="42"/>
      <c r="B155" s="5" t="s">
        <v>73</v>
      </c>
      <c r="C155" s="34">
        <v>23</v>
      </c>
      <c r="D155" s="34">
        <v>35</v>
      </c>
      <c r="E155" s="34">
        <v>4</v>
      </c>
      <c r="F155" s="34">
        <v>29</v>
      </c>
      <c r="G155" s="34">
        <v>93</v>
      </c>
      <c r="H155" s="34">
        <v>65</v>
      </c>
      <c r="I155" s="34">
        <v>12</v>
      </c>
      <c r="J155" s="34">
        <v>20</v>
      </c>
      <c r="K155" s="34">
        <v>15</v>
      </c>
      <c r="L155" s="34">
        <v>34</v>
      </c>
      <c r="M155" s="34">
        <v>1</v>
      </c>
      <c r="N155" s="34">
        <v>331</v>
      </c>
      <c r="O155" s="39">
        <v>0.18</v>
      </c>
    </row>
    <row r="156" spans="1:15" ht="15.6">
      <c r="A156" s="17"/>
      <c r="B156" s="5" t="s">
        <v>76</v>
      </c>
      <c r="C156" s="34">
        <v>29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34">
        <v>29</v>
      </c>
      <c r="O156" s="39">
        <v>1</v>
      </c>
    </row>
    <row r="157" spans="1:15" ht="15.6">
      <c r="A157" s="44" t="s">
        <v>25</v>
      </c>
      <c r="B157" s="44"/>
      <c r="C157" s="24">
        <v>9133</v>
      </c>
      <c r="D157" s="24">
        <v>13107</v>
      </c>
      <c r="E157" s="24">
        <v>1918</v>
      </c>
      <c r="F157" s="24">
        <v>2691</v>
      </c>
      <c r="G157" s="24">
        <v>3448</v>
      </c>
      <c r="H157" s="24">
        <v>4955</v>
      </c>
      <c r="I157" s="24">
        <v>2085</v>
      </c>
      <c r="J157" s="24">
        <v>1223</v>
      </c>
      <c r="K157" s="24">
        <v>1313</v>
      </c>
      <c r="L157" s="24">
        <v>873</v>
      </c>
      <c r="M157" s="24">
        <v>1</v>
      </c>
      <c r="N157" s="24">
        <v>40747</v>
      </c>
      <c r="O157" s="39">
        <v>0.55000000000000004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5"/>
  <sheetViews>
    <sheetView workbookViewId="0">
      <pane ySplit="5" topLeftCell="A6" activePane="bottomLeft" state="frozen"/>
      <selection pane="bottomLeft" activeCell="A6" sqref="A6:A14"/>
    </sheetView>
  </sheetViews>
  <sheetFormatPr defaultColWidth="12.6640625" defaultRowHeight="15.75" customHeight="1"/>
  <cols>
    <col min="1" max="1" width="61.6640625" customWidth="1"/>
    <col min="2" max="2" width="20.33203125" bestFit="1" customWidth="1"/>
  </cols>
  <sheetData>
    <row r="1" spans="1:7" ht="15.75" customHeight="1">
      <c r="A1" s="136" t="s">
        <v>171</v>
      </c>
    </row>
    <row r="2" spans="1:7" ht="15.75" customHeight="1">
      <c r="A2" s="136"/>
    </row>
    <row r="4" spans="1:7" ht="15.75" customHeight="1" thickBot="1"/>
    <row r="5" spans="1:7" ht="15.75" customHeight="1" thickBot="1">
      <c r="A5" s="74" t="s">
        <v>77</v>
      </c>
      <c r="B5" s="75" t="s">
        <v>7</v>
      </c>
      <c r="C5" s="80" t="s">
        <v>78</v>
      </c>
    </row>
    <row r="6" spans="1:7" ht="15.75" customHeight="1" thickBot="1">
      <c r="A6" s="76" t="s">
        <v>158</v>
      </c>
      <c r="B6" s="76" t="s">
        <v>159</v>
      </c>
      <c r="C6" s="109" t="s">
        <v>8</v>
      </c>
      <c r="G6" s="71"/>
    </row>
    <row r="7" spans="1:7" ht="15.75" customHeight="1" thickBot="1">
      <c r="A7" s="77" t="s">
        <v>160</v>
      </c>
      <c r="B7" s="77" t="s">
        <v>43</v>
      </c>
      <c r="C7" s="109" t="s">
        <v>8</v>
      </c>
      <c r="G7" s="71"/>
    </row>
    <row r="8" spans="1:7" ht="15.75" customHeight="1" thickBot="1">
      <c r="A8" s="79" t="s">
        <v>161</v>
      </c>
      <c r="B8" s="77" t="s">
        <v>162</v>
      </c>
      <c r="C8" s="109" t="s">
        <v>8</v>
      </c>
      <c r="G8" s="71"/>
    </row>
    <row r="9" spans="1:7" ht="15.75" customHeight="1" thickBot="1">
      <c r="A9" s="79" t="s">
        <v>163</v>
      </c>
      <c r="B9" s="77" t="s">
        <v>164</v>
      </c>
      <c r="C9" s="109" t="s">
        <v>8</v>
      </c>
      <c r="G9" s="71"/>
    </row>
    <row r="10" spans="1:7" ht="15.75" customHeight="1" thickBot="1">
      <c r="A10" s="79" t="s">
        <v>184</v>
      </c>
      <c r="B10" s="77" t="s">
        <v>185</v>
      </c>
      <c r="C10" s="109" t="s">
        <v>8</v>
      </c>
      <c r="G10" s="71"/>
    </row>
    <row r="11" spans="1:7" ht="15.75" customHeight="1" thickBot="1">
      <c r="A11" s="79" t="s">
        <v>166</v>
      </c>
      <c r="B11" s="77" t="s">
        <v>167</v>
      </c>
      <c r="C11" s="109" t="s">
        <v>8</v>
      </c>
      <c r="G11" s="71"/>
    </row>
    <row r="12" spans="1:7" ht="15.75" customHeight="1" thickBot="1">
      <c r="A12" s="79" t="s">
        <v>189</v>
      </c>
      <c r="B12" s="77" t="s">
        <v>190</v>
      </c>
      <c r="C12" s="109" t="s">
        <v>8</v>
      </c>
      <c r="G12" s="71"/>
    </row>
    <row r="13" spans="1:7" ht="15.75" customHeight="1" thickBot="1">
      <c r="A13" s="77" t="s">
        <v>169</v>
      </c>
      <c r="B13" s="77" t="s">
        <v>79</v>
      </c>
      <c r="C13" s="109" t="s">
        <v>8</v>
      </c>
      <c r="G13" s="71"/>
    </row>
    <row r="14" spans="1:7" ht="15.75" customHeight="1" thickBot="1">
      <c r="A14" s="77" t="s">
        <v>170</v>
      </c>
      <c r="B14" s="77" t="s">
        <v>42</v>
      </c>
      <c r="C14" s="109" t="s">
        <v>8</v>
      </c>
      <c r="G14" s="71"/>
    </row>
    <row r="15" spans="1:7" ht="15.75" customHeight="1" thickBot="1">
      <c r="A15" s="82"/>
      <c r="B15" s="82"/>
      <c r="C15" s="109"/>
    </row>
  </sheetData>
  <sortState xmlns:xlrd2="http://schemas.microsoft.com/office/spreadsheetml/2017/richdata2" ref="A6:C14">
    <sortCondition ref="B6:B14"/>
  </sortState>
  <mergeCells count="1">
    <mergeCell ref="A1:A2"/>
  </mergeCells>
  <conditionalFormatting sqref="A1 A3:A1048576">
    <cfRule type="duplicateValues" dxfId="7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E8DA-FF8A-46B7-9033-1C7730779351}">
  <sheetPr>
    <tabColor theme="4" tint="-0.249977111117893"/>
  </sheetPr>
  <dimension ref="A1:AL79"/>
  <sheetViews>
    <sheetView workbookViewId="0">
      <selection activeCell="A2" sqref="A2"/>
    </sheetView>
  </sheetViews>
  <sheetFormatPr defaultRowHeight="13.2"/>
  <cols>
    <col min="1" max="1" width="27.44140625" bestFit="1" customWidth="1"/>
    <col min="2" max="2" width="32.77734375" bestFit="1" customWidth="1"/>
    <col min="3" max="3" width="29.77734375" bestFit="1" customWidth="1"/>
    <col min="4" max="4" width="7.44140625" bestFit="1" customWidth="1"/>
    <col min="5" max="5" width="12" bestFit="1" customWidth="1"/>
    <col min="6" max="6" width="7" bestFit="1" customWidth="1"/>
    <col min="7" max="7" width="12" bestFit="1" customWidth="1"/>
    <col min="8" max="8" width="7.77734375" bestFit="1" customWidth="1"/>
    <col min="9" max="10" width="12" bestFit="1" customWidth="1"/>
    <col min="11" max="11" width="8.77734375" bestFit="1" customWidth="1"/>
    <col min="12" max="12" width="12" bestFit="1" customWidth="1"/>
    <col min="13" max="13" width="11.88671875" bestFit="1" customWidth="1"/>
    <col min="14" max="14" width="12" bestFit="1" customWidth="1"/>
    <col min="15" max="15" width="6.77734375" bestFit="1" customWidth="1"/>
    <col min="16" max="16" width="6.88671875" bestFit="1" customWidth="1"/>
    <col min="17" max="17" width="6.6640625" bestFit="1" customWidth="1"/>
    <col min="18" max="18" width="7.44140625" bestFit="1" customWidth="1"/>
    <col min="19" max="19" width="15.77734375" bestFit="1" customWidth="1"/>
    <col min="20" max="20" width="8.33203125" bestFit="1" customWidth="1"/>
    <col min="21" max="21" width="11.44140625" bestFit="1" customWidth="1"/>
    <col min="22" max="22" width="13.109375" bestFit="1" customWidth="1"/>
    <col min="23" max="23" width="11.5546875" bestFit="1" customWidth="1"/>
    <col min="24" max="24" width="13.21875" bestFit="1" customWidth="1"/>
    <col min="25" max="25" width="9.5546875" bestFit="1" customWidth="1"/>
    <col min="26" max="26" width="11.88671875" bestFit="1" customWidth="1"/>
    <col min="27" max="27" width="8.21875" bestFit="1" customWidth="1"/>
    <col min="28" max="28" width="7.21875" bestFit="1" customWidth="1"/>
    <col min="29" max="29" width="11" bestFit="1" customWidth="1"/>
    <col min="30" max="30" width="11.6640625" bestFit="1" customWidth="1"/>
    <col min="31" max="31" width="12.109375" bestFit="1" customWidth="1"/>
    <col min="32" max="32" width="12.5546875" bestFit="1" customWidth="1"/>
    <col min="33" max="33" width="15.88671875" bestFit="1" customWidth="1"/>
    <col min="34" max="34" width="12.6640625" bestFit="1" customWidth="1"/>
    <col min="35" max="35" width="13.21875" bestFit="1" customWidth="1"/>
    <col min="36" max="36" width="6.5546875" bestFit="1" customWidth="1"/>
    <col min="37" max="37" width="29.21875" bestFit="1" customWidth="1"/>
    <col min="38" max="38" width="11.5546875" bestFit="1" customWidth="1"/>
  </cols>
  <sheetData>
    <row r="1" spans="1:38">
      <c r="A1" t="s">
        <v>138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105</v>
      </c>
      <c r="AB1" t="s">
        <v>106</v>
      </c>
      <c r="AC1" t="s">
        <v>107</v>
      </c>
      <c r="AD1" t="s">
        <v>108</v>
      </c>
      <c r="AE1" t="s">
        <v>109</v>
      </c>
      <c r="AF1" t="s">
        <v>110</v>
      </c>
      <c r="AG1" t="s">
        <v>111</v>
      </c>
      <c r="AH1" t="s">
        <v>112</v>
      </c>
      <c r="AI1" t="s">
        <v>113</v>
      </c>
      <c r="AJ1" s="135" t="s">
        <v>114</v>
      </c>
      <c r="AK1" s="135" t="s">
        <v>115</v>
      </c>
      <c r="AL1" s="135" t="s">
        <v>116</v>
      </c>
    </row>
    <row r="2" spans="1:38">
      <c r="A2" t="s">
        <v>158</v>
      </c>
      <c r="B2" t="s">
        <v>194</v>
      </c>
      <c r="C2" t="s">
        <v>195</v>
      </c>
      <c r="D2">
        <v>59</v>
      </c>
      <c r="E2">
        <v>16.809116809117</v>
      </c>
      <c r="F2">
        <v>0.81499999999999995</v>
      </c>
      <c r="G2">
        <v>9.1944444444443996E-2</v>
      </c>
      <c r="H2">
        <v>7</v>
      </c>
      <c r="I2">
        <v>0.11864406779661001</v>
      </c>
      <c r="J2">
        <v>1.9943019943019999</v>
      </c>
      <c r="K2">
        <v>7</v>
      </c>
      <c r="L2">
        <v>1.9943019943019999</v>
      </c>
      <c r="M2">
        <v>3.51</v>
      </c>
      <c r="N2">
        <v>0.23219373219372999</v>
      </c>
      <c r="O2" t="s">
        <v>196</v>
      </c>
      <c r="P2" t="s">
        <v>197</v>
      </c>
      <c r="Q2" t="s">
        <v>198</v>
      </c>
      <c r="R2" t="s">
        <v>199</v>
      </c>
      <c r="S2" t="s">
        <v>200</v>
      </c>
      <c r="T2" t="s">
        <v>201</v>
      </c>
      <c r="U2" t="s">
        <v>200</v>
      </c>
      <c r="V2" t="s">
        <v>200</v>
      </c>
      <c r="W2">
        <v>0</v>
      </c>
      <c r="X2">
        <v>0</v>
      </c>
      <c r="Y2">
        <v>0</v>
      </c>
      <c r="Z2">
        <v>0</v>
      </c>
      <c r="AA2">
        <v>0</v>
      </c>
      <c r="AB2" t="s">
        <v>200</v>
      </c>
      <c r="AC2" t="s">
        <v>200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s="135" t="str">
        <f t="shared" ref="AJ2:AJ33" si="0">LEFT(B2,3)</f>
        <v>BTG</v>
      </c>
      <c r="AK2" s="135" t="str">
        <f t="shared" ref="AK2:AK33" si="1">TRIM(RIGHT(B2, LEN(B2)-3))</f>
        <v>Amiel Maray</v>
      </c>
      <c r="AL2" s="135" t="str">
        <f>_xlfn.XLOOKUP(Campaign_Report[[#This Row],[Campaign]],reference!A:A,reference!B:B)</f>
        <v>Parachute</v>
      </c>
    </row>
    <row r="3" spans="1:38">
      <c r="A3" t="s">
        <v>158</v>
      </c>
      <c r="B3" t="s">
        <v>202</v>
      </c>
      <c r="C3" t="s">
        <v>203</v>
      </c>
      <c r="D3">
        <v>25</v>
      </c>
      <c r="E3">
        <v>17.149128824256</v>
      </c>
      <c r="F3">
        <v>0.32390000000000002</v>
      </c>
      <c r="G3">
        <v>4.8055555555555997E-2</v>
      </c>
      <c r="H3">
        <v>0</v>
      </c>
      <c r="I3">
        <v>0</v>
      </c>
      <c r="J3">
        <v>0</v>
      </c>
      <c r="K3">
        <v>0</v>
      </c>
      <c r="L3">
        <v>0</v>
      </c>
      <c r="M3">
        <v>1.4578</v>
      </c>
      <c r="N3">
        <v>0.22218411304706001</v>
      </c>
      <c r="O3" t="s">
        <v>204</v>
      </c>
      <c r="P3" t="s">
        <v>205</v>
      </c>
      <c r="Q3" t="s">
        <v>206</v>
      </c>
      <c r="R3" t="s">
        <v>207</v>
      </c>
      <c r="S3" t="s">
        <v>200</v>
      </c>
      <c r="T3" t="s">
        <v>208</v>
      </c>
      <c r="U3" t="s">
        <v>200</v>
      </c>
      <c r="V3" t="s">
        <v>200</v>
      </c>
      <c r="W3">
        <v>0</v>
      </c>
      <c r="X3">
        <v>0</v>
      </c>
      <c r="Y3">
        <v>0</v>
      </c>
      <c r="Z3">
        <v>0</v>
      </c>
      <c r="AA3">
        <v>0</v>
      </c>
      <c r="AB3" t="s">
        <v>200</v>
      </c>
      <c r="AC3" t="s">
        <v>200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s="135" t="str">
        <f t="shared" si="0"/>
        <v>BTG</v>
      </c>
      <c r="AK3" s="135" t="str">
        <f t="shared" si="1"/>
        <v>Christian Navarro</v>
      </c>
      <c r="AL3" s="135" t="str">
        <f>_xlfn.XLOOKUP(Campaign_Report[[#This Row],[Campaign]],reference!A:A,reference!B:B)</f>
        <v>Parachute</v>
      </c>
    </row>
    <row r="4" spans="1:38">
      <c r="A4" t="s">
        <v>158</v>
      </c>
      <c r="B4" t="s">
        <v>209</v>
      </c>
      <c r="C4" t="s">
        <v>210</v>
      </c>
      <c r="D4">
        <v>40</v>
      </c>
      <c r="E4">
        <v>12.279355333845</v>
      </c>
      <c r="F4">
        <v>0.53029999999999999</v>
      </c>
      <c r="G4">
        <v>4.3055555555555999E-2</v>
      </c>
      <c r="H4">
        <v>0</v>
      </c>
      <c r="I4">
        <v>0</v>
      </c>
      <c r="J4">
        <v>0</v>
      </c>
      <c r="K4">
        <v>0</v>
      </c>
      <c r="L4">
        <v>0</v>
      </c>
      <c r="M4">
        <v>3.2574999999999998</v>
      </c>
      <c r="N4">
        <v>0.16279355333845</v>
      </c>
      <c r="O4" t="s">
        <v>211</v>
      </c>
      <c r="P4" t="s">
        <v>212</v>
      </c>
      <c r="Q4" t="s">
        <v>213</v>
      </c>
      <c r="R4" t="s">
        <v>214</v>
      </c>
      <c r="S4" t="s">
        <v>200</v>
      </c>
      <c r="T4" t="s">
        <v>215</v>
      </c>
      <c r="U4" t="s">
        <v>200</v>
      </c>
      <c r="V4" t="s">
        <v>200</v>
      </c>
      <c r="W4">
        <v>0</v>
      </c>
      <c r="X4">
        <v>0</v>
      </c>
      <c r="Y4">
        <v>0</v>
      </c>
      <c r="Z4">
        <v>0</v>
      </c>
      <c r="AA4">
        <v>0</v>
      </c>
      <c r="AB4" t="s">
        <v>200</v>
      </c>
      <c r="AC4" t="s">
        <v>200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s="135" t="str">
        <f t="shared" si="0"/>
        <v>BTG</v>
      </c>
      <c r="AK4" s="135" t="str">
        <f t="shared" si="1"/>
        <v>Joy Aguilar</v>
      </c>
      <c r="AL4" s="135" t="str">
        <f>_xlfn.XLOOKUP(Campaign_Report[[#This Row],[Campaign]],reference!A:A,reference!B:B)</f>
        <v>Parachute</v>
      </c>
    </row>
    <row r="5" spans="1:38">
      <c r="A5" t="s">
        <v>158</v>
      </c>
      <c r="B5" t="s">
        <v>216</v>
      </c>
      <c r="C5" t="s">
        <v>217</v>
      </c>
      <c r="D5">
        <v>49</v>
      </c>
      <c r="E5">
        <v>15.631479886433</v>
      </c>
      <c r="F5">
        <v>0.49559999999999998</v>
      </c>
      <c r="G5">
        <v>5.7222222222222001E-2</v>
      </c>
      <c r="H5">
        <v>2</v>
      </c>
      <c r="I5">
        <v>4.0816326530611999E-2</v>
      </c>
      <c r="J5">
        <v>0.63801958720133001</v>
      </c>
      <c r="K5">
        <v>2</v>
      </c>
      <c r="L5">
        <v>0.63801958720133001</v>
      </c>
      <c r="M5">
        <v>3.1347</v>
      </c>
      <c r="N5">
        <v>0.15810125370849001</v>
      </c>
      <c r="O5" t="s">
        <v>218</v>
      </c>
      <c r="P5" t="s">
        <v>219</v>
      </c>
      <c r="Q5" t="s">
        <v>220</v>
      </c>
      <c r="R5" t="s">
        <v>221</v>
      </c>
      <c r="S5" t="s">
        <v>200</v>
      </c>
      <c r="T5" t="s">
        <v>222</v>
      </c>
      <c r="U5" t="s">
        <v>200</v>
      </c>
      <c r="V5" t="s">
        <v>200</v>
      </c>
      <c r="W5">
        <v>0</v>
      </c>
      <c r="X5">
        <v>0</v>
      </c>
      <c r="Y5">
        <v>0</v>
      </c>
      <c r="Z5">
        <v>0</v>
      </c>
      <c r="AA5">
        <v>0</v>
      </c>
      <c r="AB5" t="s">
        <v>200</v>
      </c>
      <c r="AC5" t="s">
        <v>200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s="135" t="str">
        <f t="shared" si="0"/>
        <v>BTG</v>
      </c>
      <c r="AK5" s="135" t="str">
        <f t="shared" si="1"/>
        <v>Marinel Mendoza</v>
      </c>
      <c r="AL5" s="135" t="str">
        <f>_xlfn.XLOOKUP(Campaign_Report[[#This Row],[Campaign]],reference!A:A,reference!B:B)</f>
        <v>Parachute</v>
      </c>
    </row>
    <row r="6" spans="1:38">
      <c r="A6" t="s">
        <v>158</v>
      </c>
      <c r="B6" t="s">
        <v>223</v>
      </c>
      <c r="C6" t="s">
        <v>224</v>
      </c>
      <c r="D6">
        <v>62</v>
      </c>
      <c r="E6">
        <v>18.117000759745</v>
      </c>
      <c r="F6">
        <v>0.60309999999999997</v>
      </c>
      <c r="G6">
        <v>7.1111111111111E-2</v>
      </c>
      <c r="H6">
        <v>0</v>
      </c>
      <c r="I6">
        <v>0</v>
      </c>
      <c r="J6">
        <v>0</v>
      </c>
      <c r="K6">
        <v>0</v>
      </c>
      <c r="L6">
        <v>0</v>
      </c>
      <c r="M6">
        <v>3.4222000000000001</v>
      </c>
      <c r="N6">
        <v>0.17623166384197</v>
      </c>
      <c r="O6" t="s">
        <v>196</v>
      </c>
      <c r="P6" t="s">
        <v>225</v>
      </c>
      <c r="Q6" t="s">
        <v>226</v>
      </c>
      <c r="R6" t="s">
        <v>221</v>
      </c>
      <c r="S6" t="s">
        <v>200</v>
      </c>
      <c r="T6" t="s">
        <v>227</v>
      </c>
      <c r="U6" t="s">
        <v>200</v>
      </c>
      <c r="V6" t="s">
        <v>200</v>
      </c>
      <c r="W6">
        <v>0</v>
      </c>
      <c r="X6">
        <v>0</v>
      </c>
      <c r="Y6">
        <v>0</v>
      </c>
      <c r="Z6">
        <v>0</v>
      </c>
      <c r="AA6">
        <v>0</v>
      </c>
      <c r="AB6" t="s">
        <v>200</v>
      </c>
      <c r="AC6" t="s">
        <v>200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s="135" t="str">
        <f t="shared" si="0"/>
        <v>BTG</v>
      </c>
      <c r="AK6" s="135" t="str">
        <f t="shared" si="1"/>
        <v>Mark Jericho Postilos</v>
      </c>
      <c r="AL6" s="135" t="str">
        <f>_xlfn.XLOOKUP(Campaign_Report[[#This Row],[Campaign]],reference!A:A,reference!B:B)</f>
        <v>Parachute</v>
      </c>
    </row>
    <row r="7" spans="1:38">
      <c r="A7" t="s">
        <v>158</v>
      </c>
      <c r="B7" t="s">
        <v>228</v>
      </c>
      <c r="C7" t="s">
        <v>229</v>
      </c>
      <c r="D7">
        <v>71</v>
      </c>
      <c r="E7">
        <v>20.726296123307002</v>
      </c>
      <c r="F7">
        <v>0.71889999999999998</v>
      </c>
      <c r="G7">
        <v>6.2777777777778002E-2</v>
      </c>
      <c r="H7">
        <v>0</v>
      </c>
      <c r="I7">
        <v>0</v>
      </c>
      <c r="J7">
        <v>0</v>
      </c>
      <c r="K7">
        <v>0</v>
      </c>
      <c r="L7">
        <v>0</v>
      </c>
      <c r="M7">
        <v>3.4256000000000002</v>
      </c>
      <c r="N7">
        <v>0.20986104624006999</v>
      </c>
      <c r="O7" t="s">
        <v>230</v>
      </c>
      <c r="P7" t="s">
        <v>225</v>
      </c>
      <c r="Q7" t="s">
        <v>220</v>
      </c>
      <c r="R7" t="s">
        <v>214</v>
      </c>
      <c r="S7" t="s">
        <v>200</v>
      </c>
      <c r="T7" t="s">
        <v>231</v>
      </c>
      <c r="U7" t="s">
        <v>200</v>
      </c>
      <c r="V7" t="s">
        <v>200</v>
      </c>
      <c r="W7">
        <v>0</v>
      </c>
      <c r="X7">
        <v>0</v>
      </c>
      <c r="Y7">
        <v>0</v>
      </c>
      <c r="Z7">
        <v>0</v>
      </c>
      <c r="AA7">
        <v>0</v>
      </c>
      <c r="AB7" t="s">
        <v>200</v>
      </c>
      <c r="AC7" t="s">
        <v>200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s="135" t="str">
        <f t="shared" si="0"/>
        <v>BTG</v>
      </c>
      <c r="AK7" s="135" t="str">
        <f t="shared" si="1"/>
        <v>Michael Mike Capili</v>
      </c>
      <c r="AL7" s="135" t="str">
        <f>_xlfn.XLOOKUP(Campaign_Report[[#This Row],[Campaign]],reference!A:A,reference!B:B)</f>
        <v>Parachute</v>
      </c>
    </row>
    <row r="8" spans="1:38">
      <c r="A8" t="s">
        <v>158</v>
      </c>
      <c r="B8" t="s">
        <v>232</v>
      </c>
      <c r="C8" t="s">
        <v>233</v>
      </c>
      <c r="D8">
        <v>53</v>
      </c>
      <c r="E8">
        <v>15.503422453636</v>
      </c>
      <c r="F8">
        <v>0.79469999999999996</v>
      </c>
      <c r="G8">
        <v>0.22055555555556</v>
      </c>
      <c r="H8">
        <v>3</v>
      </c>
      <c r="I8">
        <v>5.6603773584906002E-2</v>
      </c>
      <c r="J8">
        <v>0.87755221435675013</v>
      </c>
      <c r="K8">
        <v>3</v>
      </c>
      <c r="L8">
        <v>0.87755221435675013</v>
      </c>
      <c r="M8">
        <v>3.4186000000000001</v>
      </c>
      <c r="N8">
        <v>0.23246358158309999</v>
      </c>
      <c r="O8" t="s">
        <v>234</v>
      </c>
      <c r="P8" t="s">
        <v>235</v>
      </c>
      <c r="Q8" t="s">
        <v>205</v>
      </c>
      <c r="R8" t="s">
        <v>236</v>
      </c>
      <c r="S8" t="s">
        <v>200</v>
      </c>
      <c r="T8" t="s">
        <v>237</v>
      </c>
      <c r="U8" t="s">
        <v>200</v>
      </c>
      <c r="V8" t="s">
        <v>200</v>
      </c>
      <c r="W8">
        <v>0</v>
      </c>
      <c r="X8">
        <v>0</v>
      </c>
      <c r="Y8">
        <v>0</v>
      </c>
      <c r="Z8">
        <v>0</v>
      </c>
      <c r="AA8">
        <v>0</v>
      </c>
      <c r="AB8" t="s">
        <v>200</v>
      </c>
      <c r="AC8" t="s">
        <v>200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s="135" t="str">
        <f t="shared" si="0"/>
        <v>BTG</v>
      </c>
      <c r="AK8" s="135" t="str">
        <f t="shared" si="1"/>
        <v>Rhey Asicate</v>
      </c>
      <c r="AL8" s="135" t="str">
        <f>_xlfn.XLOOKUP(Campaign_Report[[#This Row],[Campaign]],reference!A:A,reference!B:B)</f>
        <v>Parachute</v>
      </c>
    </row>
    <row r="9" spans="1:38">
      <c r="A9" t="s">
        <v>160</v>
      </c>
      <c r="B9" t="s">
        <v>238</v>
      </c>
      <c r="C9" t="s">
        <v>239</v>
      </c>
      <c r="D9">
        <v>12</v>
      </c>
      <c r="E9">
        <v>4.4536817102138002</v>
      </c>
      <c r="F9">
        <v>3.1899999999999998E-2</v>
      </c>
      <c r="G9">
        <v>1.5277777777777999E-2</v>
      </c>
      <c r="H9">
        <v>7</v>
      </c>
      <c r="I9">
        <v>0.58333333333333004</v>
      </c>
      <c r="J9">
        <v>2.5979809976246999</v>
      </c>
      <c r="K9">
        <v>9</v>
      </c>
      <c r="L9">
        <v>3.3402612826603</v>
      </c>
      <c r="M9">
        <v>2.6943999999999999</v>
      </c>
      <c r="N9">
        <v>1.1839370546318E-2</v>
      </c>
      <c r="O9" t="s">
        <v>240</v>
      </c>
      <c r="P9" t="s">
        <v>236</v>
      </c>
      <c r="Q9" t="s">
        <v>241</v>
      </c>
      <c r="R9" t="s">
        <v>221</v>
      </c>
      <c r="S9" t="s">
        <v>200</v>
      </c>
      <c r="T9" t="s">
        <v>242</v>
      </c>
      <c r="U9" t="s">
        <v>200</v>
      </c>
      <c r="V9" t="s">
        <v>200</v>
      </c>
      <c r="W9">
        <v>0</v>
      </c>
      <c r="X9">
        <v>0</v>
      </c>
      <c r="Y9">
        <v>0</v>
      </c>
      <c r="Z9">
        <v>0</v>
      </c>
      <c r="AA9">
        <v>0</v>
      </c>
      <c r="AB9" t="s">
        <v>200</v>
      </c>
      <c r="AC9" t="s">
        <v>200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s="135" t="str">
        <f t="shared" si="0"/>
        <v>ILO</v>
      </c>
      <c r="AK9" s="135" t="str">
        <f t="shared" si="1"/>
        <v xml:space="preserve">	Anthony Escoyala</v>
      </c>
      <c r="AL9" s="135" t="str">
        <f>_xlfn.XLOOKUP(Campaign_Report[[#This Row],[Campaign]],reference!A:A,reference!B:B)</f>
        <v>VSA</v>
      </c>
    </row>
    <row r="10" spans="1:38">
      <c r="A10" t="s">
        <v>160</v>
      </c>
      <c r="B10" t="s">
        <v>243</v>
      </c>
      <c r="C10" t="s">
        <v>244</v>
      </c>
      <c r="D10">
        <v>3</v>
      </c>
      <c r="E10">
        <v>1.2302140572460001</v>
      </c>
      <c r="F10">
        <v>8.0000000000000004E-4</v>
      </c>
      <c r="G10">
        <v>2.5277777777778E-2</v>
      </c>
      <c r="H10">
        <v>1</v>
      </c>
      <c r="I10">
        <v>0.33333333333332998</v>
      </c>
      <c r="J10">
        <v>0.41007135241532</v>
      </c>
      <c r="K10">
        <v>1</v>
      </c>
      <c r="L10">
        <v>0.41007135241532</v>
      </c>
      <c r="M10">
        <v>2.4386000000000001</v>
      </c>
      <c r="N10">
        <v>3.2805708193226E-4</v>
      </c>
      <c r="O10" t="s">
        <v>245</v>
      </c>
      <c r="P10" t="s">
        <v>246</v>
      </c>
      <c r="Q10" t="s">
        <v>247</v>
      </c>
      <c r="R10" t="s">
        <v>248</v>
      </c>
      <c r="S10" t="s">
        <v>200</v>
      </c>
      <c r="T10" t="s">
        <v>249</v>
      </c>
      <c r="U10" t="s">
        <v>200</v>
      </c>
      <c r="V10" t="s">
        <v>200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200</v>
      </c>
      <c r="AC10" t="s">
        <v>200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s="135" t="str">
        <f t="shared" si="0"/>
        <v>ILO</v>
      </c>
      <c r="AK10" s="135" t="str">
        <f t="shared" si="1"/>
        <v xml:space="preserve">	Jackie Bacting</v>
      </c>
      <c r="AL10" s="135" t="str">
        <f>_xlfn.XLOOKUP(Campaign_Report[[#This Row],[Campaign]],reference!A:A,reference!B:B)</f>
        <v>VSA</v>
      </c>
    </row>
    <row r="11" spans="1:38">
      <c r="A11" t="s">
        <v>160</v>
      </c>
      <c r="B11" t="s">
        <v>250</v>
      </c>
      <c r="C11" t="s">
        <v>251</v>
      </c>
      <c r="D11">
        <v>3</v>
      </c>
      <c r="E11">
        <v>1.0533338014817</v>
      </c>
      <c r="F11">
        <v>1.5299999999999999E-2</v>
      </c>
      <c r="G11">
        <v>2.2222222222222001E-2</v>
      </c>
      <c r="H11">
        <v>0</v>
      </c>
      <c r="I11">
        <v>0</v>
      </c>
      <c r="J11">
        <v>0</v>
      </c>
      <c r="K11">
        <v>0</v>
      </c>
      <c r="L11">
        <v>0</v>
      </c>
      <c r="M11">
        <v>2.8481000000000001</v>
      </c>
      <c r="N11">
        <v>5.3720023875566004E-3</v>
      </c>
      <c r="O11" t="s">
        <v>252</v>
      </c>
      <c r="P11" t="s">
        <v>253</v>
      </c>
      <c r="Q11" t="s">
        <v>254</v>
      </c>
      <c r="R11" t="s">
        <v>255</v>
      </c>
      <c r="S11" t="s">
        <v>200</v>
      </c>
      <c r="T11" t="s">
        <v>256</v>
      </c>
      <c r="U11" t="s">
        <v>200</v>
      </c>
      <c r="V11" t="s">
        <v>200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200</v>
      </c>
      <c r="AC11" t="s">
        <v>200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s="135" t="str">
        <f t="shared" si="0"/>
        <v>ILO</v>
      </c>
      <c r="AK11" s="135" t="str">
        <f t="shared" si="1"/>
        <v xml:space="preserve">	Precy Mae Jaruda</v>
      </c>
      <c r="AL11" s="135" t="str">
        <f>_xlfn.XLOOKUP(Campaign_Report[[#This Row],[Campaign]],reference!A:A,reference!B:B)</f>
        <v>VSA</v>
      </c>
    </row>
    <row r="12" spans="1:38">
      <c r="A12" t="s">
        <v>160</v>
      </c>
      <c r="B12" t="s">
        <v>257</v>
      </c>
      <c r="C12" t="s">
        <v>258</v>
      </c>
      <c r="D12">
        <v>5</v>
      </c>
      <c r="E12">
        <v>1.4904462396041001</v>
      </c>
      <c r="F12">
        <v>1.17E-2</v>
      </c>
      <c r="G12">
        <v>7.2222222222222002E-3</v>
      </c>
      <c r="H12">
        <v>0</v>
      </c>
      <c r="I12">
        <v>0</v>
      </c>
      <c r="J12">
        <v>0</v>
      </c>
      <c r="K12">
        <v>0</v>
      </c>
      <c r="L12">
        <v>0</v>
      </c>
      <c r="M12">
        <v>3.3546999999999998</v>
      </c>
      <c r="N12">
        <v>3.4876442006737001E-3</v>
      </c>
      <c r="O12" t="s">
        <v>259</v>
      </c>
      <c r="P12" t="s">
        <v>260</v>
      </c>
      <c r="Q12" t="s">
        <v>261</v>
      </c>
      <c r="R12" t="s">
        <v>199</v>
      </c>
      <c r="S12" t="s">
        <v>200</v>
      </c>
      <c r="T12" t="s">
        <v>262</v>
      </c>
      <c r="U12" t="s">
        <v>200</v>
      </c>
      <c r="V12" t="s">
        <v>200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200</v>
      </c>
      <c r="AC12" t="s">
        <v>200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s="135" t="str">
        <f t="shared" si="0"/>
        <v>ILO</v>
      </c>
      <c r="AK12" s="135" t="str">
        <f t="shared" si="1"/>
        <v xml:space="preserve">	Reyna Mae Torado</v>
      </c>
      <c r="AL12" s="135" t="str">
        <f>_xlfn.XLOOKUP(Campaign_Report[[#This Row],[Campaign]],reference!A:A,reference!B:B)</f>
        <v>VSA</v>
      </c>
    </row>
    <row r="13" spans="1:38">
      <c r="A13" t="s">
        <v>160</v>
      </c>
      <c r="B13" t="s">
        <v>263</v>
      </c>
      <c r="C13" t="s">
        <v>264</v>
      </c>
      <c r="D13">
        <v>5</v>
      </c>
      <c r="E13">
        <v>1.9251501617125999</v>
      </c>
      <c r="F13">
        <v>3.2800000000000003E-2</v>
      </c>
      <c r="G13">
        <v>2.5000000000000001E-3</v>
      </c>
      <c r="H13">
        <v>0</v>
      </c>
      <c r="I13">
        <v>0</v>
      </c>
      <c r="J13">
        <v>0</v>
      </c>
      <c r="K13">
        <v>1</v>
      </c>
      <c r="L13">
        <v>0.38503003234251998</v>
      </c>
      <c r="M13">
        <v>2.5972</v>
      </c>
      <c r="N13">
        <v>1.2628985060835001E-2</v>
      </c>
      <c r="O13" t="s">
        <v>265</v>
      </c>
      <c r="P13" t="s">
        <v>266</v>
      </c>
      <c r="Q13" t="s">
        <v>267</v>
      </c>
      <c r="R13" t="s">
        <v>247</v>
      </c>
      <c r="S13" t="s">
        <v>200</v>
      </c>
      <c r="T13" t="s">
        <v>268</v>
      </c>
      <c r="U13" t="s">
        <v>200</v>
      </c>
      <c r="V13" t="s">
        <v>200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200</v>
      </c>
      <c r="AC13" t="s">
        <v>200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s="135" t="str">
        <f t="shared" si="0"/>
        <v>ILO</v>
      </c>
      <c r="AK13" s="135" t="str">
        <f t="shared" si="1"/>
        <v>Jeboy Castanaday</v>
      </c>
      <c r="AL13" s="135" t="str">
        <f>_xlfn.XLOOKUP(Campaign_Report[[#This Row],[Campaign]],reference!A:A,reference!B:B)</f>
        <v>VSA</v>
      </c>
    </row>
    <row r="14" spans="1:38">
      <c r="A14" t="s">
        <v>160</v>
      </c>
      <c r="B14" t="s">
        <v>269</v>
      </c>
      <c r="C14" t="s">
        <v>270</v>
      </c>
      <c r="D14">
        <v>3</v>
      </c>
      <c r="E14">
        <v>1.1514988676928</v>
      </c>
      <c r="F14">
        <v>1.6899999999999998E-2</v>
      </c>
      <c r="G14">
        <v>1.3888888888889E-3</v>
      </c>
      <c r="H14">
        <v>0</v>
      </c>
      <c r="I14">
        <v>0</v>
      </c>
      <c r="J14">
        <v>0</v>
      </c>
      <c r="K14">
        <v>1</v>
      </c>
      <c r="L14">
        <v>0.38383295589758998</v>
      </c>
      <c r="M14">
        <v>2.6053000000000002</v>
      </c>
      <c r="N14">
        <v>6.4867769546692999E-3</v>
      </c>
      <c r="O14" t="s">
        <v>271</v>
      </c>
      <c r="P14" t="s">
        <v>272</v>
      </c>
      <c r="Q14" t="s">
        <v>273</v>
      </c>
      <c r="R14" t="s">
        <v>247</v>
      </c>
      <c r="S14" t="s">
        <v>200</v>
      </c>
      <c r="T14" t="s">
        <v>274</v>
      </c>
      <c r="U14" t="s">
        <v>200</v>
      </c>
      <c r="V14" t="s">
        <v>200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200</v>
      </c>
      <c r="AC14" t="s">
        <v>200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s="135" t="str">
        <f t="shared" si="0"/>
        <v>ILO</v>
      </c>
      <c r="AK14" s="135" t="str">
        <f t="shared" si="1"/>
        <v>Lory Mae Arro</v>
      </c>
      <c r="AL14" s="135" t="str">
        <f>_xlfn.XLOOKUP(Campaign_Report[[#This Row],[Campaign]],reference!A:A,reference!B:B)</f>
        <v>VSA</v>
      </c>
    </row>
    <row r="15" spans="1:38">
      <c r="A15" t="s">
        <v>160</v>
      </c>
      <c r="B15" t="s">
        <v>275</v>
      </c>
      <c r="C15" t="s">
        <v>276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5.8900000000000001E-2</v>
      </c>
      <c r="N15">
        <v>0</v>
      </c>
      <c r="O15" t="s">
        <v>200</v>
      </c>
      <c r="P15" t="s">
        <v>200</v>
      </c>
      <c r="Q15" t="s">
        <v>200</v>
      </c>
      <c r="R15" t="s">
        <v>200</v>
      </c>
      <c r="S15" t="s">
        <v>200</v>
      </c>
      <c r="T15" t="s">
        <v>200</v>
      </c>
      <c r="U15" t="s">
        <v>200</v>
      </c>
      <c r="V15" t="s">
        <v>200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200</v>
      </c>
      <c r="AC15" t="s">
        <v>200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s="135" t="str">
        <f t="shared" si="0"/>
        <v>ILO</v>
      </c>
      <c r="AK15" s="135" t="str">
        <f t="shared" si="1"/>
        <v>Mary Lourd Floryvielle De La Cruz</v>
      </c>
      <c r="AL15" s="135" t="str">
        <f>_xlfn.XLOOKUP(Campaign_Report[[#This Row],[Campaign]],reference!A:A,reference!B:B)</f>
        <v>VSA</v>
      </c>
    </row>
    <row r="16" spans="1:38">
      <c r="A16" t="s">
        <v>160</v>
      </c>
      <c r="B16" t="s">
        <v>277</v>
      </c>
      <c r="C16" t="s">
        <v>278</v>
      </c>
      <c r="D16">
        <v>5</v>
      </c>
      <c r="E16">
        <v>1.8144868631151001</v>
      </c>
      <c r="F16">
        <v>2.58E-2</v>
      </c>
      <c r="G16">
        <v>3.3333333333333002E-3</v>
      </c>
      <c r="H16">
        <v>0</v>
      </c>
      <c r="I16">
        <v>0</v>
      </c>
      <c r="J16">
        <v>0</v>
      </c>
      <c r="K16">
        <v>2</v>
      </c>
      <c r="L16">
        <v>0.72579474524604004</v>
      </c>
      <c r="M16">
        <v>2.7555999999999998</v>
      </c>
      <c r="N16">
        <v>9.3627522136740006E-3</v>
      </c>
      <c r="O16" t="s">
        <v>279</v>
      </c>
      <c r="P16" t="s">
        <v>280</v>
      </c>
      <c r="Q16" t="s">
        <v>254</v>
      </c>
      <c r="R16" t="s">
        <v>281</v>
      </c>
      <c r="S16" t="s">
        <v>200</v>
      </c>
      <c r="T16" t="s">
        <v>282</v>
      </c>
      <c r="U16" t="s">
        <v>200</v>
      </c>
      <c r="V16" t="s">
        <v>200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200</v>
      </c>
      <c r="AC16" t="s">
        <v>200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s="135" t="str">
        <f t="shared" si="0"/>
        <v>ILO</v>
      </c>
      <c r="AK16" s="135" t="str">
        <f t="shared" si="1"/>
        <v>Regine Escalo</v>
      </c>
      <c r="AL16" s="135" t="str">
        <f>_xlfn.XLOOKUP(Campaign_Report[[#This Row],[Campaign]],reference!A:A,reference!B:B)</f>
        <v>VSA</v>
      </c>
    </row>
    <row r="17" spans="1:38">
      <c r="A17" t="s">
        <v>160</v>
      </c>
      <c r="B17" t="s">
        <v>283</v>
      </c>
      <c r="C17" t="s">
        <v>284</v>
      </c>
      <c r="D17">
        <v>9</v>
      </c>
      <c r="E17">
        <v>3.4501265046384999</v>
      </c>
      <c r="F17">
        <v>4.3299999999999998E-2</v>
      </c>
      <c r="G17">
        <v>5.6111111111111001E-2</v>
      </c>
      <c r="H17">
        <v>2</v>
      </c>
      <c r="I17">
        <v>0.22222222222221999</v>
      </c>
      <c r="J17">
        <v>0.76669477880855996</v>
      </c>
      <c r="K17">
        <v>4</v>
      </c>
      <c r="L17">
        <v>1.5333895576170999</v>
      </c>
      <c r="M17">
        <v>2.6086</v>
      </c>
      <c r="N17">
        <v>1.6598941961205E-2</v>
      </c>
      <c r="O17" t="s">
        <v>285</v>
      </c>
      <c r="P17" t="s">
        <v>225</v>
      </c>
      <c r="Q17" t="s">
        <v>286</v>
      </c>
      <c r="R17" t="s">
        <v>272</v>
      </c>
      <c r="S17" t="s">
        <v>200</v>
      </c>
      <c r="T17" t="s">
        <v>287</v>
      </c>
      <c r="U17" t="s">
        <v>200</v>
      </c>
      <c r="V17" t="s">
        <v>200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200</v>
      </c>
      <c r="AC17" t="s">
        <v>200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s="135" t="str">
        <f t="shared" si="0"/>
        <v>ILO</v>
      </c>
      <c r="AK17" s="135" t="str">
        <f t="shared" si="1"/>
        <v>Vannesa Gayuna</v>
      </c>
      <c r="AL17" s="135" t="str">
        <f>_xlfn.XLOOKUP(Campaign_Report[[#This Row],[Campaign]],reference!A:A,reference!B:B)</f>
        <v>VSA</v>
      </c>
    </row>
    <row r="18" spans="1:38">
      <c r="A18" t="s">
        <v>163</v>
      </c>
      <c r="B18" t="s">
        <v>288</v>
      </c>
      <c r="C18" t="s">
        <v>289</v>
      </c>
      <c r="D18">
        <v>24</v>
      </c>
      <c r="E18">
        <v>7.8975945243345</v>
      </c>
      <c r="F18">
        <v>0.19939999999999999</v>
      </c>
      <c r="G18">
        <v>2.6663888888888998</v>
      </c>
      <c r="H18">
        <v>19</v>
      </c>
      <c r="I18">
        <v>0.79166666666666996</v>
      </c>
      <c r="J18">
        <v>6.2522623317647996</v>
      </c>
      <c r="K18">
        <v>0</v>
      </c>
      <c r="L18">
        <v>0</v>
      </c>
      <c r="M18">
        <v>3.0388999999999999</v>
      </c>
      <c r="N18">
        <v>6.5615847839678998E-2</v>
      </c>
      <c r="O18" t="s">
        <v>273</v>
      </c>
      <c r="P18" t="s">
        <v>290</v>
      </c>
      <c r="Q18" t="s">
        <v>291</v>
      </c>
      <c r="R18" t="s">
        <v>292</v>
      </c>
      <c r="S18" t="s">
        <v>200</v>
      </c>
      <c r="T18" t="s">
        <v>293</v>
      </c>
      <c r="U18" t="s">
        <v>200</v>
      </c>
      <c r="V18" t="s">
        <v>294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200</v>
      </c>
      <c r="AC18" t="s">
        <v>200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s="135" t="str">
        <f t="shared" si="0"/>
        <v>BTG</v>
      </c>
      <c r="AK18" s="135" t="str">
        <f t="shared" si="1"/>
        <v xml:space="preserve">	Rodolfo Galvez</v>
      </c>
      <c r="AL18" s="135" t="str">
        <f>_xlfn.XLOOKUP(Campaign_Report[[#This Row],[Campaign]],reference!A:A,reference!B:B)</f>
        <v>BTLOAD</v>
      </c>
    </row>
    <row r="19" spans="1:38">
      <c r="A19" t="s">
        <v>163</v>
      </c>
      <c r="B19" t="s">
        <v>295</v>
      </c>
      <c r="C19" t="s">
        <v>296</v>
      </c>
      <c r="D19">
        <v>23</v>
      </c>
      <c r="E19">
        <v>9.2391740981762993</v>
      </c>
      <c r="F19">
        <v>4.4699999999999997E-2</v>
      </c>
      <c r="G19">
        <v>1.8888888888889E-2</v>
      </c>
      <c r="H19">
        <v>23</v>
      </c>
      <c r="I19">
        <v>1</v>
      </c>
      <c r="J19">
        <v>9.2391740981762993</v>
      </c>
      <c r="K19">
        <v>0</v>
      </c>
      <c r="L19">
        <v>0</v>
      </c>
      <c r="M19">
        <v>2.4893999999999998</v>
      </c>
      <c r="N19">
        <v>1.7956134008194999E-2</v>
      </c>
      <c r="O19" t="s">
        <v>297</v>
      </c>
      <c r="P19" t="s">
        <v>241</v>
      </c>
      <c r="Q19" t="s">
        <v>298</v>
      </c>
      <c r="R19" t="s">
        <v>281</v>
      </c>
      <c r="S19" t="s">
        <v>200</v>
      </c>
      <c r="T19" t="s">
        <v>299</v>
      </c>
      <c r="U19" t="s">
        <v>200</v>
      </c>
      <c r="V19" t="s">
        <v>200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200</v>
      </c>
      <c r="AC19" t="s">
        <v>200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s="135" t="str">
        <f t="shared" si="0"/>
        <v>BTG</v>
      </c>
      <c r="AK19" s="135" t="str">
        <f t="shared" si="1"/>
        <v xml:space="preserve">	Xavier Garzon</v>
      </c>
      <c r="AL19" s="135" t="str">
        <f>_xlfn.XLOOKUP(Campaign_Report[[#This Row],[Campaign]],reference!A:A,reference!B:B)</f>
        <v>BTLOAD</v>
      </c>
    </row>
    <row r="20" spans="1:38">
      <c r="A20" t="s">
        <v>163</v>
      </c>
      <c r="B20" t="s">
        <v>300</v>
      </c>
      <c r="C20" t="s">
        <v>301</v>
      </c>
      <c r="D20">
        <v>30</v>
      </c>
      <c r="E20">
        <v>9.2498381278328008</v>
      </c>
      <c r="F20">
        <v>9.69E-2</v>
      </c>
      <c r="G20">
        <v>1.4722222222222E-2</v>
      </c>
      <c r="H20">
        <v>27</v>
      </c>
      <c r="I20">
        <v>0.9</v>
      </c>
      <c r="J20">
        <v>8.3248543150494996</v>
      </c>
      <c r="K20">
        <v>0</v>
      </c>
      <c r="L20">
        <v>0</v>
      </c>
      <c r="M20">
        <v>3.2433000000000001</v>
      </c>
      <c r="N20">
        <v>2.9876977152900001E-2</v>
      </c>
      <c r="O20" t="s">
        <v>302</v>
      </c>
      <c r="P20" t="s">
        <v>260</v>
      </c>
      <c r="Q20" t="s">
        <v>303</v>
      </c>
      <c r="R20" t="s">
        <v>247</v>
      </c>
      <c r="S20" t="s">
        <v>200</v>
      </c>
      <c r="T20" t="s">
        <v>304</v>
      </c>
      <c r="U20" t="s">
        <v>200</v>
      </c>
      <c r="V20" t="s">
        <v>241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200</v>
      </c>
      <c r="AC20" t="s">
        <v>200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s="135" t="str">
        <f t="shared" si="0"/>
        <v>BTG</v>
      </c>
      <c r="AK20" s="135" t="str">
        <f t="shared" si="1"/>
        <v>Armelyn Pasaron</v>
      </c>
      <c r="AL20" s="135" t="str">
        <f>_xlfn.XLOOKUP(Campaign_Report[[#This Row],[Campaign]],reference!A:A,reference!B:B)</f>
        <v>BTLOAD</v>
      </c>
    </row>
    <row r="21" spans="1:38">
      <c r="A21" t="s">
        <v>163</v>
      </c>
      <c r="B21" t="s">
        <v>305</v>
      </c>
      <c r="C21" t="s">
        <v>306</v>
      </c>
      <c r="D21">
        <v>33</v>
      </c>
      <c r="E21">
        <v>10.733801717407999</v>
      </c>
      <c r="F21">
        <v>0.22500000000000001</v>
      </c>
      <c r="G21">
        <v>1.4444444444444E-2</v>
      </c>
      <c r="H21">
        <v>22</v>
      </c>
      <c r="I21">
        <v>0.66666666666666996</v>
      </c>
      <c r="J21">
        <v>7.1558678116054999</v>
      </c>
      <c r="K21">
        <v>0</v>
      </c>
      <c r="L21">
        <v>0</v>
      </c>
      <c r="M21">
        <v>3.0743999999999998</v>
      </c>
      <c r="N21">
        <v>7.3185011709601996E-2</v>
      </c>
      <c r="O21" t="s">
        <v>307</v>
      </c>
      <c r="P21" t="s">
        <v>255</v>
      </c>
      <c r="Q21" t="s">
        <v>308</v>
      </c>
      <c r="R21" t="s">
        <v>247</v>
      </c>
      <c r="S21" t="s">
        <v>200</v>
      </c>
      <c r="T21" t="s">
        <v>309</v>
      </c>
      <c r="U21" t="s">
        <v>200</v>
      </c>
      <c r="V21" t="s">
        <v>200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200</v>
      </c>
      <c r="AC21" t="s">
        <v>200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s="135" t="str">
        <f t="shared" si="0"/>
        <v>BTG</v>
      </c>
      <c r="AK21" s="135" t="str">
        <f t="shared" si="1"/>
        <v>Marites Dellosa</v>
      </c>
      <c r="AL21" s="135" t="str">
        <f>_xlfn.XLOOKUP(Campaign_Report[[#This Row],[Campaign]],reference!A:A,reference!B:B)</f>
        <v>BTLOAD</v>
      </c>
    </row>
    <row r="22" spans="1:38">
      <c r="A22" t="s">
        <v>163</v>
      </c>
      <c r="B22" t="s">
        <v>310</v>
      </c>
      <c r="C22" t="s">
        <v>311</v>
      </c>
      <c r="D22">
        <v>27</v>
      </c>
      <c r="E22">
        <v>9.5295238767514991</v>
      </c>
      <c r="F22">
        <v>6.83E-2</v>
      </c>
      <c r="G22">
        <v>2.7777777777777998E-2</v>
      </c>
      <c r="H22">
        <v>19</v>
      </c>
      <c r="I22">
        <v>0.70370370370369995</v>
      </c>
      <c r="J22">
        <v>6.7059612466029002</v>
      </c>
      <c r="K22">
        <v>0</v>
      </c>
      <c r="L22">
        <v>0</v>
      </c>
      <c r="M22">
        <v>2.8332999999999999</v>
      </c>
      <c r="N22">
        <v>2.4106165954894E-2</v>
      </c>
      <c r="O22" t="s">
        <v>312</v>
      </c>
      <c r="P22" t="s">
        <v>313</v>
      </c>
      <c r="Q22" t="s">
        <v>241</v>
      </c>
      <c r="R22" t="s">
        <v>214</v>
      </c>
      <c r="S22" t="s">
        <v>200</v>
      </c>
      <c r="T22" t="s">
        <v>314</v>
      </c>
      <c r="U22" t="s">
        <v>200</v>
      </c>
      <c r="V22" t="s">
        <v>200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200</v>
      </c>
      <c r="AC22" t="s">
        <v>200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s="135" t="str">
        <f t="shared" si="0"/>
        <v>BTG</v>
      </c>
      <c r="AK22" s="135" t="str">
        <f t="shared" si="1"/>
        <v>Jake Lacerna</v>
      </c>
      <c r="AL22" s="135" t="str">
        <f>_xlfn.XLOOKUP(Campaign_Report[[#This Row],[Campaign]],reference!A:A,reference!B:B)</f>
        <v>BTLOAD</v>
      </c>
    </row>
    <row r="23" spans="1:38">
      <c r="A23" t="s">
        <v>163</v>
      </c>
      <c r="B23" t="s">
        <v>315</v>
      </c>
      <c r="C23" t="s">
        <v>316</v>
      </c>
      <c r="D23">
        <v>42</v>
      </c>
      <c r="E23">
        <v>12.142588684264</v>
      </c>
      <c r="F23">
        <v>0.1206</v>
      </c>
      <c r="G23">
        <v>5.7777777777777997E-2</v>
      </c>
      <c r="H23">
        <v>31</v>
      </c>
      <c r="I23">
        <v>0.73809523809524002</v>
      </c>
      <c r="J23">
        <v>8.9623868860042002</v>
      </c>
      <c r="K23">
        <v>0</v>
      </c>
      <c r="L23">
        <v>0</v>
      </c>
      <c r="M23">
        <v>3.4588999999999999</v>
      </c>
      <c r="N23">
        <v>3.4866576079100001E-2</v>
      </c>
      <c r="O23" t="s">
        <v>317</v>
      </c>
      <c r="P23" t="s">
        <v>318</v>
      </c>
      <c r="Q23" t="s">
        <v>319</v>
      </c>
      <c r="R23" t="s">
        <v>221</v>
      </c>
      <c r="S23" t="s">
        <v>200</v>
      </c>
      <c r="T23" t="s">
        <v>200</v>
      </c>
      <c r="U23" t="s">
        <v>200</v>
      </c>
      <c r="V23" t="s">
        <v>200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200</v>
      </c>
      <c r="AC23" t="s">
        <v>200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135" t="str">
        <f t="shared" si="0"/>
        <v>ILO</v>
      </c>
      <c r="AK23" s="135" t="str">
        <f t="shared" si="1"/>
        <v xml:space="preserve">	Ashly Ann Dionora</v>
      </c>
      <c r="AL23" s="135" t="str">
        <f>_xlfn.XLOOKUP(Campaign_Report[[#This Row],[Campaign]],reference!A:A,reference!B:B)</f>
        <v>BTLOAD</v>
      </c>
    </row>
    <row r="24" spans="1:38">
      <c r="A24" t="s">
        <v>163</v>
      </c>
      <c r="B24" t="s">
        <v>320</v>
      </c>
      <c r="C24" t="s">
        <v>321</v>
      </c>
      <c r="D24">
        <v>13</v>
      </c>
      <c r="E24">
        <v>16.85247601763</v>
      </c>
      <c r="F24">
        <v>2.92E-2</v>
      </c>
      <c r="G24">
        <v>1.7222222222222E-2</v>
      </c>
      <c r="H24">
        <v>12</v>
      </c>
      <c r="I24">
        <v>0.92307692307692002</v>
      </c>
      <c r="J24">
        <v>15.556131708582001</v>
      </c>
      <c r="K24">
        <v>0</v>
      </c>
      <c r="L24">
        <v>0</v>
      </c>
      <c r="M24">
        <v>0.77139999999999997</v>
      </c>
      <c r="N24">
        <v>3.7853253824215997E-2</v>
      </c>
      <c r="O24" t="s">
        <v>322</v>
      </c>
      <c r="P24" t="s">
        <v>313</v>
      </c>
      <c r="Q24" t="s">
        <v>261</v>
      </c>
      <c r="R24" t="s">
        <v>221</v>
      </c>
      <c r="S24" t="s">
        <v>200</v>
      </c>
      <c r="T24" t="s">
        <v>200</v>
      </c>
      <c r="U24" t="s">
        <v>200</v>
      </c>
      <c r="V24" t="s">
        <v>200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200</v>
      </c>
      <c r="AC24" t="s">
        <v>200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s="135" t="str">
        <f t="shared" si="0"/>
        <v>ILO</v>
      </c>
      <c r="AK24" s="135" t="str">
        <f t="shared" si="1"/>
        <v xml:space="preserve">	Diane Clarito</v>
      </c>
      <c r="AL24" s="135" t="str">
        <f>_xlfn.XLOOKUP(Campaign_Report[[#This Row],[Campaign]],reference!A:A,reference!B:B)</f>
        <v>BTLOAD</v>
      </c>
    </row>
    <row r="25" spans="1:38">
      <c r="A25" t="s">
        <v>163</v>
      </c>
      <c r="B25" t="s">
        <v>323</v>
      </c>
      <c r="C25" t="s">
        <v>324</v>
      </c>
      <c r="D25">
        <v>35</v>
      </c>
      <c r="E25">
        <v>12.863863569537999</v>
      </c>
      <c r="F25">
        <v>0.72719999999999996</v>
      </c>
      <c r="G25">
        <v>5.7500000000000002E-2</v>
      </c>
      <c r="H25">
        <v>29</v>
      </c>
      <c r="I25">
        <v>0.82857142857142996</v>
      </c>
      <c r="J25">
        <v>10.658629814759999</v>
      </c>
      <c r="K25">
        <v>0</v>
      </c>
      <c r="L25">
        <v>0</v>
      </c>
      <c r="M25">
        <v>2.7208000000000001</v>
      </c>
      <c r="N25">
        <v>0.26727433107908999</v>
      </c>
      <c r="O25" t="s">
        <v>325</v>
      </c>
      <c r="P25" t="s">
        <v>326</v>
      </c>
      <c r="Q25" t="s">
        <v>327</v>
      </c>
      <c r="R25" t="s">
        <v>199</v>
      </c>
      <c r="S25" t="s">
        <v>200</v>
      </c>
      <c r="T25" t="s">
        <v>328</v>
      </c>
      <c r="U25" t="s">
        <v>200</v>
      </c>
      <c r="V25" t="s">
        <v>200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200</v>
      </c>
      <c r="AC25" t="s">
        <v>200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135" t="str">
        <f t="shared" si="0"/>
        <v>ILO</v>
      </c>
      <c r="AK25" s="135" t="str">
        <f t="shared" si="1"/>
        <v xml:space="preserve">	Faith Gaticales</v>
      </c>
      <c r="AL25" s="135" t="str">
        <f>_xlfn.XLOOKUP(Campaign_Report[[#This Row],[Campaign]],reference!A:A,reference!B:B)</f>
        <v>BTLOAD</v>
      </c>
    </row>
    <row r="26" spans="1:38">
      <c r="A26" t="s">
        <v>163</v>
      </c>
      <c r="B26" t="s">
        <v>329</v>
      </c>
      <c r="C26" t="s">
        <v>330</v>
      </c>
      <c r="D26">
        <v>39</v>
      </c>
      <c r="E26">
        <v>14.462120369339999</v>
      </c>
      <c r="F26">
        <v>7.1099999999999997E-2</v>
      </c>
      <c r="G26">
        <v>1.6666666666667E-2</v>
      </c>
      <c r="H26">
        <v>32</v>
      </c>
      <c r="I26">
        <v>0.82051282051282004</v>
      </c>
      <c r="J26">
        <v>11.866355174842999</v>
      </c>
      <c r="K26">
        <v>0</v>
      </c>
      <c r="L26">
        <v>0</v>
      </c>
      <c r="M26">
        <v>2.6966999999999999</v>
      </c>
      <c r="N26">
        <v>2.6365557904105E-2</v>
      </c>
      <c r="O26" t="s">
        <v>331</v>
      </c>
      <c r="P26" t="s">
        <v>261</v>
      </c>
      <c r="Q26" t="s">
        <v>207</v>
      </c>
      <c r="R26" t="s">
        <v>247</v>
      </c>
      <c r="S26" t="s">
        <v>200</v>
      </c>
      <c r="T26" t="s">
        <v>332</v>
      </c>
      <c r="U26" t="s">
        <v>200</v>
      </c>
      <c r="V26" t="s">
        <v>200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200</v>
      </c>
      <c r="AC26" t="s">
        <v>200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s="135" t="str">
        <f t="shared" si="0"/>
        <v>ILO</v>
      </c>
      <c r="AK26" s="135" t="str">
        <f t="shared" si="1"/>
        <v xml:space="preserve">	Jessa Luceno</v>
      </c>
      <c r="AL26" s="135" t="str">
        <f>_xlfn.XLOOKUP(Campaign_Report[[#This Row],[Campaign]],reference!A:A,reference!B:B)</f>
        <v>BTLOAD</v>
      </c>
    </row>
    <row r="27" spans="1:38">
      <c r="A27" t="s">
        <v>163</v>
      </c>
      <c r="B27" t="s">
        <v>333</v>
      </c>
      <c r="C27" t="s">
        <v>334</v>
      </c>
      <c r="D27">
        <v>8</v>
      </c>
      <c r="E27">
        <v>14.357501794688</v>
      </c>
      <c r="F27">
        <v>1.9400000000000001E-2</v>
      </c>
      <c r="G27">
        <v>5.0000000000000001E-3</v>
      </c>
      <c r="H27">
        <v>5</v>
      </c>
      <c r="I27">
        <v>0.625</v>
      </c>
      <c r="J27">
        <v>8.9734386216798008</v>
      </c>
      <c r="K27">
        <v>0</v>
      </c>
      <c r="L27">
        <v>0</v>
      </c>
      <c r="M27">
        <v>0.55720000000000003</v>
      </c>
      <c r="N27">
        <v>3.4816941852117998E-2</v>
      </c>
      <c r="O27" t="s">
        <v>335</v>
      </c>
      <c r="P27" t="s">
        <v>303</v>
      </c>
      <c r="Q27" t="s">
        <v>261</v>
      </c>
      <c r="R27" t="s">
        <v>281</v>
      </c>
      <c r="S27" t="s">
        <v>200</v>
      </c>
      <c r="T27" t="s">
        <v>200</v>
      </c>
      <c r="U27" t="s">
        <v>200</v>
      </c>
      <c r="V27" t="s">
        <v>200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200</v>
      </c>
      <c r="AC27" t="s">
        <v>200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s="135" t="str">
        <f t="shared" si="0"/>
        <v>ILO</v>
      </c>
      <c r="AK27" s="135" t="str">
        <f t="shared" si="1"/>
        <v xml:space="preserve">	Laurice Anne Farid Lima</v>
      </c>
      <c r="AL27" s="135" t="str">
        <f>_xlfn.XLOOKUP(Campaign_Report[[#This Row],[Campaign]],reference!A:A,reference!B:B)</f>
        <v>BTLOAD</v>
      </c>
    </row>
    <row r="28" spans="1:38">
      <c r="A28" t="s">
        <v>163</v>
      </c>
      <c r="B28" t="s">
        <v>336</v>
      </c>
      <c r="C28" t="s">
        <v>337</v>
      </c>
      <c r="D28">
        <v>44</v>
      </c>
      <c r="E28">
        <v>13.162618164413001</v>
      </c>
      <c r="F28">
        <v>0.16309999999999999</v>
      </c>
      <c r="G28">
        <v>3.6388888888888998E-2</v>
      </c>
      <c r="H28">
        <v>24</v>
      </c>
      <c r="I28">
        <v>0.54545454545454997</v>
      </c>
      <c r="J28">
        <v>7.1796099078616997</v>
      </c>
      <c r="K28">
        <v>0</v>
      </c>
      <c r="L28">
        <v>0</v>
      </c>
      <c r="M28">
        <v>3.3428</v>
      </c>
      <c r="N28">
        <v>4.8791432332176997E-2</v>
      </c>
      <c r="O28" t="s">
        <v>338</v>
      </c>
      <c r="P28" t="s">
        <v>294</v>
      </c>
      <c r="Q28" t="s">
        <v>260</v>
      </c>
      <c r="R28" t="s">
        <v>281</v>
      </c>
      <c r="S28" t="s">
        <v>200</v>
      </c>
      <c r="T28" t="s">
        <v>200</v>
      </c>
      <c r="U28" t="s">
        <v>200</v>
      </c>
      <c r="V28" t="s">
        <v>200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200</v>
      </c>
      <c r="AC28" t="s">
        <v>200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s="135" t="str">
        <f t="shared" si="0"/>
        <v>ILO</v>
      </c>
      <c r="AK28" s="135" t="str">
        <f t="shared" si="1"/>
        <v xml:space="preserve">	Marites Magsalin</v>
      </c>
      <c r="AL28" s="135" t="str">
        <f>_xlfn.XLOOKUP(Campaign_Report[[#This Row],[Campaign]],reference!A:A,reference!B:B)</f>
        <v>BTLOAD</v>
      </c>
    </row>
    <row r="29" spans="1:38">
      <c r="A29" t="s">
        <v>163</v>
      </c>
      <c r="B29" t="s">
        <v>339</v>
      </c>
      <c r="C29" t="s">
        <v>340</v>
      </c>
      <c r="D29">
        <v>29</v>
      </c>
      <c r="E29">
        <v>11.029971093868999</v>
      </c>
      <c r="F29">
        <v>4.7500000000000001E-2</v>
      </c>
      <c r="G29">
        <v>1.6944444444443998E-2</v>
      </c>
      <c r="H29">
        <v>22</v>
      </c>
      <c r="I29">
        <v>0.75862068965517004</v>
      </c>
      <c r="J29">
        <v>8.3675642781074</v>
      </c>
      <c r="K29">
        <v>0</v>
      </c>
      <c r="L29">
        <v>0</v>
      </c>
      <c r="M29">
        <v>2.6292</v>
      </c>
      <c r="N29">
        <v>1.8066331964095999E-2</v>
      </c>
      <c r="O29" t="s">
        <v>341</v>
      </c>
      <c r="P29" t="s">
        <v>261</v>
      </c>
      <c r="Q29" t="s">
        <v>199</v>
      </c>
      <c r="R29" t="s">
        <v>281</v>
      </c>
      <c r="S29" t="s">
        <v>200</v>
      </c>
      <c r="T29" t="s">
        <v>342</v>
      </c>
      <c r="U29" t="s">
        <v>200</v>
      </c>
      <c r="V29" t="s">
        <v>200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200</v>
      </c>
      <c r="AC29" t="s">
        <v>200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s="135" t="str">
        <f t="shared" si="0"/>
        <v>ILO</v>
      </c>
      <c r="AK29" s="135" t="str">
        <f t="shared" si="1"/>
        <v xml:space="preserve">	Rulf Ejeil Mesa</v>
      </c>
      <c r="AL29" s="135" t="str">
        <f>_xlfn.XLOOKUP(Campaign_Report[[#This Row],[Campaign]],reference!A:A,reference!B:B)</f>
        <v>BTLOAD</v>
      </c>
    </row>
    <row r="30" spans="1:38">
      <c r="A30" t="s">
        <v>163</v>
      </c>
      <c r="B30" t="s">
        <v>343</v>
      </c>
      <c r="C30" t="s">
        <v>344</v>
      </c>
      <c r="D30">
        <v>7</v>
      </c>
      <c r="E30">
        <v>12.708787218591</v>
      </c>
      <c r="F30">
        <v>1.67E-2</v>
      </c>
      <c r="G30">
        <v>3.3333333333333002E-3</v>
      </c>
      <c r="H30">
        <v>6</v>
      </c>
      <c r="I30">
        <v>0.85714285714285998</v>
      </c>
      <c r="J30">
        <v>10.893246187363999</v>
      </c>
      <c r="K30">
        <v>0</v>
      </c>
      <c r="L30">
        <v>0</v>
      </c>
      <c r="M30">
        <v>0.55079999999999996</v>
      </c>
      <c r="N30">
        <v>3.0319535221496E-2</v>
      </c>
      <c r="O30" t="s">
        <v>345</v>
      </c>
      <c r="P30" t="s">
        <v>319</v>
      </c>
      <c r="Q30" t="s">
        <v>261</v>
      </c>
      <c r="R30" t="s">
        <v>247</v>
      </c>
      <c r="S30" t="s">
        <v>200</v>
      </c>
      <c r="T30" t="s">
        <v>200</v>
      </c>
      <c r="U30" t="s">
        <v>200</v>
      </c>
      <c r="V30" t="s">
        <v>200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200</v>
      </c>
      <c r="AC30" t="s">
        <v>200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s="135" t="str">
        <f t="shared" si="0"/>
        <v>ILO</v>
      </c>
      <c r="AK30" s="135" t="str">
        <f t="shared" si="1"/>
        <v>Bon Mark Gonzales</v>
      </c>
      <c r="AL30" s="135" t="str">
        <f>_xlfn.XLOOKUP(Campaign_Report[[#This Row],[Campaign]],reference!A:A,reference!B:B)</f>
        <v>BTLOAD</v>
      </c>
    </row>
    <row r="31" spans="1:38">
      <c r="A31" t="s">
        <v>163</v>
      </c>
      <c r="B31" t="s">
        <v>346</v>
      </c>
      <c r="C31" t="s">
        <v>347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5.6899999999999999E-2</v>
      </c>
      <c r="N31">
        <v>0</v>
      </c>
      <c r="O31" t="s">
        <v>200</v>
      </c>
      <c r="P31" t="s">
        <v>200</v>
      </c>
      <c r="Q31" t="s">
        <v>200</v>
      </c>
      <c r="R31" t="s">
        <v>200</v>
      </c>
      <c r="S31" t="s">
        <v>200</v>
      </c>
      <c r="T31" t="s">
        <v>200</v>
      </c>
      <c r="U31" t="s">
        <v>200</v>
      </c>
      <c r="V31" t="s">
        <v>200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200</v>
      </c>
      <c r="AC31" t="s">
        <v>200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s="135" t="str">
        <f t="shared" si="0"/>
        <v>OTG</v>
      </c>
      <c r="AK31" s="135" t="str">
        <f t="shared" si="1"/>
        <v xml:space="preserve">	Jessa Mae Palen</v>
      </c>
      <c r="AL31" s="135" t="str">
        <f>_xlfn.XLOOKUP(Campaign_Report[[#This Row],[Campaign]],reference!A:A,reference!B:B)</f>
        <v>BTLOAD</v>
      </c>
    </row>
    <row r="32" spans="1:38">
      <c r="A32" t="s">
        <v>184</v>
      </c>
      <c r="B32" t="s">
        <v>348</v>
      </c>
      <c r="C32" t="s">
        <v>349</v>
      </c>
      <c r="D32">
        <v>19</v>
      </c>
      <c r="E32">
        <v>9.9476439790576006</v>
      </c>
      <c r="F32">
        <v>7.22E-2</v>
      </c>
      <c r="G32">
        <v>8.1666666666666998E-2</v>
      </c>
      <c r="H32">
        <v>4</v>
      </c>
      <c r="I32">
        <v>0.21052631578947001</v>
      </c>
      <c r="J32">
        <v>2.0942408376963</v>
      </c>
      <c r="K32">
        <v>0</v>
      </c>
      <c r="L32">
        <v>0</v>
      </c>
      <c r="M32">
        <v>1.91</v>
      </c>
      <c r="N32">
        <v>3.7801047120418999E-2</v>
      </c>
      <c r="O32" t="s">
        <v>247</v>
      </c>
      <c r="P32" t="s">
        <v>291</v>
      </c>
      <c r="Q32" t="s">
        <v>260</v>
      </c>
      <c r="R32" t="s">
        <v>318</v>
      </c>
      <c r="S32" t="s">
        <v>200</v>
      </c>
      <c r="T32" t="s">
        <v>350</v>
      </c>
      <c r="U32" t="s">
        <v>200</v>
      </c>
      <c r="V32" t="s">
        <v>200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200</v>
      </c>
      <c r="AC32" t="s">
        <v>200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s="135" t="str">
        <f t="shared" si="0"/>
        <v>BTG</v>
      </c>
      <c r="AK32" s="135" t="str">
        <f t="shared" si="1"/>
        <v>Keith Aurea</v>
      </c>
      <c r="AL32" s="135" t="str">
        <f>_xlfn.XLOOKUP(Campaign_Report[[#This Row],[Campaign]],reference!A:A,reference!B:B)</f>
        <v>Medical Note</v>
      </c>
    </row>
    <row r="33" spans="1:38">
      <c r="A33" t="s">
        <v>184</v>
      </c>
      <c r="B33" t="s">
        <v>351</v>
      </c>
      <c r="C33" t="s">
        <v>352</v>
      </c>
      <c r="D33">
        <v>11</v>
      </c>
      <c r="E33">
        <v>7.8275101401836</v>
      </c>
      <c r="F33">
        <v>0.1014</v>
      </c>
      <c r="G33">
        <v>1.1836111111111001</v>
      </c>
      <c r="H33">
        <v>1</v>
      </c>
      <c r="I33">
        <v>9.0909090909090995E-2</v>
      </c>
      <c r="J33">
        <v>0.71159183092578004</v>
      </c>
      <c r="K33">
        <v>0</v>
      </c>
      <c r="L33">
        <v>0</v>
      </c>
      <c r="M33">
        <v>1.4053</v>
      </c>
      <c r="N33">
        <v>7.2155411655873997E-2</v>
      </c>
      <c r="O33" t="s">
        <v>247</v>
      </c>
      <c r="P33" t="s">
        <v>353</v>
      </c>
      <c r="Q33" t="s">
        <v>354</v>
      </c>
      <c r="R33" t="s">
        <v>355</v>
      </c>
      <c r="S33" t="s">
        <v>200</v>
      </c>
      <c r="T33" t="s">
        <v>356</v>
      </c>
      <c r="U33" t="s">
        <v>200</v>
      </c>
      <c r="V33" t="s">
        <v>200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200</v>
      </c>
      <c r="AC33" t="s">
        <v>200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s="135" t="str">
        <f t="shared" si="0"/>
        <v>BTG</v>
      </c>
      <c r="AK33" s="135" t="str">
        <f t="shared" si="1"/>
        <v>Moriel Gonzales</v>
      </c>
      <c r="AL33" s="135" t="str">
        <f>_xlfn.XLOOKUP(Campaign_Report[[#This Row],[Campaign]],reference!A:A,reference!B:B)</f>
        <v>Medical Note</v>
      </c>
    </row>
    <row r="34" spans="1:38">
      <c r="A34" t="s">
        <v>184</v>
      </c>
      <c r="B34" t="s">
        <v>357</v>
      </c>
      <c r="C34" t="s">
        <v>358</v>
      </c>
      <c r="D34">
        <v>21</v>
      </c>
      <c r="E34">
        <v>9.7159248635144007</v>
      </c>
      <c r="F34">
        <v>1.0752999999999999</v>
      </c>
      <c r="G34">
        <v>3.7777777777778E-2</v>
      </c>
      <c r="H34">
        <v>0</v>
      </c>
      <c r="I34">
        <v>0</v>
      </c>
      <c r="J34">
        <v>0</v>
      </c>
      <c r="K34">
        <v>0</v>
      </c>
      <c r="L34">
        <v>0</v>
      </c>
      <c r="M34">
        <v>2.1614</v>
      </c>
      <c r="N34">
        <v>0.49750161932081</v>
      </c>
      <c r="O34" t="s">
        <v>281</v>
      </c>
      <c r="P34" t="s">
        <v>359</v>
      </c>
      <c r="Q34" t="s">
        <v>360</v>
      </c>
      <c r="R34" t="s">
        <v>207</v>
      </c>
      <c r="S34" t="s">
        <v>200</v>
      </c>
      <c r="T34" t="s">
        <v>361</v>
      </c>
      <c r="U34" t="s">
        <v>200</v>
      </c>
      <c r="V34" t="s">
        <v>200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200</v>
      </c>
      <c r="AC34" t="s">
        <v>200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s="135" t="str">
        <f t="shared" ref="AJ34:AJ65" si="2">LEFT(B34,3)</f>
        <v>BTG</v>
      </c>
      <c r="AK34" s="135" t="str">
        <f t="shared" ref="AK34:AK65" si="3">TRIM(RIGHT(B34, LEN(B34)-3))</f>
        <v>Vil Pagsanjan</v>
      </c>
      <c r="AL34" s="135" t="str">
        <f>_xlfn.XLOOKUP(Campaign_Report[[#This Row],[Campaign]],reference!A:A,reference!B:B)</f>
        <v>Medical Note</v>
      </c>
    </row>
    <row r="35" spans="1:38">
      <c r="A35" t="s">
        <v>184</v>
      </c>
      <c r="B35" t="s">
        <v>362</v>
      </c>
      <c r="C35" t="s">
        <v>363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3.3E-3</v>
      </c>
      <c r="N35">
        <v>0</v>
      </c>
      <c r="O35" t="s">
        <v>200</v>
      </c>
      <c r="P35" t="s">
        <v>200</v>
      </c>
      <c r="Q35" t="s">
        <v>200</v>
      </c>
      <c r="R35" t="s">
        <v>200</v>
      </c>
      <c r="S35" t="s">
        <v>200</v>
      </c>
      <c r="T35" t="s">
        <v>200</v>
      </c>
      <c r="U35" t="s">
        <v>200</v>
      </c>
      <c r="V35" t="s">
        <v>200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200</v>
      </c>
      <c r="AC35" t="s">
        <v>200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135" t="str">
        <f t="shared" si="2"/>
        <v>BTG</v>
      </c>
      <c r="AK35" s="135" t="str">
        <f t="shared" si="3"/>
        <v>Warren Gavino</v>
      </c>
      <c r="AL35" s="135" t="str">
        <f>_xlfn.XLOOKUP(Campaign_Report[[#This Row],[Campaign]],reference!A:A,reference!B:B)</f>
        <v>Medical Note</v>
      </c>
    </row>
    <row r="36" spans="1:38">
      <c r="A36" t="s">
        <v>166</v>
      </c>
      <c r="B36" t="s">
        <v>288</v>
      </c>
      <c r="C36" t="s">
        <v>289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0.41810000000000003</v>
      </c>
      <c r="N36">
        <v>0</v>
      </c>
      <c r="O36" t="s">
        <v>200</v>
      </c>
      <c r="P36" t="s">
        <v>200</v>
      </c>
      <c r="Q36" t="s">
        <v>200</v>
      </c>
      <c r="R36" t="s">
        <v>200</v>
      </c>
      <c r="S36" t="s">
        <v>200</v>
      </c>
      <c r="T36" t="s">
        <v>200</v>
      </c>
      <c r="U36" t="s">
        <v>200</v>
      </c>
      <c r="V36" t="s">
        <v>298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200</v>
      </c>
      <c r="AC36" t="s">
        <v>200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135" t="str">
        <f t="shared" si="2"/>
        <v>BTG</v>
      </c>
      <c r="AK36" s="135" t="str">
        <f t="shared" si="3"/>
        <v xml:space="preserve">	Rodolfo Galvez</v>
      </c>
      <c r="AL36" s="135" t="str">
        <f>_xlfn.XLOOKUP(Campaign_Report[[#This Row],[Campaign]],reference!A:A,reference!B:B)</f>
        <v>Non-Billable</v>
      </c>
    </row>
    <row r="37" spans="1:38">
      <c r="A37" t="s">
        <v>166</v>
      </c>
      <c r="B37" t="s">
        <v>295</v>
      </c>
      <c r="C37" t="s">
        <v>296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0.1144</v>
      </c>
      <c r="N37">
        <v>0</v>
      </c>
      <c r="O37" t="s">
        <v>200</v>
      </c>
      <c r="P37" t="s">
        <v>200</v>
      </c>
      <c r="Q37" t="s">
        <v>200</v>
      </c>
      <c r="R37" t="s">
        <v>200</v>
      </c>
      <c r="S37" t="s">
        <v>200</v>
      </c>
      <c r="T37" t="s">
        <v>200</v>
      </c>
      <c r="U37" t="s">
        <v>200</v>
      </c>
      <c r="V37" t="s">
        <v>200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200</v>
      </c>
      <c r="AC37" t="s">
        <v>200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135" t="str">
        <f t="shared" si="2"/>
        <v>BTG</v>
      </c>
      <c r="AK37" s="135" t="str">
        <f t="shared" si="3"/>
        <v xml:space="preserve">	Xavier Garzon</v>
      </c>
      <c r="AL37" s="135" t="str">
        <f>_xlfn.XLOOKUP(Campaign_Report[[#This Row],[Campaign]],reference!A:A,reference!B:B)</f>
        <v>Non-Billable</v>
      </c>
    </row>
    <row r="38" spans="1:38">
      <c r="A38" t="s">
        <v>166</v>
      </c>
      <c r="B38" t="s">
        <v>364</v>
      </c>
      <c r="C38" t="s">
        <v>365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0.28189999999999998</v>
      </c>
      <c r="N38">
        <v>0</v>
      </c>
      <c r="O38" t="s">
        <v>200</v>
      </c>
      <c r="P38" t="s">
        <v>200</v>
      </c>
      <c r="Q38" t="s">
        <v>200</v>
      </c>
      <c r="R38" t="s">
        <v>200</v>
      </c>
      <c r="S38" t="s">
        <v>200</v>
      </c>
      <c r="T38" t="s">
        <v>200</v>
      </c>
      <c r="U38" t="s">
        <v>200</v>
      </c>
      <c r="V38" t="s">
        <v>200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200</v>
      </c>
      <c r="AC38" t="s">
        <v>200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s="135" t="str">
        <f t="shared" si="2"/>
        <v>BTG</v>
      </c>
      <c r="AK38" s="135" t="str">
        <f t="shared" si="3"/>
        <v>Angela Pearl Sabido</v>
      </c>
      <c r="AL38" s="135" t="str">
        <f>_xlfn.XLOOKUP(Campaign_Report[[#This Row],[Campaign]],reference!A:A,reference!B:B)</f>
        <v>Non-Billable</v>
      </c>
    </row>
    <row r="39" spans="1:38">
      <c r="A39" t="s">
        <v>166</v>
      </c>
      <c r="B39" t="s">
        <v>366</v>
      </c>
      <c r="C39" t="s">
        <v>367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0.3639</v>
      </c>
      <c r="N39">
        <v>0</v>
      </c>
      <c r="O39" t="s">
        <v>200</v>
      </c>
      <c r="P39" t="s">
        <v>200</v>
      </c>
      <c r="Q39" t="s">
        <v>200</v>
      </c>
      <c r="R39" t="s">
        <v>200</v>
      </c>
      <c r="S39" t="s">
        <v>200</v>
      </c>
      <c r="T39" t="s">
        <v>200</v>
      </c>
      <c r="U39" t="s">
        <v>200</v>
      </c>
      <c r="V39" t="s">
        <v>200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200</v>
      </c>
      <c r="AC39" t="s">
        <v>200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s="135" t="str">
        <f t="shared" si="2"/>
        <v>BTG</v>
      </c>
      <c r="AK39" s="135" t="str">
        <f t="shared" si="3"/>
        <v>Maria Gupit</v>
      </c>
      <c r="AL39" s="135" t="str">
        <f>_xlfn.XLOOKUP(Campaign_Report[[#This Row],[Campaign]],reference!A:A,reference!B:B)</f>
        <v>Non-Billable</v>
      </c>
    </row>
    <row r="40" spans="1:38">
      <c r="A40" t="s">
        <v>166</v>
      </c>
      <c r="B40" t="s">
        <v>305</v>
      </c>
      <c r="C40" t="s">
        <v>306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0.1222</v>
      </c>
      <c r="N40">
        <v>0</v>
      </c>
      <c r="O40" t="s">
        <v>200</v>
      </c>
      <c r="P40" t="s">
        <v>200</v>
      </c>
      <c r="Q40" t="s">
        <v>200</v>
      </c>
      <c r="R40" t="s">
        <v>200</v>
      </c>
      <c r="S40" t="s">
        <v>200</v>
      </c>
      <c r="T40" t="s">
        <v>200</v>
      </c>
      <c r="U40" t="s">
        <v>200</v>
      </c>
      <c r="V40" t="s">
        <v>200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200</v>
      </c>
      <c r="AC40" t="s">
        <v>200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135" t="str">
        <f t="shared" si="2"/>
        <v>BTG</v>
      </c>
      <c r="AK40" s="135" t="str">
        <f t="shared" si="3"/>
        <v>Marites Dellosa</v>
      </c>
      <c r="AL40" s="135" t="str">
        <f>_xlfn.XLOOKUP(Campaign_Report[[#This Row],[Campaign]],reference!A:A,reference!B:B)</f>
        <v>Non-Billable</v>
      </c>
    </row>
    <row r="41" spans="1:38">
      <c r="A41" t="s">
        <v>166</v>
      </c>
      <c r="B41" t="s">
        <v>351</v>
      </c>
      <c r="C41" t="s">
        <v>352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0.30249999999999999</v>
      </c>
      <c r="N41">
        <v>0</v>
      </c>
      <c r="O41" t="s">
        <v>200</v>
      </c>
      <c r="P41" t="s">
        <v>200</v>
      </c>
      <c r="Q41" t="s">
        <v>200</v>
      </c>
      <c r="R41" t="s">
        <v>200</v>
      </c>
      <c r="S41" t="s">
        <v>200</v>
      </c>
      <c r="T41" t="s">
        <v>200</v>
      </c>
      <c r="U41" t="s">
        <v>200</v>
      </c>
      <c r="V41" t="s">
        <v>200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200</v>
      </c>
      <c r="AC41" t="s">
        <v>200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s="135" t="str">
        <f t="shared" si="2"/>
        <v>BTG</v>
      </c>
      <c r="AK41" s="135" t="str">
        <f t="shared" si="3"/>
        <v>Moriel Gonzales</v>
      </c>
      <c r="AL41" s="135" t="str">
        <f>_xlfn.XLOOKUP(Campaign_Report[[#This Row],[Campaign]],reference!A:A,reference!B:B)</f>
        <v>Non-Billable</v>
      </c>
    </row>
    <row r="42" spans="1:38">
      <c r="A42" t="s">
        <v>166</v>
      </c>
      <c r="B42" t="s">
        <v>368</v>
      </c>
      <c r="C42" t="s">
        <v>369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0.62809999999999999</v>
      </c>
      <c r="N42">
        <v>0</v>
      </c>
      <c r="O42" t="s">
        <v>200</v>
      </c>
      <c r="P42" t="s">
        <v>200</v>
      </c>
      <c r="Q42" t="s">
        <v>200</v>
      </c>
      <c r="R42" t="s">
        <v>200</v>
      </c>
      <c r="S42" t="s">
        <v>200</v>
      </c>
      <c r="T42" t="s">
        <v>200</v>
      </c>
      <c r="U42" t="s">
        <v>200</v>
      </c>
      <c r="V42" t="s">
        <v>200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200</v>
      </c>
      <c r="AC42" t="s">
        <v>200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s="135" t="str">
        <f t="shared" si="2"/>
        <v>BTG</v>
      </c>
      <c r="AK42" s="135" t="str">
        <f t="shared" si="3"/>
        <v>Rose Manalo</v>
      </c>
      <c r="AL42" s="135" t="str">
        <f>_xlfn.XLOOKUP(Campaign_Report[[#This Row],[Campaign]],reference!A:A,reference!B:B)</f>
        <v>Non-Billable</v>
      </c>
    </row>
    <row r="43" spans="1:38">
      <c r="A43" t="s">
        <v>166</v>
      </c>
      <c r="B43" t="s">
        <v>310</v>
      </c>
      <c r="C43" t="s">
        <v>311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0.42580000000000001</v>
      </c>
      <c r="N43">
        <v>0</v>
      </c>
      <c r="O43" t="s">
        <v>200</v>
      </c>
      <c r="P43" t="s">
        <v>200</v>
      </c>
      <c r="Q43" t="s">
        <v>200</v>
      </c>
      <c r="R43" t="s">
        <v>200</v>
      </c>
      <c r="S43" t="s">
        <v>200</v>
      </c>
      <c r="T43" t="s">
        <v>200</v>
      </c>
      <c r="U43" t="s">
        <v>200</v>
      </c>
      <c r="V43" t="s">
        <v>200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200</v>
      </c>
      <c r="AC43" t="s">
        <v>200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s="135" t="str">
        <f t="shared" si="2"/>
        <v>BTG</v>
      </c>
      <c r="AK43" s="135" t="str">
        <f t="shared" si="3"/>
        <v>Jake Lacerna</v>
      </c>
      <c r="AL43" s="135" t="str">
        <f>_xlfn.XLOOKUP(Campaign_Report[[#This Row],[Campaign]],reference!A:A,reference!B:B)</f>
        <v>Non-Billable</v>
      </c>
    </row>
    <row r="44" spans="1:38">
      <c r="A44" t="s">
        <v>166</v>
      </c>
      <c r="B44" t="s">
        <v>238</v>
      </c>
      <c r="C44" t="s">
        <v>239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0.5706</v>
      </c>
      <c r="N44">
        <v>0</v>
      </c>
      <c r="O44" t="s">
        <v>200</v>
      </c>
      <c r="P44" t="s">
        <v>200</v>
      </c>
      <c r="Q44" t="s">
        <v>200</v>
      </c>
      <c r="R44" t="s">
        <v>200</v>
      </c>
      <c r="S44" t="s">
        <v>200</v>
      </c>
      <c r="T44" t="s">
        <v>200</v>
      </c>
      <c r="U44" t="s">
        <v>200</v>
      </c>
      <c r="V44" t="s">
        <v>200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200</v>
      </c>
      <c r="AC44" t="s">
        <v>200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s="135" t="str">
        <f t="shared" si="2"/>
        <v>ILO</v>
      </c>
      <c r="AK44" s="135" t="str">
        <f t="shared" si="3"/>
        <v xml:space="preserve">	Anthony Escoyala</v>
      </c>
      <c r="AL44" s="135" t="str">
        <f>_xlfn.XLOOKUP(Campaign_Report[[#This Row],[Campaign]],reference!A:A,reference!B:B)</f>
        <v>Non-Billable</v>
      </c>
    </row>
    <row r="45" spans="1:38">
      <c r="A45" t="s">
        <v>166</v>
      </c>
      <c r="B45" t="s">
        <v>315</v>
      </c>
      <c r="C45" t="s">
        <v>316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0.37669999999999998</v>
      </c>
      <c r="N45">
        <v>0</v>
      </c>
      <c r="O45" t="s">
        <v>200</v>
      </c>
      <c r="P45" t="s">
        <v>200</v>
      </c>
      <c r="Q45" t="s">
        <v>200</v>
      </c>
      <c r="R45" t="s">
        <v>200</v>
      </c>
      <c r="S45" t="s">
        <v>200</v>
      </c>
      <c r="T45" t="s">
        <v>200</v>
      </c>
      <c r="U45" t="s">
        <v>200</v>
      </c>
      <c r="V45" t="s">
        <v>200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200</v>
      </c>
      <c r="AC45" t="s">
        <v>200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s="135" t="str">
        <f t="shared" si="2"/>
        <v>ILO</v>
      </c>
      <c r="AK45" s="135" t="str">
        <f t="shared" si="3"/>
        <v xml:space="preserve">	Ashly Ann Dionora</v>
      </c>
      <c r="AL45" s="135" t="str">
        <f>_xlfn.XLOOKUP(Campaign_Report[[#This Row],[Campaign]],reference!A:A,reference!B:B)</f>
        <v>Non-Billable</v>
      </c>
    </row>
    <row r="46" spans="1:38">
      <c r="A46" t="s">
        <v>166</v>
      </c>
      <c r="B46" t="s">
        <v>320</v>
      </c>
      <c r="C46" t="s">
        <v>321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0.54</v>
      </c>
      <c r="N46">
        <v>0</v>
      </c>
      <c r="O46" t="s">
        <v>200</v>
      </c>
      <c r="P46" t="s">
        <v>200</v>
      </c>
      <c r="Q46" t="s">
        <v>200</v>
      </c>
      <c r="R46" t="s">
        <v>200</v>
      </c>
      <c r="S46" t="s">
        <v>200</v>
      </c>
      <c r="T46" t="s">
        <v>200</v>
      </c>
      <c r="U46" t="s">
        <v>200</v>
      </c>
      <c r="V46" t="s">
        <v>200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200</v>
      </c>
      <c r="AC46" t="s">
        <v>200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135" t="str">
        <f t="shared" si="2"/>
        <v>ILO</v>
      </c>
      <c r="AK46" s="135" t="str">
        <f t="shared" si="3"/>
        <v xml:space="preserve">	Diane Clarito</v>
      </c>
      <c r="AL46" s="135" t="str">
        <f>_xlfn.XLOOKUP(Campaign_Report[[#This Row],[Campaign]],reference!A:A,reference!B:B)</f>
        <v>Non-Billable</v>
      </c>
    </row>
    <row r="47" spans="1:38">
      <c r="A47" t="s">
        <v>166</v>
      </c>
      <c r="B47" t="s">
        <v>323</v>
      </c>
      <c r="C47" t="s">
        <v>324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0.35809999999999997</v>
      </c>
      <c r="N47">
        <v>0</v>
      </c>
      <c r="O47" t="s">
        <v>200</v>
      </c>
      <c r="P47" t="s">
        <v>200</v>
      </c>
      <c r="Q47" t="s">
        <v>200</v>
      </c>
      <c r="R47" t="s">
        <v>200</v>
      </c>
      <c r="S47" t="s">
        <v>200</v>
      </c>
      <c r="T47" t="s">
        <v>200</v>
      </c>
      <c r="U47" t="s">
        <v>200</v>
      </c>
      <c r="V47" t="s">
        <v>200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200</v>
      </c>
      <c r="AC47" t="s">
        <v>200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s="135" t="str">
        <f t="shared" si="2"/>
        <v>ILO</v>
      </c>
      <c r="AK47" s="135" t="str">
        <f t="shared" si="3"/>
        <v xml:space="preserve">	Faith Gaticales</v>
      </c>
      <c r="AL47" s="135" t="str">
        <f>_xlfn.XLOOKUP(Campaign_Report[[#This Row],[Campaign]],reference!A:A,reference!B:B)</f>
        <v>Non-Billable</v>
      </c>
    </row>
    <row r="48" spans="1:38">
      <c r="A48" t="s">
        <v>166</v>
      </c>
      <c r="B48" t="s">
        <v>243</v>
      </c>
      <c r="C48" t="s">
        <v>244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0.69189999999999996</v>
      </c>
      <c r="N48">
        <v>0</v>
      </c>
      <c r="O48" t="s">
        <v>200</v>
      </c>
      <c r="P48" t="s">
        <v>200</v>
      </c>
      <c r="Q48" t="s">
        <v>200</v>
      </c>
      <c r="R48" t="s">
        <v>200</v>
      </c>
      <c r="S48" t="s">
        <v>200</v>
      </c>
      <c r="T48" t="s">
        <v>200</v>
      </c>
      <c r="U48" t="s">
        <v>200</v>
      </c>
      <c r="V48" t="s">
        <v>200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200</v>
      </c>
      <c r="AC48" t="s">
        <v>200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s="135" t="str">
        <f t="shared" si="2"/>
        <v>ILO</v>
      </c>
      <c r="AK48" s="135" t="str">
        <f t="shared" si="3"/>
        <v xml:space="preserve">	Jackie Bacting</v>
      </c>
      <c r="AL48" s="135" t="str">
        <f>_xlfn.XLOOKUP(Campaign_Report[[#This Row],[Campaign]],reference!A:A,reference!B:B)</f>
        <v>Non-Billable</v>
      </c>
    </row>
    <row r="49" spans="1:38">
      <c r="A49" t="s">
        <v>166</v>
      </c>
      <c r="B49" t="s">
        <v>329</v>
      </c>
      <c r="C49" t="s">
        <v>330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0.56689999999999996</v>
      </c>
      <c r="N49">
        <v>0</v>
      </c>
      <c r="O49" t="s">
        <v>200</v>
      </c>
      <c r="P49" t="s">
        <v>200</v>
      </c>
      <c r="Q49" t="s">
        <v>200</v>
      </c>
      <c r="R49" t="s">
        <v>200</v>
      </c>
      <c r="S49" t="s">
        <v>200</v>
      </c>
      <c r="T49" t="s">
        <v>200</v>
      </c>
      <c r="U49" t="s">
        <v>200</v>
      </c>
      <c r="V49" t="s">
        <v>200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200</v>
      </c>
      <c r="AC49" t="s">
        <v>200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s="135" t="str">
        <f t="shared" si="2"/>
        <v>ILO</v>
      </c>
      <c r="AK49" s="135" t="str">
        <f t="shared" si="3"/>
        <v xml:space="preserve">	Jessa Luceno</v>
      </c>
      <c r="AL49" s="135" t="str">
        <f>_xlfn.XLOOKUP(Campaign_Report[[#This Row],[Campaign]],reference!A:A,reference!B:B)</f>
        <v>Non-Billable</v>
      </c>
    </row>
    <row r="50" spans="1:38">
      <c r="A50" t="s">
        <v>166</v>
      </c>
      <c r="B50" t="s">
        <v>333</v>
      </c>
      <c r="C50" t="s">
        <v>334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0.50080000000000002</v>
      </c>
      <c r="N50">
        <v>0</v>
      </c>
      <c r="O50" t="s">
        <v>200</v>
      </c>
      <c r="P50" t="s">
        <v>200</v>
      </c>
      <c r="Q50" t="s">
        <v>200</v>
      </c>
      <c r="R50" t="s">
        <v>200</v>
      </c>
      <c r="S50" t="s">
        <v>200</v>
      </c>
      <c r="T50" t="s">
        <v>200</v>
      </c>
      <c r="U50" t="s">
        <v>200</v>
      </c>
      <c r="V50" t="s">
        <v>200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200</v>
      </c>
      <c r="AC50" t="s">
        <v>200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s="135" t="str">
        <f t="shared" si="2"/>
        <v>ILO</v>
      </c>
      <c r="AK50" s="135" t="str">
        <f t="shared" si="3"/>
        <v xml:space="preserve">	Laurice Anne Farid Lima</v>
      </c>
      <c r="AL50" s="135" t="str">
        <f>_xlfn.XLOOKUP(Campaign_Report[[#This Row],[Campaign]],reference!A:A,reference!B:B)</f>
        <v>Non-Billable</v>
      </c>
    </row>
    <row r="51" spans="1:38">
      <c r="A51" t="s">
        <v>166</v>
      </c>
      <c r="B51" t="s">
        <v>336</v>
      </c>
      <c r="C51" t="s">
        <v>337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0.6522</v>
      </c>
      <c r="N51">
        <v>0</v>
      </c>
      <c r="O51" t="s">
        <v>200</v>
      </c>
      <c r="P51" t="s">
        <v>200</v>
      </c>
      <c r="Q51" t="s">
        <v>200</v>
      </c>
      <c r="R51" t="s">
        <v>200</v>
      </c>
      <c r="S51" t="s">
        <v>200</v>
      </c>
      <c r="T51" t="s">
        <v>200</v>
      </c>
      <c r="U51" t="s">
        <v>200</v>
      </c>
      <c r="V51" t="s">
        <v>200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200</v>
      </c>
      <c r="AC51" t="s">
        <v>200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s="135" t="str">
        <f t="shared" si="2"/>
        <v>ILO</v>
      </c>
      <c r="AK51" s="135" t="str">
        <f t="shared" si="3"/>
        <v xml:space="preserve">	Marites Magsalin</v>
      </c>
      <c r="AL51" s="135" t="str">
        <f>_xlfn.XLOOKUP(Campaign_Report[[#This Row],[Campaign]],reference!A:A,reference!B:B)</f>
        <v>Non-Billable</v>
      </c>
    </row>
    <row r="52" spans="1:38">
      <c r="A52" t="s">
        <v>166</v>
      </c>
      <c r="B52" t="s">
        <v>250</v>
      </c>
      <c r="C52" t="s">
        <v>251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0.49</v>
      </c>
      <c r="N52">
        <v>0</v>
      </c>
      <c r="O52" t="s">
        <v>200</v>
      </c>
      <c r="P52" t="s">
        <v>200</v>
      </c>
      <c r="Q52" t="s">
        <v>200</v>
      </c>
      <c r="R52" t="s">
        <v>200</v>
      </c>
      <c r="S52" t="s">
        <v>200</v>
      </c>
      <c r="T52" t="s">
        <v>200</v>
      </c>
      <c r="U52" t="s">
        <v>200</v>
      </c>
      <c r="V52" t="s">
        <v>200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200</v>
      </c>
      <c r="AC52" t="s">
        <v>200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s="135" t="str">
        <f t="shared" si="2"/>
        <v>ILO</v>
      </c>
      <c r="AK52" s="135" t="str">
        <f t="shared" si="3"/>
        <v xml:space="preserve">	Precy Mae Jaruda</v>
      </c>
      <c r="AL52" s="135" t="str">
        <f>_xlfn.XLOOKUP(Campaign_Report[[#This Row],[Campaign]],reference!A:A,reference!B:B)</f>
        <v>Non-Billable</v>
      </c>
    </row>
    <row r="53" spans="1:38">
      <c r="A53" t="s">
        <v>166</v>
      </c>
      <c r="B53" t="s">
        <v>257</v>
      </c>
      <c r="C53" t="s">
        <v>258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0.57140000000000002</v>
      </c>
      <c r="N53">
        <v>0</v>
      </c>
      <c r="O53" t="s">
        <v>200</v>
      </c>
      <c r="P53" t="s">
        <v>200</v>
      </c>
      <c r="Q53" t="s">
        <v>200</v>
      </c>
      <c r="R53" t="s">
        <v>200</v>
      </c>
      <c r="S53" t="s">
        <v>200</v>
      </c>
      <c r="T53" t="s">
        <v>200</v>
      </c>
      <c r="U53" t="s">
        <v>200</v>
      </c>
      <c r="V53" t="s">
        <v>200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200</v>
      </c>
      <c r="AC53" t="s">
        <v>200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s="135" t="str">
        <f t="shared" si="2"/>
        <v>ILO</v>
      </c>
      <c r="AK53" s="135" t="str">
        <f t="shared" si="3"/>
        <v xml:space="preserve">	Reyna Mae Torado</v>
      </c>
      <c r="AL53" s="135" t="str">
        <f>_xlfn.XLOOKUP(Campaign_Report[[#This Row],[Campaign]],reference!A:A,reference!B:B)</f>
        <v>Non-Billable</v>
      </c>
    </row>
    <row r="54" spans="1:38">
      <c r="A54" t="s">
        <v>166</v>
      </c>
      <c r="B54" t="s">
        <v>339</v>
      </c>
      <c r="C54" t="s">
        <v>340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0.40889999999999999</v>
      </c>
      <c r="N54">
        <v>0</v>
      </c>
      <c r="O54" t="s">
        <v>200</v>
      </c>
      <c r="P54" t="s">
        <v>200</v>
      </c>
      <c r="Q54" t="s">
        <v>200</v>
      </c>
      <c r="R54" t="s">
        <v>200</v>
      </c>
      <c r="S54" t="s">
        <v>200</v>
      </c>
      <c r="T54" t="s">
        <v>214</v>
      </c>
      <c r="U54" t="s">
        <v>200</v>
      </c>
      <c r="V54" t="s">
        <v>200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200</v>
      </c>
      <c r="AC54" t="s">
        <v>200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s="135" t="str">
        <f t="shared" si="2"/>
        <v>ILO</v>
      </c>
      <c r="AK54" s="135" t="str">
        <f t="shared" si="3"/>
        <v xml:space="preserve">	Rulf Ejeil Mesa</v>
      </c>
      <c r="AL54" s="135" t="str">
        <f>_xlfn.XLOOKUP(Campaign_Report[[#This Row],[Campaign]],reference!A:A,reference!B:B)</f>
        <v>Non-Billable</v>
      </c>
    </row>
    <row r="55" spans="1:38">
      <c r="A55" t="s">
        <v>166</v>
      </c>
      <c r="B55" t="s">
        <v>343</v>
      </c>
      <c r="C55" t="s">
        <v>344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0.64780000000000004</v>
      </c>
      <c r="N55">
        <v>0</v>
      </c>
      <c r="O55" t="s">
        <v>200</v>
      </c>
      <c r="P55" t="s">
        <v>200</v>
      </c>
      <c r="Q55" t="s">
        <v>200</v>
      </c>
      <c r="R55" t="s">
        <v>200</v>
      </c>
      <c r="S55" t="s">
        <v>200</v>
      </c>
      <c r="T55" t="s">
        <v>200</v>
      </c>
      <c r="U55" t="s">
        <v>200</v>
      </c>
      <c r="V55" t="s">
        <v>200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200</v>
      </c>
      <c r="AC55" t="s">
        <v>200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s="135" t="str">
        <f t="shared" si="2"/>
        <v>ILO</v>
      </c>
      <c r="AK55" s="135" t="str">
        <f t="shared" si="3"/>
        <v>Bon Mark Gonzales</v>
      </c>
      <c r="AL55" s="135" t="str">
        <f>_xlfn.XLOOKUP(Campaign_Report[[#This Row],[Campaign]],reference!A:A,reference!B:B)</f>
        <v>Non-Billable</v>
      </c>
    </row>
    <row r="56" spans="1:38">
      <c r="A56" t="s">
        <v>166</v>
      </c>
      <c r="B56" t="s">
        <v>370</v>
      </c>
      <c r="C56" t="s">
        <v>371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3.5375000000000001</v>
      </c>
      <c r="N56">
        <v>0</v>
      </c>
      <c r="O56" t="s">
        <v>200</v>
      </c>
      <c r="P56" t="s">
        <v>200</v>
      </c>
      <c r="Q56" t="s">
        <v>200</v>
      </c>
      <c r="R56" t="s">
        <v>200</v>
      </c>
      <c r="S56" t="s">
        <v>200</v>
      </c>
      <c r="T56" t="s">
        <v>372</v>
      </c>
      <c r="U56" t="s">
        <v>200</v>
      </c>
      <c r="V56" t="s">
        <v>200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200</v>
      </c>
      <c r="AC56" t="s">
        <v>200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s="135" t="str">
        <f t="shared" si="2"/>
        <v>ILO</v>
      </c>
      <c r="AK56" s="135" t="str">
        <f t="shared" si="3"/>
        <v>Faith Ann Joaquin</v>
      </c>
      <c r="AL56" s="135" t="str">
        <f>_xlfn.XLOOKUP(Campaign_Report[[#This Row],[Campaign]],reference!A:A,reference!B:B)</f>
        <v>Non-Billable</v>
      </c>
    </row>
    <row r="57" spans="1:38">
      <c r="A57" t="s">
        <v>166</v>
      </c>
      <c r="B57" t="s">
        <v>263</v>
      </c>
      <c r="C57" t="s">
        <v>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0.43530000000000002</v>
      </c>
      <c r="N57">
        <v>0</v>
      </c>
      <c r="O57" t="s">
        <v>200</v>
      </c>
      <c r="P57" t="s">
        <v>200</v>
      </c>
      <c r="Q57" t="s">
        <v>200</v>
      </c>
      <c r="R57" t="s">
        <v>200</v>
      </c>
      <c r="S57" t="s">
        <v>200</v>
      </c>
      <c r="T57" t="s">
        <v>200</v>
      </c>
      <c r="U57" t="s">
        <v>200</v>
      </c>
      <c r="V57" t="s">
        <v>200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200</v>
      </c>
      <c r="AC57" t="s">
        <v>200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s="135" t="str">
        <f t="shared" si="2"/>
        <v>ILO</v>
      </c>
      <c r="AK57" s="135" t="str">
        <f t="shared" si="3"/>
        <v>Jeboy Castanaday</v>
      </c>
      <c r="AL57" s="135" t="str">
        <f>_xlfn.XLOOKUP(Campaign_Report[[#This Row],[Campaign]],reference!A:A,reference!B:B)</f>
        <v>Non-Billable</v>
      </c>
    </row>
    <row r="58" spans="1:38">
      <c r="A58" t="s">
        <v>166</v>
      </c>
      <c r="B58" t="s">
        <v>373</v>
      </c>
      <c r="C58" t="s">
        <v>374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3.5411000000000001</v>
      </c>
      <c r="N58">
        <v>0</v>
      </c>
      <c r="O58" t="s">
        <v>200</v>
      </c>
      <c r="P58" t="s">
        <v>200</v>
      </c>
      <c r="Q58" t="s">
        <v>200</v>
      </c>
      <c r="R58" t="s">
        <v>200</v>
      </c>
      <c r="S58" t="s">
        <v>200</v>
      </c>
      <c r="T58" t="s">
        <v>375</v>
      </c>
      <c r="U58" t="s">
        <v>200</v>
      </c>
      <c r="V58" t="s">
        <v>200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200</v>
      </c>
      <c r="AC58" t="s">
        <v>200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s="135" t="str">
        <f t="shared" si="2"/>
        <v>ILO</v>
      </c>
      <c r="AK58" s="135" t="str">
        <f t="shared" si="3"/>
        <v>Jimson Buenaflor</v>
      </c>
      <c r="AL58" s="135" t="str">
        <f>_xlfn.XLOOKUP(Campaign_Report[[#This Row],[Campaign]],reference!A:A,reference!B:B)</f>
        <v>Non-Billable</v>
      </c>
    </row>
    <row r="59" spans="1:38">
      <c r="A59" t="s">
        <v>166</v>
      </c>
      <c r="B59" t="s">
        <v>376</v>
      </c>
      <c r="C59" t="s">
        <v>377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3.5638999999999998</v>
      </c>
      <c r="N59">
        <v>0</v>
      </c>
      <c r="O59" t="s">
        <v>200</v>
      </c>
      <c r="P59" t="s">
        <v>200</v>
      </c>
      <c r="Q59" t="s">
        <v>200</v>
      </c>
      <c r="R59" t="s">
        <v>200</v>
      </c>
      <c r="S59" t="s">
        <v>200</v>
      </c>
      <c r="T59" t="s">
        <v>378</v>
      </c>
      <c r="U59" t="s">
        <v>200</v>
      </c>
      <c r="V59" t="s">
        <v>200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200</v>
      </c>
      <c r="AC59" t="s">
        <v>200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s="135" t="str">
        <f t="shared" si="2"/>
        <v>ILO</v>
      </c>
      <c r="AK59" s="135" t="str">
        <f t="shared" si="3"/>
        <v>John Paul Juanico</v>
      </c>
      <c r="AL59" s="135" t="str">
        <f>_xlfn.XLOOKUP(Campaign_Report[[#This Row],[Campaign]],reference!A:A,reference!B:B)</f>
        <v>Non-Billable</v>
      </c>
    </row>
    <row r="60" spans="1:38">
      <c r="A60" t="s">
        <v>166</v>
      </c>
      <c r="B60" t="s">
        <v>379</v>
      </c>
      <c r="C60" t="s">
        <v>380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3.5428000000000002</v>
      </c>
      <c r="N60">
        <v>0</v>
      </c>
      <c r="O60" t="s">
        <v>200</v>
      </c>
      <c r="P60" t="s">
        <v>200</v>
      </c>
      <c r="Q60" t="s">
        <v>200</v>
      </c>
      <c r="R60" t="s">
        <v>200</v>
      </c>
      <c r="S60" t="s">
        <v>200</v>
      </c>
      <c r="T60" t="s">
        <v>381</v>
      </c>
      <c r="U60" t="s">
        <v>200</v>
      </c>
      <c r="V60" t="s">
        <v>200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200</v>
      </c>
      <c r="AC60" t="s">
        <v>200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135" t="str">
        <f t="shared" si="2"/>
        <v>ILO</v>
      </c>
      <c r="AK60" s="135" t="str">
        <f t="shared" si="3"/>
        <v>Karl Anderson Sillorequez</v>
      </c>
      <c r="AL60" s="135" t="str">
        <f>_xlfn.XLOOKUP(Campaign_Report[[#This Row],[Campaign]],reference!A:A,reference!B:B)</f>
        <v>Non-Billable</v>
      </c>
    </row>
    <row r="61" spans="1:38">
      <c r="A61" t="s">
        <v>166</v>
      </c>
      <c r="B61" t="s">
        <v>269</v>
      </c>
      <c r="C61" t="s">
        <v>270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0.47970000000000002</v>
      </c>
      <c r="N61">
        <v>0</v>
      </c>
      <c r="O61" t="s">
        <v>200</v>
      </c>
      <c r="P61" t="s">
        <v>200</v>
      </c>
      <c r="Q61" t="s">
        <v>200</v>
      </c>
      <c r="R61" t="s">
        <v>200</v>
      </c>
      <c r="S61" t="s">
        <v>200</v>
      </c>
      <c r="T61" t="s">
        <v>200</v>
      </c>
      <c r="U61" t="s">
        <v>200</v>
      </c>
      <c r="V61" t="s">
        <v>200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200</v>
      </c>
      <c r="AC61" t="s">
        <v>200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135" t="str">
        <f t="shared" si="2"/>
        <v>ILO</v>
      </c>
      <c r="AK61" s="135" t="str">
        <f t="shared" si="3"/>
        <v>Lory Mae Arro</v>
      </c>
      <c r="AL61" s="135" t="str">
        <f>_xlfn.XLOOKUP(Campaign_Report[[#This Row],[Campaign]],reference!A:A,reference!B:B)</f>
        <v>Non-Billable</v>
      </c>
    </row>
    <row r="62" spans="1:38">
      <c r="A62" t="s">
        <v>166</v>
      </c>
      <c r="B62" t="s">
        <v>277</v>
      </c>
      <c r="C62" t="s">
        <v>278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0.71060000000000001</v>
      </c>
      <c r="N62">
        <v>0</v>
      </c>
      <c r="O62" t="s">
        <v>200</v>
      </c>
      <c r="P62" t="s">
        <v>200</v>
      </c>
      <c r="Q62" t="s">
        <v>200</v>
      </c>
      <c r="R62" t="s">
        <v>200</v>
      </c>
      <c r="S62" t="s">
        <v>200</v>
      </c>
      <c r="T62" t="s">
        <v>200</v>
      </c>
      <c r="U62" t="s">
        <v>200</v>
      </c>
      <c r="V62" t="s">
        <v>200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200</v>
      </c>
      <c r="AC62" t="s">
        <v>200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s="135" t="str">
        <f t="shared" si="2"/>
        <v>ILO</v>
      </c>
      <c r="AK62" s="135" t="str">
        <f t="shared" si="3"/>
        <v>Regine Escalo</v>
      </c>
      <c r="AL62" s="135" t="str">
        <f>_xlfn.XLOOKUP(Campaign_Report[[#This Row],[Campaign]],reference!A:A,reference!B:B)</f>
        <v>Non-Billable</v>
      </c>
    </row>
    <row r="63" spans="1:38">
      <c r="A63" t="s">
        <v>166</v>
      </c>
      <c r="B63" t="s">
        <v>283</v>
      </c>
      <c r="C63" t="s">
        <v>284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0.53969999999999996</v>
      </c>
      <c r="N63">
        <v>0</v>
      </c>
      <c r="O63" t="s">
        <v>200</v>
      </c>
      <c r="P63" t="s">
        <v>200</v>
      </c>
      <c r="Q63" t="s">
        <v>200</v>
      </c>
      <c r="R63" t="s">
        <v>200</v>
      </c>
      <c r="S63" t="s">
        <v>200</v>
      </c>
      <c r="T63" t="s">
        <v>200</v>
      </c>
      <c r="U63" t="s">
        <v>200</v>
      </c>
      <c r="V63" t="s">
        <v>200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200</v>
      </c>
      <c r="AC63" t="s">
        <v>200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s="135" t="str">
        <f t="shared" si="2"/>
        <v>ILO</v>
      </c>
      <c r="AK63" s="135" t="str">
        <f t="shared" si="3"/>
        <v>Vannesa Gayuna</v>
      </c>
      <c r="AL63" s="135" t="str">
        <f>_xlfn.XLOOKUP(Campaign_Report[[#This Row],[Campaign]],reference!A:A,reference!B:B)</f>
        <v>Non-Billable</v>
      </c>
    </row>
    <row r="64" spans="1:38">
      <c r="A64" t="s">
        <v>189</v>
      </c>
      <c r="B64" t="s">
        <v>364</v>
      </c>
      <c r="C64" t="s">
        <v>365</v>
      </c>
      <c r="D64">
        <v>22</v>
      </c>
      <c r="E64">
        <v>17.623968597291999</v>
      </c>
      <c r="F64">
        <v>0.77110000000000001</v>
      </c>
      <c r="G64">
        <v>0.22305555555556</v>
      </c>
      <c r="H64">
        <v>1</v>
      </c>
      <c r="I64">
        <v>4.5454545454544998E-2</v>
      </c>
      <c r="J64">
        <v>0.80108948169510996</v>
      </c>
      <c r="K64">
        <v>0</v>
      </c>
      <c r="L64">
        <v>0</v>
      </c>
      <c r="M64">
        <v>1.2483</v>
      </c>
      <c r="N64">
        <v>0.61772009933509997</v>
      </c>
      <c r="O64" t="s">
        <v>247</v>
      </c>
      <c r="P64" t="s">
        <v>382</v>
      </c>
      <c r="Q64" t="s">
        <v>383</v>
      </c>
      <c r="R64" t="s">
        <v>220</v>
      </c>
      <c r="S64" t="s">
        <v>200</v>
      </c>
      <c r="T64" t="s">
        <v>200</v>
      </c>
      <c r="U64" t="s">
        <v>200</v>
      </c>
      <c r="V64" t="s">
        <v>200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200</v>
      </c>
      <c r="AC64" t="s">
        <v>200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s="135" t="str">
        <f t="shared" si="2"/>
        <v>BTG</v>
      </c>
      <c r="AK64" s="135" t="str">
        <f t="shared" si="3"/>
        <v>Angela Pearl Sabido</v>
      </c>
      <c r="AL64" s="135" t="str">
        <f>_xlfn.XLOOKUP(Campaign_Report[[#This Row],[Campaign]],reference!A:A,reference!B:B)</f>
        <v>Patient Call</v>
      </c>
    </row>
    <row r="65" spans="1:38">
      <c r="A65" t="s">
        <v>189</v>
      </c>
      <c r="B65" t="s">
        <v>384</v>
      </c>
      <c r="C65" t="s">
        <v>385</v>
      </c>
      <c r="D65">
        <v>41</v>
      </c>
      <c r="E65">
        <v>12.053860175222001</v>
      </c>
      <c r="F65">
        <v>2.7021999999999999</v>
      </c>
      <c r="G65">
        <v>0.15055555555555999</v>
      </c>
      <c r="H65">
        <v>0</v>
      </c>
      <c r="I65">
        <v>0</v>
      </c>
      <c r="J65">
        <v>0</v>
      </c>
      <c r="K65">
        <v>0</v>
      </c>
      <c r="L65">
        <v>0</v>
      </c>
      <c r="M65">
        <v>3.4014000000000002</v>
      </c>
      <c r="N65">
        <v>0.79443758452402002</v>
      </c>
      <c r="O65" t="s">
        <v>281</v>
      </c>
      <c r="P65" t="s">
        <v>386</v>
      </c>
      <c r="Q65" t="s">
        <v>387</v>
      </c>
      <c r="R65" t="s">
        <v>260</v>
      </c>
      <c r="S65" t="s">
        <v>200</v>
      </c>
      <c r="T65" t="s">
        <v>388</v>
      </c>
      <c r="U65" t="s">
        <v>200</v>
      </c>
      <c r="V65" t="s">
        <v>200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200</v>
      </c>
      <c r="AC65" t="s">
        <v>200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s="135" t="str">
        <f t="shared" si="2"/>
        <v>BTG</v>
      </c>
      <c r="AK65" s="135" t="str">
        <f t="shared" si="3"/>
        <v>Catherine Recinto</v>
      </c>
      <c r="AL65" s="135" t="str">
        <f>_xlfn.XLOOKUP(Campaign_Report[[#This Row],[Campaign]],reference!A:A,reference!B:B)</f>
        <v>Patient Call</v>
      </c>
    </row>
    <row r="66" spans="1:38">
      <c r="A66" t="s">
        <v>189</v>
      </c>
      <c r="B66" t="s">
        <v>389</v>
      </c>
      <c r="C66" t="s">
        <v>390</v>
      </c>
      <c r="D66">
        <v>48</v>
      </c>
      <c r="E66">
        <v>15.504877576070999</v>
      </c>
      <c r="F66">
        <v>2.0733000000000001</v>
      </c>
      <c r="G66">
        <v>0.26</v>
      </c>
      <c r="H66">
        <v>2</v>
      </c>
      <c r="I66">
        <v>4.1666666666666997E-2</v>
      </c>
      <c r="J66">
        <v>0.64603656566961998</v>
      </c>
      <c r="K66">
        <v>0</v>
      </c>
      <c r="L66">
        <v>0</v>
      </c>
      <c r="M66">
        <v>3.0958000000000001</v>
      </c>
      <c r="N66">
        <v>0.66971380580141004</v>
      </c>
      <c r="O66" t="s">
        <v>247</v>
      </c>
      <c r="P66" t="s">
        <v>391</v>
      </c>
      <c r="Q66" t="s">
        <v>392</v>
      </c>
      <c r="R66" t="s">
        <v>393</v>
      </c>
      <c r="S66" t="s">
        <v>200</v>
      </c>
      <c r="T66" t="s">
        <v>394</v>
      </c>
      <c r="U66" t="s">
        <v>200</v>
      </c>
      <c r="V66" t="s">
        <v>200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200</v>
      </c>
      <c r="AC66" t="s">
        <v>200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s="135" t="str">
        <f t="shared" ref="AJ66:AJ79" si="4">LEFT(B66,3)</f>
        <v>BTG</v>
      </c>
      <c r="AK66" s="135" t="str">
        <f t="shared" ref="AK66:AK79" si="5">TRIM(RIGHT(B66, LEN(B66)-3))</f>
        <v>Fatima Cuenca</v>
      </c>
      <c r="AL66" s="135" t="str">
        <f>_xlfn.XLOOKUP(Campaign_Report[[#This Row],[Campaign]],reference!A:A,reference!B:B)</f>
        <v>Patient Call</v>
      </c>
    </row>
    <row r="67" spans="1:38">
      <c r="A67" t="s">
        <v>189</v>
      </c>
      <c r="B67" t="s">
        <v>348</v>
      </c>
      <c r="C67" t="s">
        <v>349</v>
      </c>
      <c r="D67">
        <v>15</v>
      </c>
      <c r="E67">
        <v>10.322758241001999</v>
      </c>
      <c r="F67">
        <v>1.0072000000000001</v>
      </c>
      <c r="G67">
        <v>3.5000000000000003E-2</v>
      </c>
      <c r="H67">
        <v>1</v>
      </c>
      <c r="I67">
        <v>6.6666666666666999E-2</v>
      </c>
      <c r="J67">
        <v>0.68818388273346998</v>
      </c>
      <c r="K67">
        <v>0</v>
      </c>
      <c r="L67">
        <v>0</v>
      </c>
      <c r="M67">
        <v>1.4531000000000001</v>
      </c>
      <c r="N67">
        <v>0.69313880668914996</v>
      </c>
      <c r="O67" t="s">
        <v>319</v>
      </c>
      <c r="P67" t="s">
        <v>386</v>
      </c>
      <c r="Q67" t="s">
        <v>395</v>
      </c>
      <c r="R67" t="s">
        <v>261</v>
      </c>
      <c r="S67" t="s">
        <v>200</v>
      </c>
      <c r="T67" t="s">
        <v>200</v>
      </c>
      <c r="U67" t="s">
        <v>200</v>
      </c>
      <c r="V67" t="s">
        <v>200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200</v>
      </c>
      <c r="AC67" t="s">
        <v>200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s="135" t="str">
        <f t="shared" si="4"/>
        <v>BTG</v>
      </c>
      <c r="AK67" s="135" t="str">
        <f t="shared" si="5"/>
        <v>Keith Aurea</v>
      </c>
      <c r="AL67" s="135" t="str">
        <f>_xlfn.XLOOKUP(Campaign_Report[[#This Row],[Campaign]],reference!A:A,reference!B:B)</f>
        <v>Patient Call</v>
      </c>
    </row>
    <row r="68" spans="1:38">
      <c r="A68" t="s">
        <v>189</v>
      </c>
      <c r="B68" t="s">
        <v>396</v>
      </c>
      <c r="C68" t="s">
        <v>397</v>
      </c>
      <c r="D68">
        <v>49</v>
      </c>
      <c r="E68">
        <v>14.971889513566</v>
      </c>
      <c r="F68">
        <v>2.6206</v>
      </c>
      <c r="G68">
        <v>8.9166666666667005E-2</v>
      </c>
      <c r="H68">
        <v>2</v>
      </c>
      <c r="I68">
        <v>4.0816326530611999E-2</v>
      </c>
      <c r="J68">
        <v>0.61109753116596999</v>
      </c>
      <c r="K68">
        <v>0</v>
      </c>
      <c r="L68">
        <v>0</v>
      </c>
      <c r="M68">
        <v>3.2728000000000002</v>
      </c>
      <c r="N68">
        <v>0.80072109508678002</v>
      </c>
      <c r="O68" t="s">
        <v>247</v>
      </c>
      <c r="P68" t="s">
        <v>398</v>
      </c>
      <c r="Q68" t="s">
        <v>399</v>
      </c>
      <c r="R68" t="s">
        <v>207</v>
      </c>
      <c r="S68" t="s">
        <v>200</v>
      </c>
      <c r="T68" t="s">
        <v>400</v>
      </c>
      <c r="U68" t="s">
        <v>200</v>
      </c>
      <c r="V68" t="s">
        <v>200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200</v>
      </c>
      <c r="AC68" t="s">
        <v>200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s="135" t="str">
        <f t="shared" si="4"/>
        <v>BTG</v>
      </c>
      <c r="AK68" s="135" t="str">
        <f t="shared" si="5"/>
        <v>Lyka Alpitche</v>
      </c>
      <c r="AL68" s="135" t="str">
        <f>_xlfn.XLOOKUP(Campaign_Report[[#This Row],[Campaign]],reference!A:A,reference!B:B)</f>
        <v>Patient Call</v>
      </c>
    </row>
    <row r="69" spans="1:38">
      <c r="A69" t="s">
        <v>189</v>
      </c>
      <c r="B69" t="s">
        <v>366</v>
      </c>
      <c r="C69" t="s">
        <v>367</v>
      </c>
      <c r="D69">
        <v>21</v>
      </c>
      <c r="E69">
        <v>15.03006012024</v>
      </c>
      <c r="F69">
        <v>1.1736</v>
      </c>
      <c r="G69">
        <v>2.2499999999999999E-2</v>
      </c>
      <c r="H69">
        <v>1</v>
      </c>
      <c r="I69">
        <v>4.7619047619047998E-2</v>
      </c>
      <c r="J69">
        <v>0.71571714858288005</v>
      </c>
      <c r="K69">
        <v>0</v>
      </c>
      <c r="L69">
        <v>0</v>
      </c>
      <c r="M69">
        <v>1.3972</v>
      </c>
      <c r="N69">
        <v>0.83996564557687003</v>
      </c>
      <c r="O69" t="s">
        <v>247</v>
      </c>
      <c r="P69" t="s">
        <v>401</v>
      </c>
      <c r="Q69" t="s">
        <v>402</v>
      </c>
      <c r="R69" t="s">
        <v>214</v>
      </c>
      <c r="S69" t="s">
        <v>200</v>
      </c>
      <c r="T69" t="s">
        <v>200</v>
      </c>
      <c r="U69" t="s">
        <v>200</v>
      </c>
      <c r="V69" t="s">
        <v>200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200</v>
      </c>
      <c r="AC69" t="s">
        <v>200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s="135" t="str">
        <f t="shared" si="4"/>
        <v>BTG</v>
      </c>
      <c r="AK69" s="135" t="str">
        <f t="shared" si="5"/>
        <v>Maria Gupit</v>
      </c>
      <c r="AL69" s="135" t="str">
        <f>_xlfn.XLOOKUP(Campaign_Report[[#This Row],[Campaign]],reference!A:A,reference!B:B)</f>
        <v>Patient Call</v>
      </c>
    </row>
    <row r="70" spans="1:38">
      <c r="A70" t="s">
        <v>189</v>
      </c>
      <c r="B70" t="s">
        <v>351</v>
      </c>
      <c r="C70" t="s">
        <v>352</v>
      </c>
      <c r="D70">
        <v>18</v>
      </c>
      <c r="E70">
        <v>11.968880909635001</v>
      </c>
      <c r="F70">
        <v>1.1689000000000001</v>
      </c>
      <c r="G70">
        <v>1.7777777777778E-2</v>
      </c>
      <c r="H70">
        <v>2</v>
      </c>
      <c r="I70">
        <v>0.11111111111110999</v>
      </c>
      <c r="J70">
        <v>1.3298756566261001</v>
      </c>
      <c r="K70">
        <v>0</v>
      </c>
      <c r="L70">
        <v>0</v>
      </c>
      <c r="M70">
        <v>1.5039</v>
      </c>
      <c r="N70">
        <v>0.77724582751513005</v>
      </c>
      <c r="O70" t="s">
        <v>247</v>
      </c>
      <c r="P70" t="s">
        <v>387</v>
      </c>
      <c r="Q70" t="s">
        <v>403</v>
      </c>
      <c r="R70" t="s">
        <v>214</v>
      </c>
      <c r="S70" t="s">
        <v>200</v>
      </c>
      <c r="T70" t="s">
        <v>200</v>
      </c>
      <c r="U70" t="s">
        <v>200</v>
      </c>
      <c r="V70" t="s">
        <v>200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200</v>
      </c>
      <c r="AC70" t="s">
        <v>200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s="135" t="str">
        <f t="shared" si="4"/>
        <v>BTG</v>
      </c>
      <c r="AK70" s="135" t="str">
        <f t="shared" si="5"/>
        <v>Moriel Gonzales</v>
      </c>
      <c r="AL70" s="135" t="str">
        <f>_xlfn.XLOOKUP(Campaign_Report[[#This Row],[Campaign]],reference!A:A,reference!B:B)</f>
        <v>Patient Call</v>
      </c>
    </row>
    <row r="71" spans="1:38">
      <c r="A71" t="s">
        <v>189</v>
      </c>
      <c r="B71" t="s">
        <v>404</v>
      </c>
      <c r="C71" t="s">
        <v>405</v>
      </c>
      <c r="D71">
        <v>29</v>
      </c>
      <c r="E71">
        <v>18.513789581205</v>
      </c>
      <c r="F71">
        <v>1.0761000000000001</v>
      </c>
      <c r="G71">
        <v>4.5277777777778E-2</v>
      </c>
      <c r="H71">
        <v>1</v>
      </c>
      <c r="I71">
        <v>3.4482758620690002E-2</v>
      </c>
      <c r="J71">
        <v>0.63840653728293995</v>
      </c>
      <c r="K71">
        <v>0</v>
      </c>
      <c r="L71">
        <v>0</v>
      </c>
      <c r="M71">
        <v>1.5664</v>
      </c>
      <c r="N71">
        <v>0.68698927477017002</v>
      </c>
      <c r="O71" t="s">
        <v>281</v>
      </c>
      <c r="P71" t="s">
        <v>406</v>
      </c>
      <c r="Q71" t="s">
        <v>407</v>
      </c>
      <c r="R71" t="s">
        <v>199</v>
      </c>
      <c r="S71" t="s">
        <v>200</v>
      </c>
      <c r="T71" t="s">
        <v>200</v>
      </c>
      <c r="U71" t="s">
        <v>200</v>
      </c>
      <c r="V71" t="s">
        <v>200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200</v>
      </c>
      <c r="AC71" t="s">
        <v>200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s="135" t="str">
        <f t="shared" si="4"/>
        <v>BTG</v>
      </c>
      <c r="AK71" s="135" t="str">
        <f t="shared" si="5"/>
        <v>Patrick Tubato</v>
      </c>
      <c r="AL71" s="135" t="str">
        <f>_xlfn.XLOOKUP(Campaign_Report[[#This Row],[Campaign]],reference!A:A,reference!B:B)</f>
        <v>Patient Call</v>
      </c>
    </row>
    <row r="72" spans="1:38">
      <c r="A72" t="s">
        <v>189</v>
      </c>
      <c r="B72" t="s">
        <v>408</v>
      </c>
      <c r="C72" t="s">
        <v>409</v>
      </c>
      <c r="D72">
        <v>39</v>
      </c>
      <c r="E72">
        <v>11.422211808809999</v>
      </c>
      <c r="F72">
        <v>2.9906000000000001</v>
      </c>
      <c r="G72">
        <v>4.2500000000000003E-2</v>
      </c>
      <c r="H72">
        <v>0</v>
      </c>
      <c r="I72">
        <v>0</v>
      </c>
      <c r="J72">
        <v>0</v>
      </c>
      <c r="K72">
        <v>0</v>
      </c>
      <c r="L72">
        <v>0</v>
      </c>
      <c r="M72">
        <v>3.4144000000000001</v>
      </c>
      <c r="N72">
        <v>0.87587863167760005</v>
      </c>
      <c r="O72" t="s">
        <v>247</v>
      </c>
      <c r="P72" t="s">
        <v>410</v>
      </c>
      <c r="Q72" t="s">
        <v>411</v>
      </c>
      <c r="R72" t="s">
        <v>214</v>
      </c>
      <c r="S72" t="s">
        <v>200</v>
      </c>
      <c r="T72" t="s">
        <v>412</v>
      </c>
      <c r="U72" t="s">
        <v>200</v>
      </c>
      <c r="V72" t="s">
        <v>200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200</v>
      </c>
      <c r="AC72" t="s">
        <v>200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s="135" t="str">
        <f t="shared" si="4"/>
        <v>BTG</v>
      </c>
      <c r="AK72" s="135" t="str">
        <f t="shared" si="5"/>
        <v>Rolysies Olbes</v>
      </c>
      <c r="AL72" s="135" t="str">
        <f>_xlfn.XLOOKUP(Campaign_Report[[#This Row],[Campaign]],reference!A:A,reference!B:B)</f>
        <v>Patient Call</v>
      </c>
    </row>
    <row r="73" spans="1:38">
      <c r="A73" t="s">
        <v>189</v>
      </c>
      <c r="B73" t="s">
        <v>368</v>
      </c>
      <c r="C73" t="s">
        <v>369</v>
      </c>
      <c r="D73">
        <v>27</v>
      </c>
      <c r="E73">
        <v>10.199456029012</v>
      </c>
      <c r="F73">
        <v>2.2875000000000001</v>
      </c>
      <c r="G73">
        <v>8.0833333333332993E-2</v>
      </c>
      <c r="H73">
        <v>4</v>
      </c>
      <c r="I73">
        <v>0.14814814814815</v>
      </c>
      <c r="J73">
        <v>1.5110305228166001</v>
      </c>
      <c r="K73">
        <v>0</v>
      </c>
      <c r="L73">
        <v>0</v>
      </c>
      <c r="M73">
        <v>2.6472000000000002</v>
      </c>
      <c r="N73">
        <v>0.86412058023572003</v>
      </c>
      <c r="O73" t="s">
        <v>247</v>
      </c>
      <c r="P73" t="s">
        <v>413</v>
      </c>
      <c r="Q73" t="s">
        <v>414</v>
      </c>
      <c r="R73" t="s">
        <v>319</v>
      </c>
      <c r="S73" t="s">
        <v>200</v>
      </c>
      <c r="T73" t="s">
        <v>415</v>
      </c>
      <c r="U73" t="s">
        <v>200</v>
      </c>
      <c r="V73" t="s">
        <v>200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200</v>
      </c>
      <c r="AC73" t="s">
        <v>200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s="135" t="str">
        <f t="shared" si="4"/>
        <v>BTG</v>
      </c>
      <c r="AK73" s="135" t="str">
        <f t="shared" si="5"/>
        <v>Rose Manalo</v>
      </c>
      <c r="AL73" s="135" t="str">
        <f>_xlfn.XLOOKUP(Campaign_Report[[#This Row],[Campaign]],reference!A:A,reference!B:B)</f>
        <v>Patient Call</v>
      </c>
    </row>
    <row r="74" spans="1:38">
      <c r="A74" t="s">
        <v>189</v>
      </c>
      <c r="B74" t="s">
        <v>357</v>
      </c>
      <c r="C74" t="s">
        <v>358</v>
      </c>
      <c r="D74">
        <v>15</v>
      </c>
      <c r="E74">
        <v>11.553570053146</v>
      </c>
      <c r="F74">
        <v>1.105</v>
      </c>
      <c r="G74">
        <v>3.3888888888889003E-2</v>
      </c>
      <c r="H74">
        <v>1</v>
      </c>
      <c r="I74">
        <v>6.6666666666666999E-2</v>
      </c>
      <c r="J74">
        <v>0.77023800354309013</v>
      </c>
      <c r="K74">
        <v>0</v>
      </c>
      <c r="L74">
        <v>0</v>
      </c>
      <c r="M74">
        <v>1.2983</v>
      </c>
      <c r="N74">
        <v>0.85111299391511996</v>
      </c>
      <c r="O74" t="s">
        <v>281</v>
      </c>
      <c r="P74" t="s">
        <v>416</v>
      </c>
      <c r="Q74" t="s">
        <v>345</v>
      </c>
      <c r="R74" t="s">
        <v>261</v>
      </c>
      <c r="S74" t="s">
        <v>200</v>
      </c>
      <c r="T74" t="s">
        <v>200</v>
      </c>
      <c r="U74" t="s">
        <v>200</v>
      </c>
      <c r="V74" t="s">
        <v>200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200</v>
      </c>
      <c r="AC74" t="s">
        <v>200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s="135" t="str">
        <f t="shared" si="4"/>
        <v>BTG</v>
      </c>
      <c r="AK74" s="135" t="str">
        <f t="shared" si="5"/>
        <v>Vil Pagsanjan</v>
      </c>
      <c r="AL74" s="135" t="str">
        <f>_xlfn.XLOOKUP(Campaign_Report[[#This Row],[Campaign]],reference!A:A,reference!B:B)</f>
        <v>Patient Call</v>
      </c>
    </row>
    <row r="75" spans="1:38">
      <c r="A75" t="s">
        <v>189</v>
      </c>
      <c r="B75" t="s">
        <v>417</v>
      </c>
      <c r="C75" t="s">
        <v>418</v>
      </c>
      <c r="D75">
        <v>22</v>
      </c>
      <c r="E75">
        <v>14.542570068747001</v>
      </c>
      <c r="F75">
        <v>1.2644</v>
      </c>
      <c r="G75">
        <v>6.5277777777778004E-2</v>
      </c>
      <c r="H75">
        <v>1</v>
      </c>
      <c r="I75">
        <v>4.5454545454544998E-2</v>
      </c>
      <c r="J75">
        <v>0.66102591221576001</v>
      </c>
      <c r="K75">
        <v>0</v>
      </c>
      <c r="L75">
        <v>0</v>
      </c>
      <c r="M75">
        <v>1.5127999999999999</v>
      </c>
      <c r="N75">
        <v>0.83580116340560995</v>
      </c>
      <c r="O75" t="s">
        <v>247</v>
      </c>
      <c r="P75" t="s">
        <v>419</v>
      </c>
      <c r="Q75" t="s">
        <v>420</v>
      </c>
      <c r="R75" t="s">
        <v>319</v>
      </c>
      <c r="S75" t="s">
        <v>200</v>
      </c>
      <c r="T75" t="s">
        <v>200</v>
      </c>
      <c r="U75" t="s">
        <v>200</v>
      </c>
      <c r="V75" t="s">
        <v>200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200</v>
      </c>
      <c r="AC75" t="s">
        <v>200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s="135" t="str">
        <f t="shared" si="4"/>
        <v>BTG</v>
      </c>
      <c r="AK75" s="135" t="str">
        <f t="shared" si="5"/>
        <v>Vince DeVeza</v>
      </c>
      <c r="AL75" s="135" t="str">
        <f>_xlfn.XLOOKUP(Campaign_Report[[#This Row],[Campaign]],reference!A:A,reference!B:B)</f>
        <v>Patient Call</v>
      </c>
    </row>
    <row r="76" spans="1:38">
      <c r="A76" t="s">
        <v>189</v>
      </c>
      <c r="B76" t="s">
        <v>343</v>
      </c>
      <c r="C76" t="s">
        <v>344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1.1000000000000001E-3</v>
      </c>
      <c r="N76">
        <v>0</v>
      </c>
      <c r="O76" t="s">
        <v>200</v>
      </c>
      <c r="P76" t="s">
        <v>200</v>
      </c>
      <c r="Q76" t="s">
        <v>200</v>
      </c>
      <c r="R76" t="s">
        <v>200</v>
      </c>
      <c r="S76" t="s">
        <v>200</v>
      </c>
      <c r="T76" t="s">
        <v>200</v>
      </c>
      <c r="U76" t="s">
        <v>200</v>
      </c>
      <c r="V76" t="s">
        <v>200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200</v>
      </c>
      <c r="AC76" t="s">
        <v>200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s="135" t="str">
        <f t="shared" si="4"/>
        <v>ILO</v>
      </c>
      <c r="AK76" s="135" t="str">
        <f t="shared" si="5"/>
        <v>Bon Mark Gonzales</v>
      </c>
      <c r="AL76" s="135" t="str">
        <f>_xlfn.XLOOKUP(Campaign_Report[[#This Row],[Campaign]],reference!A:A,reference!B:B)</f>
        <v>Patient Call</v>
      </c>
    </row>
    <row r="77" spans="1:38">
      <c r="A77" t="s">
        <v>170</v>
      </c>
      <c r="B77" t="s">
        <v>320</v>
      </c>
      <c r="C77" t="s">
        <v>321</v>
      </c>
      <c r="D77">
        <v>26</v>
      </c>
      <c r="E77">
        <v>10.019267822735999</v>
      </c>
      <c r="F77">
        <v>1.9558</v>
      </c>
      <c r="G77">
        <v>0.18305555555556</v>
      </c>
      <c r="H77">
        <v>0</v>
      </c>
      <c r="I77">
        <v>0</v>
      </c>
      <c r="J77">
        <v>0</v>
      </c>
      <c r="K77">
        <v>0</v>
      </c>
      <c r="L77">
        <v>0</v>
      </c>
      <c r="M77">
        <v>2.5950000000000002</v>
      </c>
      <c r="N77">
        <v>0.75368015414258005</v>
      </c>
      <c r="O77" t="s">
        <v>247</v>
      </c>
      <c r="P77" t="s">
        <v>421</v>
      </c>
      <c r="Q77" t="s">
        <v>422</v>
      </c>
      <c r="R77" t="s">
        <v>266</v>
      </c>
      <c r="S77" t="s">
        <v>200</v>
      </c>
      <c r="T77" t="s">
        <v>423</v>
      </c>
      <c r="U77" t="s">
        <v>200</v>
      </c>
      <c r="V77" t="s">
        <v>200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200</v>
      </c>
      <c r="AC77" t="s">
        <v>200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s="135" t="str">
        <f t="shared" si="4"/>
        <v>ILO</v>
      </c>
      <c r="AK77" s="135" t="str">
        <f t="shared" si="5"/>
        <v xml:space="preserve">	Diane Clarito</v>
      </c>
      <c r="AL77" s="135" t="str">
        <f>_xlfn.XLOOKUP(Campaign_Report[[#This Row],[Campaign]],reference!A:A,reference!B:B)</f>
        <v>Rework</v>
      </c>
    </row>
    <row r="78" spans="1:38">
      <c r="A78" t="s">
        <v>170</v>
      </c>
      <c r="B78" t="s">
        <v>333</v>
      </c>
      <c r="C78" t="s">
        <v>334</v>
      </c>
      <c r="D78">
        <v>20</v>
      </c>
      <c r="E78">
        <v>9.5047999239616008</v>
      </c>
      <c r="F78">
        <v>1.6318999999999999</v>
      </c>
      <c r="G78">
        <v>0.21694444444444</v>
      </c>
      <c r="H78">
        <v>0</v>
      </c>
      <c r="I78">
        <v>0</v>
      </c>
      <c r="J78">
        <v>0</v>
      </c>
      <c r="K78">
        <v>0</v>
      </c>
      <c r="L78">
        <v>0</v>
      </c>
      <c r="M78">
        <v>2.1042000000000001</v>
      </c>
      <c r="N78">
        <v>0.77554414979565012</v>
      </c>
      <c r="O78" t="s">
        <v>247</v>
      </c>
      <c r="P78" t="s">
        <v>423</v>
      </c>
      <c r="Q78" t="s">
        <v>424</v>
      </c>
      <c r="R78" t="s">
        <v>225</v>
      </c>
      <c r="S78" t="s">
        <v>200</v>
      </c>
      <c r="T78" t="s">
        <v>425</v>
      </c>
      <c r="U78" t="s">
        <v>200</v>
      </c>
      <c r="V78" t="s">
        <v>200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200</v>
      </c>
      <c r="AC78" t="s">
        <v>200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s="135" t="str">
        <f t="shared" si="4"/>
        <v>ILO</v>
      </c>
      <c r="AK78" s="135" t="str">
        <f t="shared" si="5"/>
        <v xml:space="preserve">	Laurice Anne Farid Lima</v>
      </c>
      <c r="AL78" s="135" t="str">
        <f>_xlfn.XLOOKUP(Campaign_Report[[#This Row],[Campaign]],reference!A:A,reference!B:B)</f>
        <v>Rework</v>
      </c>
    </row>
    <row r="79" spans="1:38">
      <c r="A79" t="s">
        <v>170</v>
      </c>
      <c r="B79" t="s">
        <v>343</v>
      </c>
      <c r="C79" t="s">
        <v>344</v>
      </c>
      <c r="D79">
        <v>17</v>
      </c>
      <c r="E79">
        <v>8.9135906040267994</v>
      </c>
      <c r="F79">
        <v>1.5947</v>
      </c>
      <c r="G79">
        <v>0.10638888888889</v>
      </c>
      <c r="H79">
        <v>0</v>
      </c>
      <c r="I79">
        <v>0</v>
      </c>
      <c r="J79">
        <v>0</v>
      </c>
      <c r="K79">
        <v>0</v>
      </c>
      <c r="L79">
        <v>0</v>
      </c>
      <c r="M79">
        <v>1.9072</v>
      </c>
      <c r="N79">
        <v>0.83614723154362003</v>
      </c>
      <c r="O79" t="s">
        <v>247</v>
      </c>
      <c r="P79" t="s">
        <v>426</v>
      </c>
      <c r="Q79" t="s">
        <v>427</v>
      </c>
      <c r="R79" t="s">
        <v>272</v>
      </c>
      <c r="S79" t="s">
        <v>200</v>
      </c>
      <c r="T79" t="s">
        <v>428</v>
      </c>
      <c r="U79" t="s">
        <v>200</v>
      </c>
      <c r="V79" t="s">
        <v>200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200</v>
      </c>
      <c r="AC79" t="s">
        <v>200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s="135" t="str">
        <f t="shared" si="4"/>
        <v>ILO</v>
      </c>
      <c r="AK79" s="135" t="str">
        <f t="shared" si="5"/>
        <v>Bon Mark Gonzales</v>
      </c>
      <c r="AL79" s="135" t="str">
        <f>_xlfn.XLOOKUP(Campaign_Report[[#This Row],[Campaign]],reference!A:A,reference!B:B)</f>
        <v>Rework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558C-B524-4DD3-8442-CEEC4B731939}">
  <dimension ref="A1:Z35"/>
  <sheetViews>
    <sheetView zoomScale="85" zoomScaleNormal="85" workbookViewId="0">
      <pane ySplit="1" topLeftCell="A2" activePane="bottomLeft" state="frozen"/>
      <selection activeCell="AI1" sqref="AI1"/>
      <selection pane="bottomLeft" activeCell="T2" sqref="T2"/>
    </sheetView>
  </sheetViews>
  <sheetFormatPr defaultRowHeight="13.2"/>
  <cols>
    <col min="1" max="1" width="17.44140625" customWidth="1"/>
    <col min="2" max="3" width="10.6640625" customWidth="1"/>
    <col min="4" max="4" width="14.33203125" bestFit="1" customWidth="1"/>
    <col min="5" max="5" width="10.6640625" customWidth="1"/>
    <col min="6" max="6" width="1.5546875" customWidth="1"/>
    <col min="7" max="7" width="17.44140625" customWidth="1"/>
    <col min="8" max="9" width="10.6640625" customWidth="1"/>
    <col min="10" max="10" width="14.33203125" bestFit="1" customWidth="1"/>
    <col min="11" max="11" width="10.6640625" customWidth="1"/>
    <col min="12" max="12" width="1.5546875" customWidth="1"/>
    <col min="13" max="13" width="17.44140625" customWidth="1"/>
    <col min="14" max="15" width="10.6640625" customWidth="1"/>
    <col min="16" max="16" width="14.33203125" bestFit="1" customWidth="1"/>
    <col min="17" max="17" width="10.6640625" customWidth="1"/>
    <col min="18" max="18" width="1.5546875" customWidth="1"/>
    <col min="19" max="19" width="25" bestFit="1" customWidth="1"/>
    <col min="20" max="20" width="19" bestFit="1" customWidth="1"/>
    <col min="21" max="21" width="12" bestFit="1" customWidth="1"/>
    <col min="22" max="22" width="12.109375" bestFit="1" customWidth="1"/>
    <col min="23" max="23" width="13.5546875" bestFit="1" customWidth="1"/>
    <col min="24" max="24" width="17" bestFit="1" customWidth="1"/>
    <col min="25" max="25" width="11.5546875" bestFit="1" customWidth="1"/>
    <col min="26" max="26" width="11.44140625" bestFit="1" customWidth="1"/>
  </cols>
  <sheetData>
    <row r="1" spans="1:26" ht="13.8" thickBot="1">
      <c r="A1" s="102" t="s">
        <v>117</v>
      </c>
      <c r="B1" s="103" t="s">
        <v>118</v>
      </c>
      <c r="C1" s="104" t="s">
        <v>119</v>
      </c>
      <c r="D1" s="103" t="s">
        <v>157</v>
      </c>
      <c r="E1" s="73" t="s">
        <v>120</v>
      </c>
      <c r="G1" s="102" t="s">
        <v>121</v>
      </c>
      <c r="H1" s="103" t="s">
        <v>118</v>
      </c>
      <c r="I1" s="104" t="s">
        <v>119</v>
      </c>
      <c r="J1" s="103" t="s">
        <v>157</v>
      </c>
      <c r="K1" s="73" t="s">
        <v>120</v>
      </c>
      <c r="M1" s="102" t="s">
        <v>122</v>
      </c>
      <c r="N1" s="103" t="s">
        <v>118</v>
      </c>
      <c r="O1" s="104" t="s">
        <v>119</v>
      </c>
      <c r="P1" s="103" t="s">
        <v>157</v>
      </c>
      <c r="Q1" s="73" t="s">
        <v>120</v>
      </c>
      <c r="S1" s="78" t="s">
        <v>123</v>
      </c>
      <c r="T1" s="66" t="s">
        <v>114</v>
      </c>
      <c r="U1" s="66" t="s">
        <v>116</v>
      </c>
      <c r="V1" t="s">
        <v>124</v>
      </c>
      <c r="W1" t="s">
        <v>157</v>
      </c>
      <c r="X1" t="s">
        <v>125</v>
      </c>
      <c r="Y1" t="s">
        <v>126</v>
      </c>
      <c r="Z1" t="s">
        <v>127</v>
      </c>
    </row>
    <row r="2" spans="1:26">
      <c r="A2" s="83" t="s">
        <v>172</v>
      </c>
      <c r="B2" s="69" t="str">
        <f>IF(IFERROR(_xlfn.XLOOKUP($A2,$S:$S,$X:$X),"")="",IFERROR(IF(SUMIF(#REF!,$A2,#REF!)=0,"",SUMIF(#REF!,$A2,#REF!)),""),IFERROR(_xlfn.XLOOKUP($A2,$S:$S,$X:$X),""))</f>
        <v/>
      </c>
      <c r="C2" s="100" t="str">
        <f>IF(IFERROR(_xlfn.XLOOKUP($A2,$S:$S,$V:$V),"")="",IFERROR(IF(SUMIF(#REF!,$A2,#REF!)=0,"",SUMIF(#REF!,$A2,#REF!)),""),IFERROR(_xlfn.XLOOKUP($A2,$S:$S,$V:$V),""))</f>
        <v/>
      </c>
      <c r="D2" s="108" t="str">
        <f>IF(IFERROR(_xlfn.XLOOKUP($A2,$S:$S,$W:$W),"")="",IFERROR(IF(SUMIF(#REF!,$A2,#REF!)=0,"",SUMIF(#REF!,$A2,#REF!)),""),IFERROR(_xlfn.XLOOKUP($A2,$S:$S,$W:$W),""))</f>
        <v/>
      </c>
      <c r="E2" s="68" t="str">
        <f>IFERROR(C2/B2,"")</f>
        <v/>
      </c>
      <c r="F2" s="81"/>
      <c r="G2" s="83" t="s">
        <v>176</v>
      </c>
      <c r="H2" s="69" t="str">
        <f>IF(IFERROR(_xlfn.XLOOKUP($G2,$S:$S,$X:$X),"")="",IFERROR(IF(SUMIF(#REF!,$G2,#REF!)=0,"",SUMIF(#REF!,$G2,#REF!)),""),IFERROR(_xlfn.XLOOKUP($G2,$S:$S,$X:$X),""))</f>
        <v/>
      </c>
      <c r="I2" s="100" t="str">
        <f>IF(IFERROR(_xlfn.XLOOKUP($G2,$S:$S,$V:$V),"")="",IFERROR(IF(SUMIF(#REF!,$G2,#REF!)=0,"",SUMIF(#REF!,$G2,#REF!)),""),IFERROR(_xlfn.XLOOKUP($G2,$S:$S,$V:$V),""))</f>
        <v/>
      </c>
      <c r="J2" s="108" t="str">
        <f>IF(IFERROR(_xlfn.XLOOKUP($G2,$S:$S,$W:$W),"")="",IFERROR(IF(SUMIF(#REF!,$G2,#REF!)=0,"",SUMIF(#REF!,$G2,#REF!)),""),IFERROR(_xlfn.XLOOKUP($G2,$S:$S,$W:$W),""))</f>
        <v/>
      </c>
      <c r="K2" s="68" t="str">
        <f>IFERROR(I2/H2,"")</f>
        <v/>
      </c>
      <c r="M2" s="83" t="s">
        <v>180</v>
      </c>
      <c r="N2" s="69">
        <f>IF(IFERROR(_xlfn.XLOOKUP($M2,$S:$S,$X:$X),"")="",IFERROR(IF(SUMIF(#REF!,$M2,#REF!)=0,"",SUMIF(#REF!,$M2,#REF!)),""),IFERROR(_xlfn.XLOOKUP($M2,$S:$S,$X:$X),""))</f>
        <v>21.6264</v>
      </c>
      <c r="O2" s="65">
        <f>IF(IFERROR(_xlfn.XLOOKUP($M2,$S:$S,$V:$V),"")="",IFERROR(IF(SUMIF(#REF!,$M2,#REF!)=0,"",SUMIF(#REF!,$M2,#REF!)),""),IFERROR(_xlfn.XLOOKUP($M2,$S:$S,$V:$V),""))</f>
        <v>359</v>
      </c>
      <c r="P2" s="108">
        <f>IF(IFERROR(_xlfn.XLOOKUP($M2,$S:$S,$W:$W),"")="",IFERROR(IF(SUMIF(#REF!,$M2,#REF!)=0,"",SUMIF(#REF!,$M2,#REF!)),""),IFERROR(_xlfn.XLOOKUP($M2,$S:$S,$W:$W),""))</f>
        <v>12</v>
      </c>
      <c r="Q2" s="68">
        <f>IFERROR(O2/N2,"")</f>
        <v>16.600081382014576</v>
      </c>
      <c r="S2" t="str">
        <f>_xlfn.CONCAT(T2,"-",U2)</f>
        <v>BTG-Patient Call</v>
      </c>
      <c r="T2" t="s">
        <v>122</v>
      </c>
      <c r="U2" t="s">
        <v>190</v>
      </c>
      <c r="V2" s="142">
        <v>346</v>
      </c>
      <c r="W2" s="142">
        <v>0</v>
      </c>
      <c r="X2" s="67">
        <v>25.811600000000002</v>
      </c>
      <c r="Y2" s="67">
        <v>13.404825737265414</v>
      </c>
      <c r="Z2" s="67">
        <v>0</v>
      </c>
    </row>
    <row r="3" spans="1:26">
      <c r="A3" s="84" t="s">
        <v>128</v>
      </c>
      <c r="B3" s="70" t="str">
        <f>IF(IFERROR(_xlfn.XLOOKUP($A3,$S:$S,$X:$X),"")="",IFERROR(IF(SUMIF(#REF!,$A3,#REF!)=0,"",SUMIF(#REF!,$A3,#REF!)),""),IFERROR(_xlfn.XLOOKUP($A3,$S:$S,$X:$X),""))</f>
        <v/>
      </c>
      <c r="C3" s="101" t="str">
        <f>IF(IFERROR(_xlfn.XLOOKUP($A3,$S:$S,$V:$V),"")="",IFERROR(IF(SUMIF(#REF!,$A3,#REF!)=0,"",SUMIF(#REF!,$A3,#REF!)),""),IFERROR(_xlfn.XLOOKUP($A3,$S:$S,$V:$V),""))</f>
        <v/>
      </c>
      <c r="D3" s="108" t="str">
        <f>IF(IFERROR(_xlfn.XLOOKUP($A3,$S:$S,$W:$W),"")="",IFERROR(IF(SUMIF(#REF!,$A3,#REF!)=0,"",SUMIF(#REF!,$A3,#REF!)),""),IFERROR(_xlfn.XLOOKUP($A3,$S:$S,$W:$W),""))</f>
        <v/>
      </c>
      <c r="E3" s="68" t="str">
        <f t="shared" ref="E3:E11" si="0">IFERROR(C3/B3,"")</f>
        <v/>
      </c>
      <c r="F3" s="81"/>
      <c r="G3" s="84" t="s">
        <v>129</v>
      </c>
      <c r="H3" s="70">
        <f>IF(IFERROR(_xlfn.XLOOKUP($G3,$S:$S,$X:$X),"")="",IFERROR(IF(SUMIF(#REF!,$G3,#REF!)=0,"",SUMIF(#REF!,$G3,#REF!)),""),IFERROR(_xlfn.XLOOKUP($G3,$S:$S,$X:$X),""))</f>
        <v>21.961400000000001</v>
      </c>
      <c r="I3" s="101">
        <f>IF(IFERROR(_xlfn.XLOOKUP($G3,$S:$S,$V:$V),"")="",IFERROR(IF(SUMIF(#REF!,$G3,#REF!)=0,"",SUMIF(#REF!,$G3,#REF!)),""),IFERROR(_xlfn.XLOOKUP($G3,$S:$S,$V:$V),""))</f>
        <v>45</v>
      </c>
      <c r="J3" s="108">
        <f>IF(IFERROR(_xlfn.XLOOKUP($G3,$S:$S,$W:$W),"")="",IFERROR(IF(SUMIF(#REF!,$G3,#REF!)=0,"",SUMIF(#REF!,$G3,#REF!)),""),IFERROR(_xlfn.XLOOKUP($G3,$S:$S,$W:$W),""))</f>
        <v>18</v>
      </c>
      <c r="K3" s="68">
        <f t="shared" ref="K3:K11" si="1">IFERROR(I3/H3,"")</f>
        <v>2.0490496962853006</v>
      </c>
      <c r="M3" s="84" t="s">
        <v>130</v>
      </c>
      <c r="N3" s="70" t="str">
        <f>IF(IFERROR(_xlfn.XLOOKUP($M3,$S:$S,$X:$X),"")="",IFERROR(IF(SUMIF(#REF!,$M3,#REF!)=0,"",SUMIF(#REF!,$M3,#REF!)),""),IFERROR(_xlfn.XLOOKUP($M3,$S:$S,$X:$X),""))</f>
        <v/>
      </c>
      <c r="O3" s="64" t="str">
        <f>IF(IFERROR(_xlfn.XLOOKUP($M3,$S:$S,$V:$V),"")="",IFERROR(IF(SUMIF(#REF!,$M3,#REF!)=0,"",SUMIF(#REF!,$M3,#REF!)),""),IFERROR(_xlfn.XLOOKUP($M3,$S:$S,$V:$V),""))</f>
        <v/>
      </c>
      <c r="P3" s="108" t="str">
        <f>IF(IFERROR(_xlfn.XLOOKUP($M3,$S:$S,$W:$W),"")="",IFERROR(IF(SUMIF(#REF!,$M3,#REF!)=0,"",SUMIF(#REF!,$M3,#REF!)),""),IFERROR(_xlfn.XLOOKUP($M3,$S:$S,$W:$W),""))</f>
        <v/>
      </c>
      <c r="Q3" s="68" t="str">
        <f t="shared" ref="Q3:Q11" si="2">IFERROR(O3/N3,"")</f>
        <v/>
      </c>
      <c r="S3" t="str">
        <f t="shared" ref="S3:S35" si="3">_xlfn.CONCAT(T3,"-",U3)</f>
        <v>BTG-Parachute</v>
      </c>
      <c r="T3" t="s">
        <v>122</v>
      </c>
      <c r="U3" t="s">
        <v>159</v>
      </c>
      <c r="V3" s="142">
        <v>359</v>
      </c>
      <c r="W3" s="142">
        <v>12</v>
      </c>
      <c r="X3" s="67">
        <v>21.6264</v>
      </c>
      <c r="Y3" s="67">
        <v>16.600081382014576</v>
      </c>
      <c r="Z3" s="67">
        <v>0.55487737210076571</v>
      </c>
    </row>
    <row r="4" spans="1:26">
      <c r="A4" s="84" t="s">
        <v>173</v>
      </c>
      <c r="B4" s="70" t="str">
        <f>IF(IFERROR(_xlfn.XLOOKUP($A4,$S:$S,$X:$X),"")="",IFERROR(IF(SUMIF(#REF!,$A4,#REF!)=0,"",SUMIF(#REF!,$A4,#REF!)),""),IFERROR(_xlfn.XLOOKUP($A4,$S:$S,$X:$X),""))</f>
        <v/>
      </c>
      <c r="C4" s="101" t="str">
        <f>IF(IFERROR(_xlfn.XLOOKUP($A4,$S:$S,$V:$V),"")="",IFERROR(IF(SUMIF(#REF!,$A4,#REF!)=0,"",SUMIF(#REF!,$A4,#REF!)),""),IFERROR(_xlfn.XLOOKUP($A4,$S:$S,$V:$V),""))</f>
        <v/>
      </c>
      <c r="D4" s="108" t="str">
        <f>IF(IFERROR(_xlfn.XLOOKUP($A4,$S:$S,$W:$W),"")="",IFERROR(IF(SUMIF(#REF!,$A4,#REF!)=0,"",SUMIF(#REF!,$A4,#REF!)),""),IFERROR(_xlfn.XLOOKUP($A4,$S:$S,$W:$W),""))</f>
        <v/>
      </c>
      <c r="E4" s="68" t="str">
        <f t="shared" si="0"/>
        <v/>
      </c>
      <c r="F4" s="81"/>
      <c r="G4" s="84" t="s">
        <v>177</v>
      </c>
      <c r="H4" s="70" t="str">
        <f>IF(IFERROR(_xlfn.XLOOKUP($G4,$S:$S,$X:$X),"")="",IFERROR(IF(SUMIF(#REF!,$G4,#REF!)=0,"",SUMIF(#REF!,$G4,#REF!)),""),IFERROR(_xlfn.XLOOKUP($G4,$S:$S,$X:$X),""))</f>
        <v/>
      </c>
      <c r="I4" s="101" t="str">
        <f>IF(IFERROR(_xlfn.XLOOKUP($G4,$S:$S,$V:$V),"")="",IFERROR(IF(SUMIF(#REF!,$G4,#REF!)=0,"",SUMIF(#REF!,$G4,#REF!)),""),IFERROR(_xlfn.XLOOKUP($G4,$S:$S,$V:$V),""))</f>
        <v/>
      </c>
      <c r="J4" s="108" t="str">
        <f>IF(IFERROR(_xlfn.XLOOKUP($G4,$S:$S,$W:$W),"")="",IFERROR(IF(SUMIF(#REF!,$G4,#REF!)=0,"",SUMIF(#REF!,$G4,#REF!)),""),IFERROR(_xlfn.XLOOKUP($G4,$S:$S,$W:$W),""))</f>
        <v/>
      </c>
      <c r="K4" s="68" t="str">
        <f t="shared" si="1"/>
        <v/>
      </c>
      <c r="M4" s="84" t="s">
        <v>181</v>
      </c>
      <c r="N4" s="70" t="str">
        <f>IF(IFERROR(_xlfn.XLOOKUP($M4,$S:$S,$X:$X),"")="",IFERROR(IF(SUMIF(#REF!,$M4,#REF!)=0,"",SUMIF(#REF!,$M4,#REF!)),""),IFERROR(_xlfn.XLOOKUP($M4,$S:$S,$X:$X),""))</f>
        <v/>
      </c>
      <c r="O4" s="64" t="str">
        <f>IF(IFERROR(_xlfn.XLOOKUP($M4,$S:$S,$V:$V),"")="",IFERROR(IF(SUMIF(#REF!,$M4,#REF!)=0,"",SUMIF(#REF!,$M4,#REF!)),""),IFERROR(_xlfn.XLOOKUP($M4,$S:$S,$V:$V),""))</f>
        <v/>
      </c>
      <c r="P4" s="108" t="str">
        <f>IF(IFERROR(_xlfn.XLOOKUP($M4,$S:$S,$W:$W),"")="",IFERROR(IF(SUMIF(#REF!,$M4,#REF!)=0,"",SUMIF(#REF!,$M4,#REF!)),""),IFERROR(_xlfn.XLOOKUP($M4,$S:$S,$W:$W),""))</f>
        <v/>
      </c>
      <c r="Q4" s="68" t="str">
        <f t="shared" si="2"/>
        <v/>
      </c>
      <c r="S4" t="str">
        <f t="shared" si="3"/>
        <v>BTG-BTLOAD</v>
      </c>
      <c r="T4" t="s">
        <v>122</v>
      </c>
      <c r="U4" t="s">
        <v>164</v>
      </c>
      <c r="V4" s="142">
        <v>137</v>
      </c>
      <c r="W4" s="142">
        <v>0</v>
      </c>
      <c r="X4" s="67">
        <v>14.6793</v>
      </c>
      <c r="Y4" s="67">
        <v>9.3328700959855038</v>
      </c>
      <c r="Z4" s="67">
        <v>0</v>
      </c>
    </row>
    <row r="5" spans="1:26">
      <c r="A5" s="84" t="s">
        <v>174</v>
      </c>
      <c r="B5" s="70" t="str">
        <f>IF(IFERROR(_xlfn.XLOOKUP($A5,$S:$S,$X:$X),"")="",IFERROR(IF(SUMIF(#REF!,$A5,#REF!)=0,"",SUMIF(#REF!,$A5,#REF!)),""),IFERROR(_xlfn.XLOOKUP($A5,$S:$S,$X:$X),""))</f>
        <v/>
      </c>
      <c r="C5" s="101" t="str">
        <f>IF(IFERROR(_xlfn.XLOOKUP($A5,$S:$S,$V:$V),"")="",IFERROR(IF(SUMIF(#REF!,$A5,#REF!)=0,"",SUMIF(#REF!,$A5,#REF!)),""),IFERROR(_xlfn.XLOOKUP($A5,$S:$S,$V:$V),""))</f>
        <v/>
      </c>
      <c r="D5" s="108" t="str">
        <f>IF(IFERROR(_xlfn.XLOOKUP($A5,$S:$S,$W:$W),"")="",IFERROR(IF(SUMIF(#REF!,$A5,#REF!)=0,"",SUMIF(#REF!,$A5,#REF!)),""),IFERROR(_xlfn.XLOOKUP($A5,$S:$S,$W:$W),""))</f>
        <v/>
      </c>
      <c r="E5" s="68" t="str">
        <f t="shared" si="0"/>
        <v/>
      </c>
      <c r="F5" s="81"/>
      <c r="G5" s="84" t="s">
        <v>178</v>
      </c>
      <c r="H5" s="70">
        <f>IF(IFERROR(_xlfn.XLOOKUP($G5,$S:$S,$X:$X),"")="",IFERROR(IF(SUMIF(#REF!,$G5,#REF!)=0,"",SUMIF(#REF!,$G5,#REF!)),""),IFERROR(_xlfn.XLOOKUP($G5,$S:$S,$X:$X),""))</f>
        <v>16.727799999999998</v>
      </c>
      <c r="I5" s="101">
        <f>IF(IFERROR(_xlfn.XLOOKUP($G5,$S:$S,$V:$V),"")="",IFERROR(IF(SUMIF(#REF!,$G5,#REF!)=0,"",SUMIF(#REF!,$G5,#REF!)),""),IFERROR(_xlfn.XLOOKUP($G5,$S:$S,$V:$V),""))</f>
        <v>217</v>
      </c>
      <c r="J5" s="108">
        <f>IF(IFERROR(_xlfn.XLOOKUP($G5,$S:$S,$W:$W),"")="",IFERROR(IF(SUMIF(#REF!,$G5,#REF!)=0,"",SUMIF(#REF!,$G5,#REF!)),""),IFERROR(_xlfn.XLOOKUP($G5,$S:$S,$W:$W),""))</f>
        <v>0</v>
      </c>
      <c r="K5" s="68">
        <f t="shared" si="1"/>
        <v>12.972417173806479</v>
      </c>
      <c r="M5" s="84" t="s">
        <v>182</v>
      </c>
      <c r="N5" s="70">
        <f>IF(IFERROR(_xlfn.XLOOKUP($M5,$S:$S,$X:$X),"")="",IFERROR(IF(SUMIF(#REF!,$M5,#REF!)=0,"",SUMIF(#REF!,$M5,#REF!)),""),IFERROR(_xlfn.XLOOKUP($M5,$S:$S,$X:$X),""))</f>
        <v>14.6793</v>
      </c>
      <c r="O5" s="64">
        <f>IF(IFERROR(_xlfn.XLOOKUP($M5,$S:$S,$V:$V),"")="",IFERROR(IF(SUMIF(#REF!,$M5,#REF!)=0,"",SUMIF(#REF!,$M5,#REF!)),""),IFERROR(_xlfn.XLOOKUP($M5,$S:$S,$V:$V),""))</f>
        <v>137</v>
      </c>
      <c r="P5" s="108">
        <f>IF(IFERROR(_xlfn.XLOOKUP($M5,$S:$S,$W:$W),"")="",IFERROR(IF(SUMIF(#REF!,$M5,#REF!)=0,"",SUMIF(#REF!,$M5,#REF!)),""),IFERROR(_xlfn.XLOOKUP($M5,$S:$S,$W:$W),""))</f>
        <v>0</v>
      </c>
      <c r="Q5" s="68">
        <f t="shared" si="2"/>
        <v>9.3328700959855038</v>
      </c>
      <c r="S5" t="str">
        <f t="shared" si="3"/>
        <v>BTG-Non-Billable</v>
      </c>
      <c r="T5" t="s">
        <v>122</v>
      </c>
      <c r="U5" t="s">
        <v>167</v>
      </c>
      <c r="V5" s="142">
        <v>0</v>
      </c>
      <c r="W5" s="142">
        <v>0</v>
      </c>
      <c r="X5" s="67">
        <v>2.6569000000000003</v>
      </c>
      <c r="Y5" s="67">
        <v>0</v>
      </c>
      <c r="Z5" s="67">
        <v>0</v>
      </c>
    </row>
    <row r="6" spans="1:26">
      <c r="A6" s="84" t="s">
        <v>186</v>
      </c>
      <c r="B6" s="70" t="str">
        <f>IF(IFERROR(_xlfn.XLOOKUP($A6,$S:$S,$X:$X),"")="",IFERROR(IF(SUMIF(#REF!,$A6,#REF!)=0,"",SUMIF(#REF!,$A6,#REF!)),""),IFERROR(_xlfn.XLOOKUP($A6,$S:$S,$X:$X),""))</f>
        <v/>
      </c>
      <c r="C6" s="101" t="str">
        <f>IF(IFERROR(_xlfn.XLOOKUP($A6,$S:$S,$V:$V),"")="",IFERROR(IF(SUMIF(#REF!,$A6,#REF!)=0,"",SUMIF(#REF!,$A6,#REF!)),""),IFERROR(_xlfn.XLOOKUP($A6,$S:$S,$V:$V),""))</f>
        <v/>
      </c>
      <c r="D6" s="108" t="str">
        <f>IF(IFERROR(_xlfn.XLOOKUP($A6,$S:$S,$W:$W),"")="",IFERROR(IF(SUMIF(#REF!,$A6,#REF!)=0,"",SUMIF(#REF!,$A6,#REF!)),""),IFERROR(_xlfn.XLOOKUP($A6,$S:$S,$W:$W),""))</f>
        <v/>
      </c>
      <c r="E6" s="68" t="str">
        <f t="shared" si="0"/>
        <v/>
      </c>
      <c r="F6" s="81"/>
      <c r="G6" s="84" t="s">
        <v>187</v>
      </c>
      <c r="H6" s="70" t="str">
        <f>IF(IFERROR(_xlfn.XLOOKUP($G6,$S:$S,$X:$X),"")="",IFERROR(IF(SUMIF(#REF!,$G6,#REF!)=0,"",SUMIF(#REF!,$G6,#REF!)),""),IFERROR(_xlfn.XLOOKUP($G6,$S:$S,$X:$X),""))</f>
        <v/>
      </c>
      <c r="I6" s="101" t="str">
        <f>IF(IFERROR(_xlfn.XLOOKUP($G6,$S:$S,$V:$V),"")="",IFERROR(IF(SUMIF(#REF!,$G6,#REF!)=0,"",SUMIF(#REF!,$G6,#REF!)),""),IFERROR(_xlfn.XLOOKUP($G6,$S:$S,$V:$V),""))</f>
        <v/>
      </c>
      <c r="J6" s="108" t="str">
        <f>IF(IFERROR(_xlfn.XLOOKUP($G6,$S:$S,$W:$W),"")="",IFERROR(IF(SUMIF(#REF!,$G6,#REF!)=0,"",SUMIF(#REF!,$G6,#REF!)),""),IFERROR(_xlfn.XLOOKUP($G6,$S:$S,$W:$W),""))</f>
        <v/>
      </c>
      <c r="K6" s="68" t="str">
        <f t="shared" si="1"/>
        <v/>
      </c>
      <c r="M6" s="84" t="s">
        <v>188</v>
      </c>
      <c r="N6" s="70">
        <f>IF(IFERROR(_xlfn.XLOOKUP($M6,$S:$S,$X:$X),"")="",IFERROR(IF(SUMIF(#REF!,$M6,#REF!)=0,"",SUMIF(#REF!,$M6,#REF!)),""),IFERROR(_xlfn.XLOOKUP($M6,$S:$S,$X:$X),""))</f>
        <v>5.4799999999999995</v>
      </c>
      <c r="O6" s="64">
        <f>IF(IFERROR(_xlfn.XLOOKUP($M6,$S:$S,$V:$V),"")="",IFERROR(IF(SUMIF(#REF!,$M6,#REF!)=0,"",SUMIF(#REF!,$M6,#REF!)),""),IFERROR(_xlfn.XLOOKUP($M6,$S:$S,$V:$V),""))</f>
        <v>51</v>
      </c>
      <c r="P6" s="108">
        <f>IF(IFERROR(_xlfn.XLOOKUP($M6,$S:$S,$W:$W),"")="",IFERROR(IF(SUMIF(#REF!,$M6,#REF!)=0,"",SUMIF(#REF!,$M6,#REF!)),""),IFERROR(_xlfn.XLOOKUP($M6,$S:$S,$W:$W),""))</f>
        <v>0</v>
      </c>
      <c r="Q6" s="68">
        <f t="shared" si="2"/>
        <v>9.3065693430656946</v>
      </c>
      <c r="S6" t="str">
        <f t="shared" si="3"/>
        <v>BTG-Medical Note</v>
      </c>
      <c r="T6" t="s">
        <v>122</v>
      </c>
      <c r="U6" t="s">
        <v>185</v>
      </c>
      <c r="V6" s="142">
        <v>51</v>
      </c>
      <c r="W6" s="142">
        <v>0</v>
      </c>
      <c r="X6" s="67">
        <v>5.4799999999999995</v>
      </c>
      <c r="Y6" s="67">
        <v>9.3065693430656946</v>
      </c>
      <c r="Z6" s="67">
        <v>0</v>
      </c>
    </row>
    <row r="7" spans="1:26">
      <c r="A7" s="84" t="s">
        <v>175</v>
      </c>
      <c r="B7" s="70" t="str">
        <f>IF(IFERROR(_xlfn.XLOOKUP($A7,$S:$S,$X:$X),"")="",IFERROR(IF(SUMIF(#REF!,$A7,#REF!)=0,"",SUMIF(#REF!,$A7,#REF!)),""),IFERROR(_xlfn.XLOOKUP($A7,$S:$S,$X:$X),""))</f>
        <v/>
      </c>
      <c r="C7" s="101" t="str">
        <f>IF(IFERROR(_xlfn.XLOOKUP($A7,$S:$S,$V:$V),"")="",IFERROR(IF(SUMIF(#REF!,$A7,#REF!)=0,"",SUMIF(#REF!,$A7,#REF!)),""),IFERROR(_xlfn.XLOOKUP($A7,$S:$S,$V:$V),""))</f>
        <v/>
      </c>
      <c r="D7" s="108" t="str">
        <f>IF(IFERROR(_xlfn.XLOOKUP($A7,$S:$S,$W:$W),"")="",IFERROR(IF(SUMIF(#REF!,$A7,#REF!)=0,"",SUMIF(#REF!,$A7,#REF!)),""),IFERROR(_xlfn.XLOOKUP($A7,$S:$S,$W:$W),""))</f>
        <v/>
      </c>
      <c r="E7" s="68" t="str">
        <f t="shared" si="0"/>
        <v/>
      </c>
      <c r="F7" s="81"/>
      <c r="G7" s="84" t="s">
        <v>179</v>
      </c>
      <c r="H7" s="70">
        <f>IF(IFERROR(_xlfn.XLOOKUP($G7,$S:$S,$X:$X),"")="",IFERROR(IF(SUMIF(#REF!,$G7,#REF!)=0,"",SUMIF(#REF!,$G7,#REF!)),""),IFERROR(_xlfn.XLOOKUP($G7,$S:$S,$X:$X),""))</f>
        <v>22.725899999999999</v>
      </c>
      <c r="I7" s="101">
        <f>IF(IFERROR(_xlfn.XLOOKUP($G7,$S:$S,$V:$V),"")="",IFERROR(IF(SUMIF(#REF!,$G7,#REF!)=0,"",SUMIF(#REF!,$G7,#REF!)),""),IFERROR(_xlfn.XLOOKUP($G7,$S:$S,$V:$V),""))</f>
        <v>0</v>
      </c>
      <c r="J7" s="108">
        <f>IF(IFERROR(_xlfn.XLOOKUP($G7,$S:$S,$W:$W),"")="",IFERROR(IF(SUMIF(#REF!,$G7,#REF!)=0,"",SUMIF(#REF!,$G7,#REF!)),""),IFERROR(_xlfn.XLOOKUP($G7,$S:$S,$W:$W),""))</f>
        <v>0</v>
      </c>
      <c r="K7" s="68">
        <f t="shared" si="1"/>
        <v>0</v>
      </c>
      <c r="M7" s="84" t="s">
        <v>183</v>
      </c>
      <c r="N7" s="70">
        <f>IF(IFERROR(_xlfn.XLOOKUP($M7,$S:$S,$X:$X),"")="",IFERROR(IF(SUMIF(#REF!,$M7,#REF!)=0,"",SUMIF(#REF!,$M7,#REF!)),""),IFERROR(_xlfn.XLOOKUP($M7,$S:$S,$X:$X),""))</f>
        <v>2.6569000000000003</v>
      </c>
      <c r="O7" s="64">
        <f>IF(IFERROR(_xlfn.XLOOKUP($M7,$S:$S,$V:$V),"")="",IFERROR(IF(SUMIF(#REF!,$M7,#REF!)=0,"",SUMIF(#REF!,$M7,#REF!)),""),IFERROR(_xlfn.XLOOKUP($M7,$S:$S,$V:$V),""))</f>
        <v>0</v>
      </c>
      <c r="P7" s="108">
        <f>IF(IFERROR(_xlfn.XLOOKUP($M7,$S:$S,$W:$W),"")="",IFERROR(IF(SUMIF(#REF!,$M7,#REF!)=0,"",SUMIF(#REF!,$M7,#REF!)),""),IFERROR(_xlfn.XLOOKUP($M7,$S:$S,$W:$W),""))</f>
        <v>0</v>
      </c>
      <c r="Q7" s="68">
        <f t="shared" si="2"/>
        <v>0</v>
      </c>
      <c r="S7" t="str">
        <f t="shared" si="3"/>
        <v>ILO-Rework</v>
      </c>
      <c r="T7" t="s">
        <v>121</v>
      </c>
      <c r="U7" t="s">
        <v>42</v>
      </c>
      <c r="V7" s="142">
        <v>63</v>
      </c>
      <c r="W7" s="142">
        <v>0</v>
      </c>
      <c r="X7" s="67">
        <v>6.6064000000000007</v>
      </c>
      <c r="Y7" s="67">
        <v>9.5362073141196397</v>
      </c>
      <c r="Z7" s="67">
        <v>0</v>
      </c>
    </row>
    <row r="8" spans="1:26">
      <c r="A8" s="84" t="s">
        <v>191</v>
      </c>
      <c r="B8" s="70" t="str">
        <f>IF(IFERROR(_xlfn.XLOOKUP($A8,$S:$S,$X:$X),"")="",IFERROR(IF(SUMIF(#REF!,$A8,#REF!)=0,"",SUMIF(#REF!,$A8,#REF!)),""),IFERROR(_xlfn.XLOOKUP($A8,$S:$S,$X:$X),""))</f>
        <v/>
      </c>
      <c r="C8" s="101" t="str">
        <f>IF(IFERROR(_xlfn.XLOOKUP($A8,$S:$S,$V:$V),"")="",IFERROR(IF(SUMIF(#REF!,$A8,#REF!)=0,"",SUMIF(#REF!,$A8,#REF!)),""),IFERROR(_xlfn.XLOOKUP($A8,$S:$S,$V:$V),""))</f>
        <v/>
      </c>
      <c r="D8" s="108" t="str">
        <f>IF(IFERROR(_xlfn.XLOOKUP($A8,$S:$S,$W:$W),"")="",IFERROR(IF(SUMIF(#REF!,$A8,#REF!)=0,"",SUMIF(#REF!,$A8,#REF!)),""),IFERROR(_xlfn.XLOOKUP($A8,$S:$S,$W:$W),""))</f>
        <v/>
      </c>
      <c r="E8" s="68" t="str">
        <f t="shared" si="0"/>
        <v/>
      </c>
      <c r="F8" s="81"/>
      <c r="G8" s="84" t="s">
        <v>192</v>
      </c>
      <c r="H8" s="70">
        <f>IF(IFERROR(_xlfn.XLOOKUP($G8,$S:$S,$X:$X),"")="",IFERROR(IF(SUMIF(#REF!,$G8,#REF!)=0,"",SUMIF(#REF!,$G8,#REF!)),""),IFERROR(_xlfn.XLOOKUP($G8,$S:$S,$X:$X),""))</f>
        <v>1.1000000000000001E-3</v>
      </c>
      <c r="I8" s="101">
        <f>IF(IFERROR(_xlfn.XLOOKUP($G8,$S:$S,$V:$V),"")="",IFERROR(IF(SUMIF(#REF!,$G8,#REF!)=0,"",SUMIF(#REF!,$G8,#REF!)),""),IFERROR(_xlfn.XLOOKUP($G8,$S:$S,$V:$V),""))</f>
        <v>0</v>
      </c>
      <c r="J8" s="108">
        <f>IF(IFERROR(_xlfn.XLOOKUP($G8,$S:$S,$W:$W),"")="",IFERROR(IF(SUMIF(#REF!,$G8,#REF!)=0,"",SUMIF(#REF!,$G8,#REF!)),""),IFERROR(_xlfn.XLOOKUP($G8,$S:$S,$W:$W),""))</f>
        <v>0</v>
      </c>
      <c r="K8" s="68">
        <f t="shared" si="1"/>
        <v>0</v>
      </c>
      <c r="M8" s="84" t="s">
        <v>193</v>
      </c>
      <c r="N8" s="70">
        <f>IF(IFERROR(_xlfn.XLOOKUP($M8,$S:$S,$X:$X),"")="",IFERROR(IF(SUMIF(#REF!,$M8,#REF!)=0,"",SUMIF(#REF!,$M8,#REF!)),""),IFERROR(_xlfn.XLOOKUP($M8,$S:$S,$X:$X),""))</f>
        <v>25.811600000000002</v>
      </c>
      <c r="O8" s="64">
        <f>IF(IFERROR(_xlfn.XLOOKUP($M8,$S:$S,$V:$V),"")="",IFERROR(IF(SUMIF(#REF!,$M8,#REF!)=0,"",SUMIF(#REF!,$M8,#REF!)),""),IFERROR(_xlfn.XLOOKUP($M8,$S:$S,$V:$V),""))</f>
        <v>346</v>
      </c>
      <c r="P8" s="108">
        <f>IF(IFERROR(_xlfn.XLOOKUP($M8,$S:$S,$W:$W),"")="",IFERROR(IF(SUMIF(#REF!,$M8,#REF!)=0,"",SUMIF(#REF!,$M8,#REF!)),""),IFERROR(_xlfn.XLOOKUP($M8,$S:$S,$W:$W),""))</f>
        <v>0</v>
      </c>
      <c r="Q8" s="68">
        <f t="shared" si="2"/>
        <v>13.404825737265414</v>
      </c>
      <c r="S8" t="str">
        <f t="shared" si="3"/>
        <v>ILO-VSA</v>
      </c>
      <c r="T8" t="s">
        <v>121</v>
      </c>
      <c r="U8" t="s">
        <v>43</v>
      </c>
      <c r="V8" s="142">
        <v>45</v>
      </c>
      <c r="W8" s="142">
        <v>18</v>
      </c>
      <c r="X8" s="67">
        <v>21.961400000000001</v>
      </c>
      <c r="Y8" s="67">
        <v>2.0490496962853006</v>
      </c>
      <c r="Z8" s="67">
        <v>0.81961987851412021</v>
      </c>
    </row>
    <row r="9" spans="1:26">
      <c r="A9" s="84" t="s">
        <v>134</v>
      </c>
      <c r="B9" s="70" t="str">
        <f>IF(IFERROR(_xlfn.XLOOKUP($A9,$S:$S,$X:$X),"")="",IFERROR(IF(SUMIF(#REF!,$A9,#REF!)=0,"",SUMIF(#REF!,$A9,#REF!)),""),IFERROR(_xlfn.XLOOKUP($A9,$S:$S,$X:$X),""))</f>
        <v/>
      </c>
      <c r="C9" s="101" t="str">
        <f>IF(IFERROR(_xlfn.XLOOKUP($A9,$S:$S,$V:$V),"")="",IFERROR(IF(SUMIF(#REF!,$A9,#REF!)=0,"",SUMIF(#REF!,$A9,#REF!)),""),IFERROR(_xlfn.XLOOKUP($A9,$S:$S,$V:$V),""))</f>
        <v/>
      </c>
      <c r="D9" s="108" t="str">
        <f>IF(IFERROR(_xlfn.XLOOKUP($A9,$S:$S,$W:$W),"")="",IFERROR(IF(SUMIF(#REF!,$A9,#REF!)=0,"",SUMIF(#REF!,$A9,#REF!)),""),IFERROR(_xlfn.XLOOKUP($A9,$S:$S,$W:$W),""))</f>
        <v/>
      </c>
      <c r="E9" s="68" t="str">
        <f t="shared" si="0"/>
        <v/>
      </c>
      <c r="F9" s="81"/>
      <c r="G9" s="84" t="s">
        <v>135</v>
      </c>
      <c r="H9" s="70" t="str">
        <f>IF(IFERROR(_xlfn.XLOOKUP($G9,$S:$S,$X:$X),"")="",IFERROR(IF(SUMIF(#REF!,$G9,#REF!)=0,"",SUMIF(#REF!,$G9,#REF!)),""),IFERROR(_xlfn.XLOOKUP($G9,$S:$S,$X:$X),""))</f>
        <v/>
      </c>
      <c r="I9" s="101" t="str">
        <f>IF(IFERROR(_xlfn.XLOOKUP($G9,$S:$S,$V:$V),"")="",IFERROR(IF(SUMIF(#REF!,$G9,#REF!)=0,"",SUMIF(#REF!,$G9,#REF!)),""),IFERROR(_xlfn.XLOOKUP($G9,$S:$S,$V:$V),""))</f>
        <v/>
      </c>
      <c r="J9" s="108" t="str">
        <f>IF(IFERROR(_xlfn.XLOOKUP($G9,$S:$S,$W:$W),"")="",IFERROR(IF(SUMIF(#REF!,$G9,#REF!)=0,"",SUMIF(#REF!,$G9,#REF!)),""),IFERROR(_xlfn.XLOOKUP($G9,$S:$S,$W:$W),""))</f>
        <v/>
      </c>
      <c r="K9" s="68" t="str">
        <f t="shared" si="1"/>
        <v/>
      </c>
      <c r="M9" s="84" t="s">
        <v>136</v>
      </c>
      <c r="N9" s="70" t="str">
        <f>IF(IFERROR(_xlfn.XLOOKUP($M9,$S:$S,$X:$X),"")="",IFERROR(IF(SUMIF(#REF!,$M9,#REF!)=0,"",SUMIF(#REF!,$M9,#REF!)),""),IFERROR(_xlfn.XLOOKUP($M9,$S:$S,$X:$X),""))</f>
        <v/>
      </c>
      <c r="O9" s="64" t="str">
        <f>IF(IFERROR(_xlfn.XLOOKUP($M9,$S:$S,$V:$V),"")="",IFERROR(IF(SUMIF(#REF!,$M9,#REF!)=0,"",SUMIF(#REF!,$M9,#REF!)),""),IFERROR(_xlfn.XLOOKUP($M9,$S:$S,$V:$V),""))</f>
        <v/>
      </c>
      <c r="P9" s="108" t="str">
        <f>IF(IFERROR(_xlfn.XLOOKUP($M9,$S:$S,$W:$W),"")="",IFERROR(IF(SUMIF(#REF!,$M9,#REF!)=0,"",SUMIF(#REF!,$M9,#REF!)),""),IFERROR(_xlfn.XLOOKUP($M9,$S:$S,$W:$W),""))</f>
        <v/>
      </c>
      <c r="Q9" s="68" t="str">
        <f t="shared" si="2"/>
        <v/>
      </c>
      <c r="S9" t="str">
        <f t="shared" si="3"/>
        <v>ILO-Patient Call</v>
      </c>
      <c r="T9" t="s">
        <v>121</v>
      </c>
      <c r="U9" t="s">
        <v>190</v>
      </c>
      <c r="V9" s="142">
        <v>0</v>
      </c>
      <c r="W9" s="142">
        <v>0</v>
      </c>
      <c r="X9" s="67">
        <v>1.1000000000000001E-3</v>
      </c>
      <c r="Y9" s="67">
        <v>0</v>
      </c>
      <c r="Z9" s="67">
        <v>0</v>
      </c>
    </row>
    <row r="10" spans="1:26">
      <c r="A10" s="84" t="s">
        <v>131</v>
      </c>
      <c r="B10" s="70" t="str">
        <f>IF(IFERROR(_xlfn.XLOOKUP($A10,$S:$S,$X:$X),"")="",IFERROR(IF(SUMIF(#REF!,$A10,#REF!)=0,"",SUMIF(#REF!,$A10,#REF!)),""),IFERROR(_xlfn.XLOOKUP($A10,$S:$S,$X:$X),""))</f>
        <v/>
      </c>
      <c r="C10" s="101" t="str">
        <f>IF(IFERROR(_xlfn.XLOOKUP($A10,$S:$S,$V:$V),"")="",IFERROR(IF(SUMIF(#REF!,$A10,#REF!)=0,"",SUMIF(#REF!,$A10,#REF!)),""),IFERROR(_xlfn.XLOOKUP($A10,$S:$S,$V:$V),""))</f>
        <v/>
      </c>
      <c r="D10" s="108" t="str">
        <f>IF(IFERROR(_xlfn.XLOOKUP($A10,$S:$S,$W:$W),"")="",IFERROR(IF(SUMIF(#REF!,$A10,#REF!)=0,"",SUMIF(#REF!,$A10,#REF!)),""),IFERROR(_xlfn.XLOOKUP($A10,$S:$S,$W:$W),""))</f>
        <v/>
      </c>
      <c r="E10" s="68" t="str">
        <f t="shared" si="0"/>
        <v/>
      </c>
      <c r="F10" s="81"/>
      <c r="G10" s="84" t="s">
        <v>132</v>
      </c>
      <c r="H10" s="70">
        <f>IF(IFERROR(_xlfn.XLOOKUP($G10,$S:$S,$X:$X),"")="",IFERROR(IF(SUMIF(#REF!,$G10,#REF!)=0,"",SUMIF(#REF!,$G10,#REF!)),""),IFERROR(_xlfn.XLOOKUP($G10,$S:$S,$X:$X),""))</f>
        <v>6.6064000000000007</v>
      </c>
      <c r="I10" s="101">
        <f>IF(IFERROR(_xlfn.XLOOKUP($G10,$S:$S,$V:$V),"")="",IFERROR(IF(SUMIF(#REF!,$G10,#REF!)=0,"",SUMIF(#REF!,$G10,#REF!)),""),IFERROR(_xlfn.XLOOKUP($G10,$S:$S,$V:$V),""))</f>
        <v>63</v>
      </c>
      <c r="J10" s="108">
        <f>IF(IFERROR(_xlfn.XLOOKUP($G10,$S:$S,$W:$W),"")="",IFERROR(IF(SUMIF(#REF!,$G10,#REF!)=0,"",SUMIF(#REF!,$G10,#REF!)),""),IFERROR(_xlfn.XLOOKUP($G10,$S:$S,$W:$W),""))</f>
        <v>0</v>
      </c>
      <c r="K10" s="68">
        <f t="shared" si="1"/>
        <v>9.5362073141196397</v>
      </c>
      <c r="M10" s="84" t="s">
        <v>133</v>
      </c>
      <c r="N10" s="70" t="str">
        <f>IF(IFERROR(_xlfn.XLOOKUP($M10,$S:$S,$X:$X),"")="",IFERROR(IF(SUMIF(#REF!,$M10,#REF!)=0,"",SUMIF(#REF!,$M10,#REF!)),""),IFERROR(_xlfn.XLOOKUP($M10,$S:$S,$X:$X),""))</f>
        <v/>
      </c>
      <c r="O10" s="64" t="str">
        <f>IF(IFERROR(_xlfn.XLOOKUP($M10,$S:$S,$V:$V),"")="",IFERROR(IF(SUMIF(#REF!,$M10,#REF!)=0,"",SUMIF(#REF!,$M10,#REF!)),""),IFERROR(_xlfn.XLOOKUP($M10,$S:$S,$V:$V),""))</f>
        <v/>
      </c>
      <c r="P10" s="108" t="str">
        <f>IF(IFERROR(_xlfn.XLOOKUP($M10,$S:$S,$W:$W),"")="",IFERROR(IF(SUMIF(#REF!,$M10,#REF!)=0,"",SUMIF(#REF!,$M10,#REF!)),""),IFERROR(_xlfn.XLOOKUP($M10,$S:$S,$W:$W),""))</f>
        <v/>
      </c>
      <c r="Q10" s="68" t="str">
        <f t="shared" si="2"/>
        <v/>
      </c>
      <c r="S10" t="str">
        <f t="shared" si="3"/>
        <v>ILO-BTLOAD</v>
      </c>
      <c r="T10" t="s">
        <v>121</v>
      </c>
      <c r="U10" t="s">
        <v>164</v>
      </c>
      <c r="V10" s="142">
        <v>217</v>
      </c>
      <c r="W10" s="142">
        <v>0</v>
      </c>
      <c r="X10" s="67">
        <v>16.727799999999998</v>
      </c>
      <c r="Y10" s="67">
        <v>12.972417173806479</v>
      </c>
      <c r="Z10" s="67">
        <v>0</v>
      </c>
    </row>
    <row r="11" spans="1:26" ht="13.8" thickBot="1">
      <c r="A11" s="110" t="s">
        <v>154</v>
      </c>
      <c r="B11" s="111" t="str">
        <f>IF(IFERROR(_xlfn.XLOOKUP($A11,$S:$S,$X:$X),"")="",IFERROR(IF(SUMIF(#REF!,$A11,#REF!)=0,"",SUMIF(#REF!,$A11,#REF!)),""),IFERROR(_xlfn.XLOOKUP($A11,$S:$S,$X:$X),""))</f>
        <v/>
      </c>
      <c r="C11" s="112" t="str">
        <f>IF(IFERROR(_xlfn.XLOOKUP($A11,$S:$S,$V:$V),"")="",IFERROR(IF(SUMIF(#REF!,$A11,#REF!)=0,"",SUMIF(#REF!,$A11,#REF!)),""),IFERROR(_xlfn.XLOOKUP($A11,$S:$S,$V:$V),""))</f>
        <v/>
      </c>
      <c r="D11" s="113" t="str">
        <f>IF(IFERROR(_xlfn.XLOOKUP($A11,$S:$S,$W:$W),"")="",IFERROR(IF(SUMIF(#REF!,$A11,#REF!)=0,"",SUMIF(#REF!,$A11,#REF!)),""),IFERROR(_xlfn.XLOOKUP($A11,$S:$S,$W:$W),""))</f>
        <v/>
      </c>
      <c r="E11" s="114" t="str">
        <f t="shared" si="0"/>
        <v/>
      </c>
      <c r="F11" s="81"/>
      <c r="G11" s="110" t="s">
        <v>155</v>
      </c>
      <c r="H11" s="111" t="str">
        <f>IF(IFERROR(_xlfn.XLOOKUP($G11,$S:$S,$X:$X),"")="",IFERROR(IF(SUMIF(#REF!,$G11,#REF!)=0,"",SUMIF(#REF!,$G11,#REF!)),""),IFERROR(_xlfn.XLOOKUP($G11,$S:$S,$X:$X),""))</f>
        <v/>
      </c>
      <c r="I11" s="112" t="str">
        <f>IF(IFERROR(_xlfn.XLOOKUP($G11,$S:$S,$V:$V),"")="",IFERROR(IF(SUMIF(#REF!,$G11,#REF!)=0,"",SUMIF(#REF!,$G11,#REF!)),""),IFERROR(_xlfn.XLOOKUP($G11,$S:$S,$V:$V),""))</f>
        <v/>
      </c>
      <c r="J11" s="113" t="str">
        <f>IF(IFERROR(_xlfn.XLOOKUP($G11,$S:$S,$W:$W),"")="",IFERROR(IF(SUMIF(#REF!,$G11,#REF!)=0,"",SUMIF(#REF!,$G11,#REF!)),""),IFERROR(_xlfn.XLOOKUP($G11,$S:$S,$W:$W),""))</f>
        <v/>
      </c>
      <c r="K11" s="114" t="str">
        <f t="shared" si="1"/>
        <v/>
      </c>
      <c r="M11" s="110" t="s">
        <v>156</v>
      </c>
      <c r="N11" s="111" t="str">
        <f>IF(IFERROR(_xlfn.XLOOKUP($M11,$S:$S,$X:$X),"")="",IFERROR(IF(SUMIF(#REF!,$M11,#REF!)=0,"",SUMIF(#REF!,$M11,#REF!)),""),IFERROR(_xlfn.XLOOKUP($M11,$S:$S,$X:$X),""))</f>
        <v/>
      </c>
      <c r="O11" s="115" t="str">
        <f>IF(IFERROR(_xlfn.XLOOKUP($M11,$S:$S,$V:$V),"")="",IFERROR(IF(SUMIF(#REF!,$M11,#REF!)=0,"",SUMIF(#REF!,$M11,#REF!)),""),IFERROR(_xlfn.XLOOKUP($M11,$S:$S,$V:$V),""))</f>
        <v/>
      </c>
      <c r="P11" s="113" t="str">
        <f>IF(IFERROR(_xlfn.XLOOKUP($M11,$S:$S,$W:$W),"")="",IFERROR(IF(SUMIF(#REF!,$M11,#REF!)=0,"",SUMIF(#REF!,$M11,#REF!)),""),IFERROR(_xlfn.XLOOKUP($M11,$S:$S,$W:$W),""))</f>
        <v/>
      </c>
      <c r="Q11" s="114" t="str">
        <f t="shared" si="2"/>
        <v/>
      </c>
      <c r="S11" t="str">
        <f t="shared" si="3"/>
        <v>ILO-Non-Billable</v>
      </c>
      <c r="T11" t="s">
        <v>121</v>
      </c>
      <c r="U11" t="s">
        <v>167</v>
      </c>
      <c r="V11" s="142">
        <v>0</v>
      </c>
      <c r="W11" s="142">
        <v>0</v>
      </c>
      <c r="X11" s="67">
        <v>22.725899999999999</v>
      </c>
      <c r="Y11" s="67">
        <v>0</v>
      </c>
      <c r="Z11" s="67">
        <v>0</v>
      </c>
    </row>
    <row r="12" spans="1:26">
      <c r="F12" s="81"/>
      <c r="S12" t="str">
        <f t="shared" si="3"/>
        <v>OTG-BTLOAD</v>
      </c>
      <c r="T12" t="s">
        <v>429</v>
      </c>
      <c r="U12" t="s">
        <v>164</v>
      </c>
      <c r="V12" s="142">
        <v>0</v>
      </c>
      <c r="W12" s="142">
        <v>0</v>
      </c>
      <c r="X12" s="67">
        <v>5.6899999999999999E-2</v>
      </c>
      <c r="Y12" s="67">
        <v>0</v>
      </c>
      <c r="Z12" s="67">
        <v>0</v>
      </c>
    </row>
    <row r="13" spans="1:26">
      <c r="F13" s="81"/>
      <c r="S13" t="str">
        <f t="shared" si="3"/>
        <v>Grand Total-</v>
      </c>
      <c r="T13" t="s">
        <v>25</v>
      </c>
      <c r="V13" s="142">
        <v>1218</v>
      </c>
      <c r="W13" s="142">
        <v>30</v>
      </c>
      <c r="X13" s="72">
        <v>138.33370000000002</v>
      </c>
      <c r="Y13" s="67">
        <v>8.8047959390951043</v>
      </c>
      <c r="Z13" s="67">
        <v>0.21686689505160353</v>
      </c>
    </row>
    <row r="14" spans="1:26">
      <c r="F14" s="81"/>
      <c r="S14" t="str">
        <f t="shared" si="3"/>
        <v>-</v>
      </c>
    </row>
    <row r="15" spans="1:26">
      <c r="F15" s="81"/>
      <c r="S15" t="str">
        <f t="shared" si="3"/>
        <v>-</v>
      </c>
    </row>
    <row r="16" spans="1:26">
      <c r="F16" s="81"/>
      <c r="S16" t="str">
        <f t="shared" si="3"/>
        <v>-</v>
      </c>
    </row>
    <row r="17" spans="6:19">
      <c r="F17" s="81"/>
      <c r="S17" t="str">
        <f t="shared" si="3"/>
        <v>-</v>
      </c>
    </row>
    <row r="18" spans="6:19">
      <c r="F18" s="81"/>
      <c r="S18" t="str">
        <f t="shared" si="3"/>
        <v>-</v>
      </c>
    </row>
    <row r="19" spans="6:19">
      <c r="F19" s="81"/>
      <c r="S19" t="str">
        <f t="shared" si="3"/>
        <v>-</v>
      </c>
    </row>
    <row r="20" spans="6:19">
      <c r="F20" s="81"/>
      <c r="S20" t="str">
        <f t="shared" si="3"/>
        <v>-</v>
      </c>
    </row>
    <row r="21" spans="6:19">
      <c r="F21" s="81"/>
      <c r="S21" t="str">
        <f t="shared" si="3"/>
        <v>-</v>
      </c>
    </row>
    <row r="22" spans="6:19">
      <c r="F22" s="81"/>
      <c r="S22" t="str">
        <f t="shared" si="3"/>
        <v>-</v>
      </c>
    </row>
    <row r="23" spans="6:19">
      <c r="F23" s="81"/>
      <c r="S23" t="str">
        <f t="shared" si="3"/>
        <v>-</v>
      </c>
    </row>
    <row r="24" spans="6:19">
      <c r="F24" s="81"/>
      <c r="S24" t="str">
        <f t="shared" si="3"/>
        <v>-</v>
      </c>
    </row>
    <row r="25" spans="6:19">
      <c r="F25" s="81"/>
      <c r="S25" t="str">
        <f t="shared" si="3"/>
        <v>-</v>
      </c>
    </row>
    <row r="26" spans="6:19">
      <c r="F26" s="81"/>
      <c r="S26" t="str">
        <f t="shared" si="3"/>
        <v>-</v>
      </c>
    </row>
    <row r="27" spans="6:19">
      <c r="F27" s="81"/>
      <c r="S27" t="str">
        <f t="shared" si="3"/>
        <v>-</v>
      </c>
    </row>
    <row r="28" spans="6:19">
      <c r="S28" t="str">
        <f t="shared" si="3"/>
        <v>-</v>
      </c>
    </row>
    <row r="29" spans="6:19">
      <c r="S29" t="str">
        <f t="shared" si="3"/>
        <v>-</v>
      </c>
    </row>
    <row r="30" spans="6:19">
      <c r="S30" t="str">
        <f t="shared" si="3"/>
        <v>-</v>
      </c>
    </row>
    <row r="31" spans="6:19">
      <c r="S31" t="str">
        <f t="shared" si="3"/>
        <v>-</v>
      </c>
    </row>
    <row r="32" spans="6:19">
      <c r="S32" t="str">
        <f t="shared" si="3"/>
        <v>-</v>
      </c>
    </row>
    <row r="33" spans="19:19">
      <c r="S33" t="str">
        <f t="shared" si="3"/>
        <v>-</v>
      </c>
    </row>
    <row r="34" spans="19:19">
      <c r="S34" t="str">
        <f t="shared" si="3"/>
        <v>-</v>
      </c>
    </row>
    <row r="35" spans="19:19">
      <c r="S35" t="str">
        <f t="shared" si="3"/>
        <v>-</v>
      </c>
    </row>
  </sheetData>
  <phoneticPr fontId="13" type="noConversion"/>
  <pageMargins left="0.7" right="0.7" top="0.75" bottom="0.75" header="0.3" footer="0.3"/>
  <pageSetup orientation="portrait" horizontalDpi="1200" verticalDpi="1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  <outlinePr summaryBelow="0" summaryRight="0"/>
  </sheetPr>
  <dimension ref="A1:O55"/>
  <sheetViews>
    <sheetView tabSelected="1" zoomScale="106" zoomScaleNormal="106" workbookViewId="0">
      <selection activeCell="E3" sqref="E3"/>
    </sheetView>
  </sheetViews>
  <sheetFormatPr defaultColWidth="12.6640625" defaultRowHeight="15.75" customHeight="1"/>
  <cols>
    <col min="1" max="1" width="17.6640625" style="97" bestFit="1" customWidth="1"/>
    <col min="2" max="4" width="0.33203125" customWidth="1"/>
    <col min="5" max="5" width="18.6640625" style="67" bestFit="1" customWidth="1"/>
    <col min="6" max="6" width="22.5546875" bestFit="1" customWidth="1"/>
    <col min="7" max="8" width="0.33203125" customWidth="1"/>
    <col min="9" max="9" width="0.109375" customWidth="1"/>
    <col min="10" max="11" width="19.5546875" customWidth="1"/>
    <col min="12" max="12" width="9.44140625" hidden="1" customWidth="1"/>
    <col min="13" max="13" width="25.88671875" hidden="1" customWidth="1"/>
    <col min="14" max="14" width="5.5546875" hidden="1" customWidth="1"/>
    <col min="15" max="15" width="24.44140625" customWidth="1"/>
  </cols>
  <sheetData>
    <row r="1" spans="1:15" ht="15.75" customHeight="1">
      <c r="A1" s="137" t="s">
        <v>137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  <c r="O1" s="105"/>
    </row>
    <row r="2" spans="1:15" ht="13.8" thickBot="1">
      <c r="A2" s="122" t="s">
        <v>138</v>
      </c>
      <c r="B2" s="93" t="s">
        <v>139</v>
      </c>
      <c r="C2" s="93" t="s">
        <v>140</v>
      </c>
      <c r="D2" s="94" t="s">
        <v>141</v>
      </c>
      <c r="E2" s="98" t="s">
        <v>142</v>
      </c>
      <c r="F2" s="93" t="s">
        <v>143</v>
      </c>
      <c r="G2" s="93" t="s">
        <v>144</v>
      </c>
      <c r="H2" s="93" t="s">
        <v>145</v>
      </c>
      <c r="I2" s="93" t="s">
        <v>146</v>
      </c>
      <c r="J2" s="93" t="s">
        <v>157</v>
      </c>
      <c r="K2" s="93" t="s">
        <v>147</v>
      </c>
      <c r="L2" s="95" t="s">
        <v>148</v>
      </c>
      <c r="M2" s="95" t="s">
        <v>149</v>
      </c>
      <c r="N2" s="123" t="s">
        <v>150</v>
      </c>
    </row>
    <row r="3" spans="1:15" ht="13.2">
      <c r="A3" s="118" t="s">
        <v>159</v>
      </c>
      <c r="B3" s="86">
        <f t="shared" ref="B3:B13" si="0">C3*I3*8</f>
        <v>0</v>
      </c>
      <c r="C3" s="85"/>
      <c r="D3" s="85"/>
      <c r="E3" s="89">
        <f t="shared" ref="E3:F11" si="1">IF(SUM(E17,E31,E45)=0,"",SUM(E17,E31,E45))</f>
        <v>21.6264</v>
      </c>
      <c r="F3" s="87">
        <f t="shared" si="1"/>
        <v>359</v>
      </c>
      <c r="G3" s="86">
        <f t="shared" ref="G3:G13" si="2">IFERROR(B3-F3,"")</f>
        <v>-359</v>
      </c>
      <c r="H3" s="88" t="str">
        <f t="shared" ref="H3:H13" si="3">IFERROR(F3/B3,"")</f>
        <v/>
      </c>
      <c r="I3" s="85"/>
      <c r="J3" s="87">
        <f t="shared" ref="J3:J13" si="4">IF(SUM(J17,J31,J45)=0,"",SUM(J17,J31,J45))</f>
        <v>12</v>
      </c>
      <c r="K3" s="89">
        <f t="shared" ref="K3:K11" si="5">IFERROR(F3/E3,"")</f>
        <v>16.600081382014576</v>
      </c>
      <c r="L3" s="90">
        <f t="shared" ref="L3:L11" si="6">IFERROR(G3/K3,"")</f>
        <v>-21.6264</v>
      </c>
      <c r="M3" s="90">
        <f t="shared" ref="M3:M13" si="7">IFERROR(L3/8,"")</f>
        <v>-2.7033</v>
      </c>
      <c r="N3" s="124"/>
    </row>
    <row r="4" spans="1:15" ht="13.2">
      <c r="A4" s="119" t="s">
        <v>43</v>
      </c>
      <c r="B4" s="86">
        <f t="shared" si="0"/>
        <v>0</v>
      </c>
      <c r="C4" s="85"/>
      <c r="D4" s="85"/>
      <c r="E4" s="89">
        <f t="shared" si="1"/>
        <v>21.961400000000001</v>
      </c>
      <c r="F4" s="87">
        <f t="shared" si="1"/>
        <v>45</v>
      </c>
      <c r="G4" s="86">
        <f t="shared" si="2"/>
        <v>-45</v>
      </c>
      <c r="H4" s="88" t="str">
        <f t="shared" si="3"/>
        <v/>
      </c>
      <c r="I4" s="85"/>
      <c r="J4" s="87">
        <f t="shared" si="4"/>
        <v>18</v>
      </c>
      <c r="K4" s="89">
        <f t="shared" si="5"/>
        <v>2.0490496962853006</v>
      </c>
      <c r="L4" s="90">
        <f t="shared" si="6"/>
        <v>-21.961399999999998</v>
      </c>
      <c r="M4" s="90">
        <f t="shared" si="7"/>
        <v>-2.7451749999999997</v>
      </c>
      <c r="N4" s="124"/>
    </row>
    <row r="5" spans="1:15" ht="13.2">
      <c r="A5" s="119" t="s">
        <v>162</v>
      </c>
      <c r="B5" s="86">
        <f t="shared" si="0"/>
        <v>0</v>
      </c>
      <c r="C5" s="85"/>
      <c r="D5" s="85"/>
      <c r="E5" s="89" t="str">
        <f t="shared" si="1"/>
        <v/>
      </c>
      <c r="F5" s="87" t="str">
        <f t="shared" si="1"/>
        <v/>
      </c>
      <c r="G5" s="86" t="str">
        <f t="shared" si="2"/>
        <v/>
      </c>
      <c r="H5" s="88" t="str">
        <f t="shared" si="3"/>
        <v/>
      </c>
      <c r="I5" s="85"/>
      <c r="J5" s="87" t="str">
        <f t="shared" si="4"/>
        <v/>
      </c>
      <c r="K5" s="89" t="str">
        <f t="shared" si="5"/>
        <v/>
      </c>
      <c r="L5" s="90" t="str">
        <f t="shared" si="6"/>
        <v/>
      </c>
      <c r="M5" s="90" t="str">
        <f t="shared" si="7"/>
        <v/>
      </c>
      <c r="N5" s="124"/>
    </row>
    <row r="6" spans="1:15" ht="13.2">
      <c r="A6" s="119" t="s">
        <v>164</v>
      </c>
      <c r="B6" s="86">
        <f t="shared" si="0"/>
        <v>0</v>
      </c>
      <c r="C6" s="85"/>
      <c r="D6" s="85"/>
      <c r="E6" s="89">
        <f t="shared" si="1"/>
        <v>31.4071</v>
      </c>
      <c r="F6" s="87">
        <f t="shared" si="1"/>
        <v>354</v>
      </c>
      <c r="G6" s="86">
        <f t="shared" si="2"/>
        <v>-354</v>
      </c>
      <c r="H6" s="88" t="str">
        <f t="shared" si="3"/>
        <v/>
      </c>
      <c r="I6" s="85"/>
      <c r="J6" s="87" t="str">
        <f t="shared" si="4"/>
        <v/>
      </c>
      <c r="K6" s="89">
        <f t="shared" si="5"/>
        <v>11.271336735960977</v>
      </c>
      <c r="L6" s="90">
        <f t="shared" si="6"/>
        <v>-31.4071</v>
      </c>
      <c r="M6" s="90">
        <f t="shared" si="7"/>
        <v>-3.9258875</v>
      </c>
      <c r="N6" s="124"/>
    </row>
    <row r="7" spans="1:15" ht="13.2">
      <c r="A7" s="119" t="s">
        <v>165</v>
      </c>
      <c r="B7" s="86">
        <f t="shared" si="0"/>
        <v>0</v>
      </c>
      <c r="C7" s="85"/>
      <c r="D7" s="85"/>
      <c r="E7" s="89">
        <f t="shared" si="1"/>
        <v>5.4799999999999995</v>
      </c>
      <c r="F7" s="87">
        <f t="shared" si="1"/>
        <v>51</v>
      </c>
      <c r="G7" s="86">
        <f t="shared" si="2"/>
        <v>-51</v>
      </c>
      <c r="H7" s="88" t="str">
        <f t="shared" si="3"/>
        <v/>
      </c>
      <c r="I7" s="85"/>
      <c r="J7" s="87" t="str">
        <f t="shared" si="4"/>
        <v/>
      </c>
      <c r="K7" s="89">
        <f t="shared" si="5"/>
        <v>9.3065693430656946</v>
      </c>
      <c r="L7" s="90">
        <f t="shared" si="6"/>
        <v>-5.4799999999999995</v>
      </c>
      <c r="M7" s="90">
        <f t="shared" si="7"/>
        <v>-0.68499999999999994</v>
      </c>
      <c r="N7" s="124"/>
    </row>
    <row r="8" spans="1:15" ht="13.2">
      <c r="A8" s="119" t="s">
        <v>167</v>
      </c>
      <c r="B8" s="86">
        <f t="shared" si="0"/>
        <v>0</v>
      </c>
      <c r="C8" s="85"/>
      <c r="D8" s="85"/>
      <c r="E8" s="89">
        <f t="shared" si="1"/>
        <v>25.3828</v>
      </c>
      <c r="F8" s="87" t="str">
        <f t="shared" si="1"/>
        <v/>
      </c>
      <c r="G8" s="86" t="str">
        <f t="shared" si="2"/>
        <v/>
      </c>
      <c r="H8" s="88" t="str">
        <f t="shared" si="3"/>
        <v/>
      </c>
      <c r="I8" s="85"/>
      <c r="J8" s="87" t="str">
        <f t="shared" si="4"/>
        <v/>
      </c>
      <c r="K8" s="89" t="str">
        <f t="shared" si="5"/>
        <v/>
      </c>
      <c r="L8" s="90" t="str">
        <f t="shared" si="6"/>
        <v/>
      </c>
      <c r="M8" s="90" t="str">
        <f t="shared" si="7"/>
        <v/>
      </c>
      <c r="N8" s="124"/>
    </row>
    <row r="9" spans="1:15" ht="13.2">
      <c r="A9" s="119" t="s">
        <v>168</v>
      </c>
      <c r="B9" s="86">
        <f t="shared" si="0"/>
        <v>0</v>
      </c>
      <c r="C9" s="85"/>
      <c r="D9" s="85"/>
      <c r="E9" s="89">
        <f t="shared" si="1"/>
        <v>25.812700000000003</v>
      </c>
      <c r="F9" s="87">
        <f t="shared" si="1"/>
        <v>346</v>
      </c>
      <c r="G9" s="86">
        <f t="shared" si="2"/>
        <v>-346</v>
      </c>
      <c r="H9" s="88" t="str">
        <f t="shared" si="3"/>
        <v/>
      </c>
      <c r="I9" s="85"/>
      <c r="J9" s="87" t="str">
        <f t="shared" si="4"/>
        <v/>
      </c>
      <c r="K9" s="89">
        <f t="shared" si="5"/>
        <v>13.404254494880426</v>
      </c>
      <c r="L9" s="90">
        <f t="shared" si="6"/>
        <v>-25.812700000000003</v>
      </c>
      <c r="M9" s="90">
        <f t="shared" si="7"/>
        <v>-3.2265875000000004</v>
      </c>
      <c r="N9" s="124"/>
    </row>
    <row r="10" spans="1:15" ht="13.2">
      <c r="A10" s="119" t="s">
        <v>79</v>
      </c>
      <c r="B10" s="86">
        <f t="shared" si="0"/>
        <v>0</v>
      </c>
      <c r="C10" s="85"/>
      <c r="D10" s="85"/>
      <c r="E10" s="89" t="str">
        <f t="shared" si="1"/>
        <v/>
      </c>
      <c r="F10" s="87" t="str">
        <f t="shared" si="1"/>
        <v/>
      </c>
      <c r="G10" s="86" t="str">
        <f t="shared" si="2"/>
        <v/>
      </c>
      <c r="H10" s="88" t="str">
        <f t="shared" si="3"/>
        <v/>
      </c>
      <c r="I10" s="85"/>
      <c r="J10" s="87" t="str">
        <f t="shared" si="4"/>
        <v/>
      </c>
      <c r="K10" s="89" t="str">
        <f t="shared" si="5"/>
        <v/>
      </c>
      <c r="L10" s="90" t="str">
        <f t="shared" si="6"/>
        <v/>
      </c>
      <c r="M10" s="90" t="str">
        <f t="shared" si="7"/>
        <v/>
      </c>
      <c r="N10" s="124"/>
    </row>
    <row r="11" spans="1:15" ht="13.2">
      <c r="A11" s="119" t="s">
        <v>42</v>
      </c>
      <c r="B11" s="86">
        <f t="shared" si="0"/>
        <v>0</v>
      </c>
      <c r="C11" s="85"/>
      <c r="D11" s="85"/>
      <c r="E11" s="89">
        <f t="shared" si="1"/>
        <v>6.6064000000000007</v>
      </c>
      <c r="F11" s="87">
        <f t="shared" si="1"/>
        <v>63</v>
      </c>
      <c r="G11" s="86">
        <f t="shared" si="2"/>
        <v>-63</v>
      </c>
      <c r="H11" s="88" t="str">
        <f t="shared" si="3"/>
        <v/>
      </c>
      <c r="I11" s="85"/>
      <c r="J11" s="87" t="str">
        <f t="shared" si="4"/>
        <v/>
      </c>
      <c r="K11" s="89">
        <f t="shared" si="5"/>
        <v>9.5362073141196397</v>
      </c>
      <c r="L11" s="90">
        <f t="shared" si="6"/>
        <v>-6.6064000000000016</v>
      </c>
      <c r="M11" s="90">
        <f t="shared" si="7"/>
        <v>-0.8258000000000002</v>
      </c>
      <c r="N11" s="124"/>
    </row>
    <row r="12" spans="1:15" ht="13.2">
      <c r="A12" s="125"/>
      <c r="B12" s="86"/>
      <c r="C12" s="85"/>
      <c r="D12" s="85"/>
      <c r="E12" s="89"/>
      <c r="F12" s="87"/>
      <c r="G12" s="86"/>
      <c r="H12" s="88"/>
      <c r="I12" s="85"/>
      <c r="J12" s="87" t="str">
        <f t="shared" si="4"/>
        <v/>
      </c>
      <c r="K12" s="89" t="str">
        <f t="shared" ref="K12" si="8">IFERROR(F12/E12,"")</f>
        <v/>
      </c>
      <c r="L12" s="90"/>
      <c r="M12" s="90"/>
      <c r="N12" s="124"/>
    </row>
    <row r="13" spans="1:15" ht="13.8" thickBot="1">
      <c r="A13" s="126" t="s">
        <v>151</v>
      </c>
      <c r="B13" s="127" t="e">
        <f t="shared" si="0"/>
        <v>#VALUE!</v>
      </c>
      <c r="C13" s="128">
        <f>SUM(C3:C11)</f>
        <v>0</v>
      </c>
      <c r="D13" s="128"/>
      <c r="E13" s="129">
        <f>IF(SUM(E27,E41,E55)=0,"",SUM(E27,E41,E55))</f>
        <v>138.27679999999998</v>
      </c>
      <c r="F13" s="130">
        <f>IF(SUM(F27,F41,F55)=0,"",SUM(F27,F41,F55))</f>
        <v>1218</v>
      </c>
      <c r="G13" s="127" t="str">
        <f t="shared" si="2"/>
        <v/>
      </c>
      <c r="H13" s="131" t="str">
        <f t="shared" si="3"/>
        <v/>
      </c>
      <c r="I13" s="128" t="str">
        <f>IFERROR(AVERAGE(I3:I11),"")</f>
        <v/>
      </c>
      <c r="J13" s="132">
        <f t="shared" si="4"/>
        <v>30</v>
      </c>
      <c r="K13" s="129">
        <f>IFERROR(AVERAGE(K27,K41,K55),"")</f>
        <v>7.3202020742542606</v>
      </c>
      <c r="L13" s="133" t="str">
        <f>IFERROR(G13/K13,"")</f>
        <v/>
      </c>
      <c r="M13" s="133" t="str">
        <f t="shared" si="7"/>
        <v/>
      </c>
      <c r="N13" s="134"/>
    </row>
    <row r="14" spans="1:15" ht="13.2">
      <c r="A14" s="96"/>
      <c r="B14" s="92"/>
      <c r="C14" s="92"/>
      <c r="D14" s="92"/>
      <c r="E14" s="99"/>
      <c r="F14" s="92"/>
      <c r="G14" s="92"/>
      <c r="H14" s="92"/>
      <c r="I14" s="92"/>
      <c r="J14" s="92"/>
      <c r="K14" s="92"/>
      <c r="L14" s="92"/>
      <c r="M14" s="92"/>
      <c r="N14" s="92"/>
    </row>
    <row r="15" spans="1:15" ht="15.75" customHeight="1">
      <c r="A15" s="140" t="s">
        <v>117</v>
      </c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</row>
    <row r="16" spans="1:15" ht="13.8" thickBot="1">
      <c r="A16" s="93" t="s">
        <v>138</v>
      </c>
      <c r="B16" s="93" t="s">
        <v>139</v>
      </c>
      <c r="C16" s="93" t="s">
        <v>140</v>
      </c>
      <c r="D16" s="94" t="s">
        <v>141</v>
      </c>
      <c r="E16" s="98" t="s">
        <v>142</v>
      </c>
      <c r="F16" s="93" t="s">
        <v>143</v>
      </c>
      <c r="G16" s="93" t="s">
        <v>144</v>
      </c>
      <c r="H16" s="93" t="s">
        <v>145</v>
      </c>
      <c r="I16" s="93" t="s">
        <v>146</v>
      </c>
      <c r="J16" s="93" t="s">
        <v>157</v>
      </c>
      <c r="K16" s="93" t="s">
        <v>153</v>
      </c>
      <c r="L16" s="95" t="s">
        <v>148</v>
      </c>
      <c r="M16" s="95" t="s">
        <v>149</v>
      </c>
      <c r="N16" s="93" t="s">
        <v>150</v>
      </c>
    </row>
    <row r="17" spans="1:14" ht="13.2">
      <c r="A17" s="116" t="s">
        <v>159</v>
      </c>
      <c r="B17" s="86">
        <f t="shared" ref="B17:B27" si="9">C17*I17*8</f>
        <v>0</v>
      </c>
      <c r="C17" s="85"/>
      <c r="D17" s="85"/>
      <c r="E17" s="89" t="str">
        <f>Pivot!B2</f>
        <v/>
      </c>
      <c r="F17" s="89" t="str">
        <f>Pivot!C2</f>
        <v/>
      </c>
      <c r="G17" s="86" t="str">
        <f t="shared" ref="G17:G27" si="10">IFERROR(B17-F17,"")</f>
        <v/>
      </c>
      <c r="H17" s="88" t="str">
        <f t="shared" ref="H17:H27" si="11">IFERROR(F17/B17,"")</f>
        <v/>
      </c>
      <c r="I17" s="85"/>
      <c r="J17" s="143" t="str">
        <f>Pivot!D2</f>
        <v/>
      </c>
      <c r="K17" s="89" t="str">
        <f>IFERROR(F17/E17,"")</f>
        <v/>
      </c>
      <c r="L17" s="90" t="str">
        <f t="shared" ref="L17:L25" si="12">IFERROR(G17/K17,"")</f>
        <v/>
      </c>
      <c r="M17" s="90" t="str">
        <f t="shared" ref="M17:M27" si="13">IFERROR(L17/8,"")</f>
        <v/>
      </c>
      <c r="N17" s="85"/>
    </row>
    <row r="18" spans="1:14" ht="13.2">
      <c r="A18" s="117" t="s">
        <v>43</v>
      </c>
      <c r="B18" s="86">
        <f t="shared" si="9"/>
        <v>0</v>
      </c>
      <c r="C18" s="85"/>
      <c r="D18" s="85"/>
      <c r="E18" s="89" t="str">
        <f>Pivot!B3</f>
        <v/>
      </c>
      <c r="F18" s="89" t="str">
        <f>Pivot!C3</f>
        <v/>
      </c>
      <c r="G18" s="86" t="str">
        <f t="shared" si="10"/>
        <v/>
      </c>
      <c r="H18" s="88" t="str">
        <f t="shared" si="11"/>
        <v/>
      </c>
      <c r="I18" s="85"/>
      <c r="J18" s="143" t="str">
        <f>Pivot!D3</f>
        <v/>
      </c>
      <c r="K18" s="89" t="str">
        <f t="shared" ref="K18:K25" si="14">IFERROR(F18/E18,"")</f>
        <v/>
      </c>
      <c r="L18" s="90" t="str">
        <f t="shared" si="12"/>
        <v/>
      </c>
      <c r="M18" s="90" t="str">
        <f t="shared" si="13"/>
        <v/>
      </c>
      <c r="N18" s="85"/>
    </row>
    <row r="19" spans="1:14" ht="13.2">
      <c r="A19" s="117" t="s">
        <v>162</v>
      </c>
      <c r="B19" s="86">
        <f t="shared" si="9"/>
        <v>0</v>
      </c>
      <c r="C19" s="85"/>
      <c r="D19" s="85"/>
      <c r="E19" s="89" t="str">
        <f>Pivot!B4</f>
        <v/>
      </c>
      <c r="F19" s="89" t="str">
        <f>Pivot!C4</f>
        <v/>
      </c>
      <c r="G19" s="86" t="str">
        <f t="shared" si="10"/>
        <v/>
      </c>
      <c r="H19" s="88" t="str">
        <f t="shared" si="11"/>
        <v/>
      </c>
      <c r="I19" s="85"/>
      <c r="J19" s="143" t="str">
        <f>Pivot!D4</f>
        <v/>
      </c>
      <c r="K19" s="89" t="str">
        <f t="shared" si="14"/>
        <v/>
      </c>
      <c r="L19" s="90" t="str">
        <f t="shared" si="12"/>
        <v/>
      </c>
      <c r="M19" s="90" t="str">
        <f t="shared" si="13"/>
        <v/>
      </c>
      <c r="N19" s="85"/>
    </row>
    <row r="20" spans="1:14" ht="13.2">
      <c r="A20" s="117" t="s">
        <v>164</v>
      </c>
      <c r="B20" s="86">
        <f t="shared" si="9"/>
        <v>0</v>
      </c>
      <c r="C20" s="85"/>
      <c r="D20" s="85"/>
      <c r="E20" s="89" t="str">
        <f>Pivot!B5</f>
        <v/>
      </c>
      <c r="F20" s="89" t="str">
        <f>Pivot!C5</f>
        <v/>
      </c>
      <c r="G20" s="86" t="str">
        <f t="shared" si="10"/>
        <v/>
      </c>
      <c r="H20" s="88" t="str">
        <f t="shared" si="11"/>
        <v/>
      </c>
      <c r="I20" s="85"/>
      <c r="J20" s="143" t="str">
        <f>Pivot!D5</f>
        <v/>
      </c>
      <c r="K20" s="89" t="str">
        <f t="shared" si="14"/>
        <v/>
      </c>
      <c r="L20" s="90" t="str">
        <f t="shared" si="12"/>
        <v/>
      </c>
      <c r="M20" s="90" t="str">
        <f t="shared" si="13"/>
        <v/>
      </c>
      <c r="N20" s="85"/>
    </row>
    <row r="21" spans="1:14" ht="13.2">
      <c r="A21" s="117" t="s">
        <v>165</v>
      </c>
      <c r="B21" s="86">
        <f t="shared" si="9"/>
        <v>0</v>
      </c>
      <c r="C21" s="85"/>
      <c r="D21" s="85"/>
      <c r="E21" s="89" t="str">
        <f>Pivot!B6</f>
        <v/>
      </c>
      <c r="F21" s="89" t="str">
        <f>Pivot!C6</f>
        <v/>
      </c>
      <c r="G21" s="86" t="str">
        <f t="shared" si="10"/>
        <v/>
      </c>
      <c r="H21" s="88" t="str">
        <f t="shared" si="11"/>
        <v/>
      </c>
      <c r="I21" s="85"/>
      <c r="J21" s="143" t="str">
        <f>Pivot!D6</f>
        <v/>
      </c>
      <c r="K21" s="89" t="str">
        <f t="shared" si="14"/>
        <v/>
      </c>
      <c r="L21" s="90" t="str">
        <f t="shared" si="12"/>
        <v/>
      </c>
      <c r="M21" s="90" t="str">
        <f t="shared" si="13"/>
        <v/>
      </c>
      <c r="N21" s="85"/>
    </row>
    <row r="22" spans="1:14" ht="13.2">
      <c r="A22" s="117" t="s">
        <v>167</v>
      </c>
      <c r="B22" s="86">
        <f t="shared" si="9"/>
        <v>0</v>
      </c>
      <c r="C22" s="85"/>
      <c r="D22" s="85"/>
      <c r="E22" s="89" t="str">
        <f>Pivot!B7</f>
        <v/>
      </c>
      <c r="F22" s="89" t="str">
        <f>Pivot!C7</f>
        <v/>
      </c>
      <c r="G22" s="86" t="str">
        <f t="shared" si="10"/>
        <v/>
      </c>
      <c r="H22" s="88" t="str">
        <f t="shared" si="11"/>
        <v/>
      </c>
      <c r="I22" s="85"/>
      <c r="J22" s="143" t="str">
        <f>Pivot!D7</f>
        <v/>
      </c>
      <c r="K22" s="89" t="str">
        <f t="shared" si="14"/>
        <v/>
      </c>
      <c r="L22" s="90" t="str">
        <f t="shared" si="12"/>
        <v/>
      </c>
      <c r="M22" s="90" t="str">
        <f t="shared" si="13"/>
        <v/>
      </c>
      <c r="N22" s="85"/>
    </row>
    <row r="23" spans="1:14" ht="13.2">
      <c r="A23" s="117" t="s">
        <v>168</v>
      </c>
      <c r="B23" s="86">
        <f t="shared" si="9"/>
        <v>0</v>
      </c>
      <c r="C23" s="85"/>
      <c r="D23" s="85"/>
      <c r="E23" s="89" t="str">
        <f>Pivot!B8</f>
        <v/>
      </c>
      <c r="F23" s="89" t="str">
        <f>Pivot!C8</f>
        <v/>
      </c>
      <c r="G23" s="86" t="str">
        <f t="shared" si="10"/>
        <v/>
      </c>
      <c r="H23" s="88" t="str">
        <f t="shared" si="11"/>
        <v/>
      </c>
      <c r="I23" s="85"/>
      <c r="J23" s="143" t="str">
        <f>Pivot!D8</f>
        <v/>
      </c>
      <c r="K23" s="89" t="str">
        <f t="shared" si="14"/>
        <v/>
      </c>
      <c r="L23" s="90" t="str">
        <f t="shared" si="12"/>
        <v/>
      </c>
      <c r="M23" s="90" t="str">
        <f t="shared" si="13"/>
        <v/>
      </c>
      <c r="N23" s="85"/>
    </row>
    <row r="24" spans="1:14" ht="13.2">
      <c r="A24" s="117" t="s">
        <v>79</v>
      </c>
      <c r="B24" s="86">
        <f t="shared" si="9"/>
        <v>0</v>
      </c>
      <c r="C24" s="85"/>
      <c r="D24" s="85"/>
      <c r="E24" s="89" t="str">
        <f>Pivot!B9</f>
        <v/>
      </c>
      <c r="F24" s="89" t="str">
        <f>Pivot!C9</f>
        <v/>
      </c>
      <c r="G24" s="86" t="str">
        <f t="shared" si="10"/>
        <v/>
      </c>
      <c r="H24" s="88" t="str">
        <f t="shared" si="11"/>
        <v/>
      </c>
      <c r="I24" s="85"/>
      <c r="J24" s="143" t="str">
        <f>Pivot!D9</f>
        <v/>
      </c>
      <c r="K24" s="89" t="str">
        <f t="shared" si="14"/>
        <v/>
      </c>
      <c r="L24" s="90" t="str">
        <f t="shared" si="12"/>
        <v/>
      </c>
      <c r="M24" s="90" t="str">
        <f t="shared" si="13"/>
        <v/>
      </c>
      <c r="N24" s="85"/>
    </row>
    <row r="25" spans="1:14" ht="13.2">
      <c r="A25" s="117" t="s">
        <v>42</v>
      </c>
      <c r="B25" s="86">
        <f t="shared" si="9"/>
        <v>0</v>
      </c>
      <c r="C25" s="85"/>
      <c r="D25" s="85"/>
      <c r="E25" s="89" t="str">
        <f>Pivot!B10</f>
        <v/>
      </c>
      <c r="F25" s="89" t="str">
        <f>Pivot!C10</f>
        <v/>
      </c>
      <c r="G25" s="86" t="str">
        <f t="shared" si="10"/>
        <v/>
      </c>
      <c r="H25" s="88" t="str">
        <f t="shared" si="11"/>
        <v/>
      </c>
      <c r="I25" s="85"/>
      <c r="J25" s="143" t="str">
        <f>Pivot!D10</f>
        <v/>
      </c>
      <c r="K25" s="89" t="str">
        <f t="shared" si="14"/>
        <v/>
      </c>
      <c r="L25" s="90" t="str">
        <f t="shared" si="12"/>
        <v/>
      </c>
      <c r="M25" s="90" t="str">
        <f t="shared" si="13"/>
        <v/>
      </c>
      <c r="N25" s="85"/>
    </row>
    <row r="26" spans="1:14" ht="13.2">
      <c r="A26" s="106"/>
      <c r="B26" s="86"/>
      <c r="C26" s="85"/>
      <c r="D26" s="85"/>
      <c r="E26" s="89" t="str">
        <f>Pivot!B11</f>
        <v/>
      </c>
      <c r="F26" s="89" t="str">
        <f>Pivot!C11</f>
        <v/>
      </c>
      <c r="G26" s="86"/>
      <c r="H26" s="88"/>
      <c r="I26" s="85"/>
      <c r="J26" s="143" t="str">
        <f>Pivot!D11</f>
        <v/>
      </c>
      <c r="K26" s="89" t="str">
        <f>IFERROR(F26/E26,"")</f>
        <v/>
      </c>
      <c r="L26" s="90"/>
      <c r="M26" s="90"/>
      <c r="N26" s="85"/>
    </row>
    <row r="27" spans="1:14" ht="13.2">
      <c r="A27" s="107" t="s">
        <v>151</v>
      </c>
      <c r="B27" s="86" t="e">
        <f t="shared" si="9"/>
        <v>#VALUE!</v>
      </c>
      <c r="C27" s="91">
        <f>SUM(C17:C25)</f>
        <v>0</v>
      </c>
      <c r="D27" s="91"/>
      <c r="E27" s="120">
        <f>SUM(E17:E26)</f>
        <v>0</v>
      </c>
      <c r="F27" s="121">
        <f>SUM(F17:F26)</f>
        <v>0</v>
      </c>
      <c r="G27" s="86" t="str">
        <f t="shared" si="10"/>
        <v/>
      </c>
      <c r="H27" s="88" t="str">
        <f t="shared" si="11"/>
        <v/>
      </c>
      <c r="I27" s="91" t="str">
        <f>IFERROR(AVERAGE(I17:I25),"")</f>
        <v/>
      </c>
      <c r="J27" s="107">
        <f>SUM(J17:J26)</f>
        <v>0</v>
      </c>
      <c r="K27" s="120" t="str">
        <f>IFERROR(AVERAGE(K17:K26),"")</f>
        <v/>
      </c>
      <c r="L27" s="90" t="str">
        <f>IFERROR(G27/K27,"")</f>
        <v/>
      </c>
      <c r="M27" s="90" t="str">
        <f t="shared" si="13"/>
        <v/>
      </c>
      <c r="N27" s="85"/>
    </row>
    <row r="28" spans="1:14" ht="15.75" customHeight="1">
      <c r="A28" s="96"/>
      <c r="B28" s="92"/>
      <c r="C28" s="92"/>
      <c r="D28" s="92"/>
      <c r="E28" s="99"/>
      <c r="F28" s="92"/>
      <c r="G28" s="92"/>
      <c r="H28" s="92"/>
      <c r="I28" s="92"/>
      <c r="J28" s="92"/>
      <c r="K28" s="92"/>
      <c r="L28" s="92"/>
      <c r="M28" s="92"/>
      <c r="N28" s="92"/>
    </row>
    <row r="29" spans="1:14" ht="15.75" customHeight="1">
      <c r="A29" s="140" t="s">
        <v>121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</row>
    <row r="30" spans="1:14" ht="13.8" thickBot="1">
      <c r="A30" s="93" t="s">
        <v>138</v>
      </c>
      <c r="B30" s="93" t="s">
        <v>139</v>
      </c>
      <c r="C30" s="93" t="s">
        <v>152</v>
      </c>
      <c r="D30" s="93"/>
      <c r="E30" s="98" t="s">
        <v>142</v>
      </c>
      <c r="F30" s="93" t="s">
        <v>143</v>
      </c>
      <c r="G30" s="93" t="s">
        <v>144</v>
      </c>
      <c r="H30" s="93" t="s">
        <v>145</v>
      </c>
      <c r="I30" s="93" t="s">
        <v>146</v>
      </c>
      <c r="J30" s="93" t="s">
        <v>157</v>
      </c>
      <c r="K30" s="93" t="s">
        <v>153</v>
      </c>
      <c r="L30" s="95" t="s">
        <v>148</v>
      </c>
      <c r="M30" s="95" t="s">
        <v>149</v>
      </c>
      <c r="N30" s="93" t="s">
        <v>150</v>
      </c>
    </row>
    <row r="31" spans="1:14" ht="13.2">
      <c r="A31" s="116" t="s">
        <v>159</v>
      </c>
      <c r="B31" s="86">
        <f t="shared" ref="B31:B41" si="15">C31*I31*8</f>
        <v>0</v>
      </c>
      <c r="C31" s="85"/>
      <c r="D31" s="85"/>
      <c r="E31" s="89" t="str">
        <f>Pivot!H2</f>
        <v/>
      </c>
      <c r="F31" s="89" t="str">
        <f>Pivot!I2</f>
        <v/>
      </c>
      <c r="G31" s="86" t="str">
        <f t="shared" ref="G31:G41" si="16">IFERROR(B31-F31,"")</f>
        <v/>
      </c>
      <c r="H31" s="88" t="str">
        <f t="shared" ref="H31:H41" si="17">IFERROR(F31/B31,"")</f>
        <v/>
      </c>
      <c r="I31" s="85"/>
      <c r="J31" s="143" t="str">
        <f>Pivot!J2</f>
        <v/>
      </c>
      <c r="K31" s="89" t="str">
        <f>IFERROR(F31/E31,"")</f>
        <v/>
      </c>
      <c r="L31" s="89" t="str">
        <f t="shared" ref="L31:N31" si="18">IFERROR(G31/F31,"")</f>
        <v/>
      </c>
      <c r="M31" s="89" t="str">
        <f t="shared" si="18"/>
        <v/>
      </c>
      <c r="N31" s="89" t="str">
        <f t="shared" si="18"/>
        <v/>
      </c>
    </row>
    <row r="32" spans="1:14" ht="13.2">
      <c r="A32" s="117" t="s">
        <v>43</v>
      </c>
      <c r="B32" s="86">
        <f t="shared" si="15"/>
        <v>0</v>
      </c>
      <c r="C32" s="85"/>
      <c r="D32" s="85"/>
      <c r="E32" s="89">
        <f>Pivot!H3</f>
        <v>21.961400000000001</v>
      </c>
      <c r="F32" s="89">
        <f>Pivot!I3</f>
        <v>45</v>
      </c>
      <c r="G32" s="86">
        <f t="shared" si="16"/>
        <v>-45</v>
      </c>
      <c r="H32" s="88" t="str">
        <f t="shared" si="17"/>
        <v/>
      </c>
      <c r="I32" s="85"/>
      <c r="J32" s="143">
        <f>Pivot!J3</f>
        <v>18</v>
      </c>
      <c r="K32" s="89">
        <f t="shared" ref="K32:K40" si="19">IFERROR(F32/E32,"")</f>
        <v>2.0490496962853006</v>
      </c>
      <c r="L32" s="90">
        <f t="shared" ref="L32:L39" si="20">IFERROR(G32/K32,"")</f>
        <v>-21.961399999999998</v>
      </c>
      <c r="M32" s="90">
        <f t="shared" ref="M32:M41" si="21">IFERROR(L32/8,"")</f>
        <v>-2.7451749999999997</v>
      </c>
      <c r="N32" s="85"/>
    </row>
    <row r="33" spans="1:14" ht="13.2">
      <c r="A33" s="117" t="s">
        <v>162</v>
      </c>
      <c r="B33" s="86">
        <f t="shared" si="15"/>
        <v>0</v>
      </c>
      <c r="C33" s="85"/>
      <c r="D33" s="85"/>
      <c r="E33" s="89" t="str">
        <f>Pivot!H4</f>
        <v/>
      </c>
      <c r="F33" s="89" t="str">
        <f>Pivot!I4</f>
        <v/>
      </c>
      <c r="G33" s="86" t="str">
        <f t="shared" si="16"/>
        <v/>
      </c>
      <c r="H33" s="88" t="str">
        <f t="shared" si="17"/>
        <v/>
      </c>
      <c r="I33" s="85"/>
      <c r="J33" s="143" t="str">
        <f>Pivot!J4</f>
        <v/>
      </c>
      <c r="K33" s="89" t="str">
        <f t="shared" si="19"/>
        <v/>
      </c>
      <c r="L33" s="90" t="str">
        <f t="shared" si="20"/>
        <v/>
      </c>
      <c r="M33" s="90" t="str">
        <f t="shared" si="21"/>
        <v/>
      </c>
      <c r="N33" s="85"/>
    </row>
    <row r="34" spans="1:14" ht="13.2">
      <c r="A34" s="117" t="s">
        <v>164</v>
      </c>
      <c r="B34" s="86">
        <f t="shared" si="15"/>
        <v>0</v>
      </c>
      <c r="C34" s="85"/>
      <c r="D34" s="85"/>
      <c r="E34" s="89">
        <f>Pivot!H5</f>
        <v>16.727799999999998</v>
      </c>
      <c r="F34" s="89">
        <f>Pivot!I5</f>
        <v>217</v>
      </c>
      <c r="G34" s="86">
        <f t="shared" si="16"/>
        <v>-217</v>
      </c>
      <c r="H34" s="88" t="str">
        <f t="shared" si="17"/>
        <v/>
      </c>
      <c r="I34" s="85"/>
      <c r="J34" s="143">
        <f>Pivot!J5</f>
        <v>0</v>
      </c>
      <c r="K34" s="89">
        <f t="shared" si="19"/>
        <v>12.972417173806479</v>
      </c>
      <c r="L34" s="90">
        <f t="shared" si="20"/>
        <v>-16.727799999999998</v>
      </c>
      <c r="M34" s="90">
        <f t="shared" si="21"/>
        <v>-2.0909749999999998</v>
      </c>
      <c r="N34" s="85"/>
    </row>
    <row r="35" spans="1:14" ht="13.2">
      <c r="A35" s="117" t="s">
        <v>165</v>
      </c>
      <c r="B35" s="86">
        <f t="shared" si="15"/>
        <v>0</v>
      </c>
      <c r="C35" s="85"/>
      <c r="D35" s="85"/>
      <c r="E35" s="89" t="str">
        <f>Pivot!H6</f>
        <v/>
      </c>
      <c r="F35" s="89" t="str">
        <f>Pivot!I6</f>
        <v/>
      </c>
      <c r="G35" s="86" t="str">
        <f t="shared" si="16"/>
        <v/>
      </c>
      <c r="H35" s="88" t="str">
        <f t="shared" si="17"/>
        <v/>
      </c>
      <c r="I35" s="85"/>
      <c r="J35" s="143" t="str">
        <f>Pivot!J6</f>
        <v/>
      </c>
      <c r="K35" s="89" t="str">
        <f t="shared" si="19"/>
        <v/>
      </c>
      <c r="L35" s="90" t="str">
        <f t="shared" si="20"/>
        <v/>
      </c>
      <c r="M35" s="90" t="str">
        <f t="shared" si="21"/>
        <v/>
      </c>
      <c r="N35" s="85"/>
    </row>
    <row r="36" spans="1:14" ht="13.2">
      <c r="A36" s="117" t="s">
        <v>167</v>
      </c>
      <c r="B36" s="86">
        <f t="shared" si="15"/>
        <v>0</v>
      </c>
      <c r="C36" s="85"/>
      <c r="D36" s="85"/>
      <c r="E36" s="89">
        <f>Pivot!H7</f>
        <v>22.725899999999999</v>
      </c>
      <c r="F36" s="89">
        <f>Pivot!I7</f>
        <v>0</v>
      </c>
      <c r="G36" s="86">
        <f t="shared" si="16"/>
        <v>0</v>
      </c>
      <c r="H36" s="88" t="str">
        <f t="shared" si="17"/>
        <v/>
      </c>
      <c r="I36" s="85"/>
      <c r="J36" s="143">
        <f>Pivot!J7</f>
        <v>0</v>
      </c>
      <c r="K36" s="89">
        <f t="shared" si="19"/>
        <v>0</v>
      </c>
      <c r="L36" s="90" t="str">
        <f t="shared" si="20"/>
        <v/>
      </c>
      <c r="M36" s="90" t="str">
        <f t="shared" si="21"/>
        <v/>
      </c>
      <c r="N36" s="85"/>
    </row>
    <row r="37" spans="1:14" ht="13.2">
      <c r="A37" s="117" t="s">
        <v>168</v>
      </c>
      <c r="B37" s="86">
        <f t="shared" si="15"/>
        <v>0</v>
      </c>
      <c r="C37" s="85"/>
      <c r="D37" s="85"/>
      <c r="E37" s="89">
        <f>Pivot!H8</f>
        <v>1.1000000000000001E-3</v>
      </c>
      <c r="F37" s="89">
        <f>Pivot!I8</f>
        <v>0</v>
      </c>
      <c r="G37" s="86">
        <f t="shared" si="16"/>
        <v>0</v>
      </c>
      <c r="H37" s="88" t="str">
        <f t="shared" si="17"/>
        <v/>
      </c>
      <c r="I37" s="85"/>
      <c r="J37" s="143">
        <f>Pivot!J8</f>
        <v>0</v>
      </c>
      <c r="K37" s="89">
        <f t="shared" si="19"/>
        <v>0</v>
      </c>
      <c r="L37" s="90" t="str">
        <f t="shared" si="20"/>
        <v/>
      </c>
      <c r="M37" s="90" t="str">
        <f t="shared" si="21"/>
        <v/>
      </c>
      <c r="N37" s="85"/>
    </row>
    <row r="38" spans="1:14" ht="13.2">
      <c r="A38" s="117" t="s">
        <v>79</v>
      </c>
      <c r="B38" s="86">
        <f t="shared" si="15"/>
        <v>0</v>
      </c>
      <c r="C38" s="85"/>
      <c r="D38" s="85"/>
      <c r="E38" s="89" t="str">
        <f>Pivot!H9</f>
        <v/>
      </c>
      <c r="F38" s="89" t="str">
        <f>Pivot!I9</f>
        <v/>
      </c>
      <c r="G38" s="86" t="str">
        <f t="shared" si="16"/>
        <v/>
      </c>
      <c r="H38" s="88" t="str">
        <f t="shared" si="17"/>
        <v/>
      </c>
      <c r="I38" s="85"/>
      <c r="J38" s="143" t="str">
        <f>Pivot!J9</f>
        <v/>
      </c>
      <c r="K38" s="89" t="str">
        <f t="shared" si="19"/>
        <v/>
      </c>
      <c r="L38" s="90" t="str">
        <f t="shared" si="20"/>
        <v/>
      </c>
      <c r="M38" s="90" t="str">
        <f t="shared" si="21"/>
        <v/>
      </c>
      <c r="N38" s="85"/>
    </row>
    <row r="39" spans="1:14" ht="13.2">
      <c r="A39" s="117" t="s">
        <v>42</v>
      </c>
      <c r="B39" s="86">
        <f t="shared" si="15"/>
        <v>0</v>
      </c>
      <c r="C39" s="85"/>
      <c r="D39" s="85"/>
      <c r="E39" s="89">
        <f>Pivot!H10</f>
        <v>6.6064000000000007</v>
      </c>
      <c r="F39" s="89">
        <f>Pivot!I10</f>
        <v>63</v>
      </c>
      <c r="G39" s="86">
        <f t="shared" si="16"/>
        <v>-63</v>
      </c>
      <c r="H39" s="88" t="str">
        <f t="shared" si="17"/>
        <v/>
      </c>
      <c r="I39" s="85"/>
      <c r="J39" s="143">
        <f>Pivot!J10</f>
        <v>0</v>
      </c>
      <c r="K39" s="89">
        <f t="shared" si="19"/>
        <v>9.5362073141196397</v>
      </c>
      <c r="L39" s="90">
        <f t="shared" si="20"/>
        <v>-6.6064000000000016</v>
      </c>
      <c r="M39" s="90">
        <f t="shared" si="21"/>
        <v>-0.8258000000000002</v>
      </c>
      <c r="N39" s="85"/>
    </row>
    <row r="40" spans="1:14" ht="13.2">
      <c r="A40" s="106"/>
      <c r="B40" s="86"/>
      <c r="C40" s="85"/>
      <c r="D40" s="85"/>
      <c r="E40" s="89" t="str">
        <f>Pivot!H11</f>
        <v/>
      </c>
      <c r="F40" s="89" t="str">
        <f>Pivot!I11</f>
        <v/>
      </c>
      <c r="G40" s="86"/>
      <c r="H40" s="88"/>
      <c r="I40" s="85"/>
      <c r="J40" s="143" t="str">
        <f>Pivot!J11</f>
        <v/>
      </c>
      <c r="K40" s="89" t="str">
        <f t="shared" si="19"/>
        <v/>
      </c>
      <c r="L40" s="90"/>
      <c r="M40" s="90"/>
      <c r="N40" s="85"/>
    </row>
    <row r="41" spans="1:14" ht="13.2">
      <c r="A41" s="107" t="s">
        <v>151</v>
      </c>
      <c r="B41" s="86" t="e">
        <f t="shared" si="15"/>
        <v>#VALUE!</v>
      </c>
      <c r="C41" s="91">
        <f>SUM(C31:C39)</f>
        <v>0</v>
      </c>
      <c r="D41" s="91"/>
      <c r="E41" s="120">
        <f>SUM(E31:E40)</f>
        <v>68.022599999999997</v>
      </c>
      <c r="F41" s="121">
        <f>SUM(F31:F40)</f>
        <v>325</v>
      </c>
      <c r="G41" s="86" t="str">
        <f t="shared" si="16"/>
        <v/>
      </c>
      <c r="H41" s="88" t="str">
        <f t="shared" si="17"/>
        <v/>
      </c>
      <c r="I41" s="91" t="str">
        <f>IFERROR(AVERAGE(I31:I39),"")</f>
        <v/>
      </c>
      <c r="J41" s="107">
        <f>SUM(J31:J40)</f>
        <v>18</v>
      </c>
      <c r="K41" s="120">
        <f>IFERROR(AVERAGE(K31:K40),"")</f>
        <v>4.911534836842284</v>
      </c>
      <c r="L41" s="90" t="str">
        <f>IFERROR(G41/K41,"")</f>
        <v/>
      </c>
      <c r="M41" s="90" t="str">
        <f t="shared" si="21"/>
        <v/>
      </c>
      <c r="N41" s="85"/>
    </row>
    <row r="42" spans="1:14" ht="15.75" customHeight="1">
      <c r="A42" s="96"/>
      <c r="B42" s="92"/>
      <c r="C42" s="92"/>
      <c r="D42" s="92"/>
      <c r="E42" s="99"/>
      <c r="F42" s="92"/>
      <c r="G42" s="92"/>
      <c r="H42" s="92"/>
      <c r="I42" s="92"/>
      <c r="J42" s="92"/>
      <c r="K42" s="92"/>
      <c r="L42" s="92"/>
      <c r="M42" s="92"/>
      <c r="N42" s="92"/>
    </row>
    <row r="43" spans="1:14" ht="15.75" customHeight="1">
      <c r="A43" s="140" t="s">
        <v>122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</row>
    <row r="44" spans="1:14" ht="15.75" customHeight="1" thickBot="1">
      <c r="A44" s="93" t="s">
        <v>138</v>
      </c>
      <c r="B44" s="93" t="s">
        <v>139</v>
      </c>
      <c r="C44" s="93" t="s">
        <v>152</v>
      </c>
      <c r="D44" s="93"/>
      <c r="E44" s="98" t="s">
        <v>142</v>
      </c>
      <c r="F44" s="93" t="s">
        <v>143</v>
      </c>
      <c r="G44" s="93" t="s">
        <v>144</v>
      </c>
      <c r="H44" s="93" t="s">
        <v>145</v>
      </c>
      <c r="I44" s="93" t="s">
        <v>146</v>
      </c>
      <c r="J44" s="93" t="s">
        <v>157</v>
      </c>
      <c r="K44" s="93" t="s">
        <v>153</v>
      </c>
      <c r="L44" s="95" t="s">
        <v>148</v>
      </c>
      <c r="M44" s="95" t="s">
        <v>149</v>
      </c>
      <c r="N44" s="93" t="s">
        <v>150</v>
      </c>
    </row>
    <row r="45" spans="1:14" ht="15.75" customHeight="1">
      <c r="A45" s="116" t="s">
        <v>159</v>
      </c>
      <c r="B45" s="86">
        <f t="shared" ref="B45:B55" si="22">C45*I45*8</f>
        <v>0</v>
      </c>
      <c r="C45" s="85"/>
      <c r="D45" s="85"/>
      <c r="E45" s="89">
        <f>Pivot!N2</f>
        <v>21.6264</v>
      </c>
      <c r="F45" s="89">
        <f>Pivot!O2</f>
        <v>359</v>
      </c>
      <c r="G45" s="86">
        <f>IFERROR(B45-F45,"")</f>
        <v>-359</v>
      </c>
      <c r="H45" s="88" t="str">
        <f>IFERROR(F45/B45,"")</f>
        <v/>
      </c>
      <c r="I45" s="85"/>
      <c r="J45" s="143">
        <f>Pivot!P2</f>
        <v>12</v>
      </c>
      <c r="K45" s="89">
        <f>IFERROR(F45/E45,"")</f>
        <v>16.600081382014576</v>
      </c>
      <c r="L45" s="89">
        <f t="shared" ref="L45:N45" si="23">IFERROR(G45/F45,"")</f>
        <v>-1</v>
      </c>
      <c r="M45" s="89" t="str">
        <f t="shared" si="23"/>
        <v/>
      </c>
      <c r="N45" s="89" t="str">
        <f t="shared" si="23"/>
        <v/>
      </c>
    </row>
    <row r="46" spans="1:14" ht="15.75" customHeight="1">
      <c r="A46" s="117" t="s">
        <v>43</v>
      </c>
      <c r="B46" s="86">
        <f t="shared" si="22"/>
        <v>0</v>
      </c>
      <c r="C46" s="85"/>
      <c r="D46" s="85"/>
      <c r="E46" s="89" t="str">
        <f>Pivot!N3</f>
        <v/>
      </c>
      <c r="F46" s="89" t="str">
        <f>Pivot!O3</f>
        <v/>
      </c>
      <c r="G46" s="86" t="str">
        <f t="shared" ref="G46:G55" si="24">IFERROR(B46-F46,"")</f>
        <v/>
      </c>
      <c r="H46" s="88" t="str">
        <f t="shared" ref="H46:H55" si="25">IFERROR(F46/B46,"")</f>
        <v/>
      </c>
      <c r="I46" s="85"/>
      <c r="J46" s="143" t="str">
        <f>Pivot!P3</f>
        <v/>
      </c>
      <c r="K46" s="89" t="str">
        <f t="shared" ref="K46:K54" si="26">IFERROR(F46/E46,"")</f>
        <v/>
      </c>
      <c r="L46" s="90" t="str">
        <f t="shared" ref="L46:L53" si="27">IFERROR(G46/K46,"")</f>
        <v/>
      </c>
      <c r="M46" s="90" t="str">
        <f t="shared" ref="M46:M55" si="28">IFERROR(L46/8,"")</f>
        <v/>
      </c>
      <c r="N46" s="85"/>
    </row>
    <row r="47" spans="1:14" ht="15.75" customHeight="1">
      <c r="A47" s="117" t="s">
        <v>162</v>
      </c>
      <c r="B47" s="86">
        <f t="shared" si="22"/>
        <v>0</v>
      </c>
      <c r="C47" s="85"/>
      <c r="D47" s="85"/>
      <c r="E47" s="89" t="str">
        <f>Pivot!N4</f>
        <v/>
      </c>
      <c r="F47" s="89" t="str">
        <f>Pivot!O4</f>
        <v/>
      </c>
      <c r="G47" s="86" t="str">
        <f t="shared" si="24"/>
        <v/>
      </c>
      <c r="H47" s="88" t="str">
        <f t="shared" si="25"/>
        <v/>
      </c>
      <c r="I47" s="85"/>
      <c r="J47" s="143" t="str">
        <f>Pivot!P4</f>
        <v/>
      </c>
      <c r="K47" s="89" t="str">
        <f t="shared" si="26"/>
        <v/>
      </c>
      <c r="L47" s="90" t="str">
        <f t="shared" si="27"/>
        <v/>
      </c>
      <c r="M47" s="90" t="str">
        <f t="shared" si="28"/>
        <v/>
      </c>
      <c r="N47" s="85"/>
    </row>
    <row r="48" spans="1:14" ht="15.75" customHeight="1">
      <c r="A48" s="117" t="s">
        <v>164</v>
      </c>
      <c r="B48" s="86">
        <f t="shared" si="22"/>
        <v>0</v>
      </c>
      <c r="C48" s="85"/>
      <c r="D48" s="85"/>
      <c r="E48" s="89">
        <f>Pivot!N5</f>
        <v>14.6793</v>
      </c>
      <c r="F48" s="89">
        <f>Pivot!O5</f>
        <v>137</v>
      </c>
      <c r="G48" s="86">
        <f t="shared" si="24"/>
        <v>-137</v>
      </c>
      <c r="H48" s="88" t="str">
        <f t="shared" si="25"/>
        <v/>
      </c>
      <c r="I48" s="85"/>
      <c r="J48" s="143">
        <f>Pivot!P5</f>
        <v>0</v>
      </c>
      <c r="K48" s="89">
        <f t="shared" si="26"/>
        <v>9.3328700959855038</v>
      </c>
      <c r="L48" s="90">
        <f t="shared" si="27"/>
        <v>-14.6793</v>
      </c>
      <c r="M48" s="90">
        <f t="shared" si="28"/>
        <v>-1.8349124999999999</v>
      </c>
      <c r="N48" s="85"/>
    </row>
    <row r="49" spans="1:14" ht="15.75" customHeight="1">
      <c r="A49" s="117" t="s">
        <v>165</v>
      </c>
      <c r="B49" s="86">
        <f t="shared" si="22"/>
        <v>0</v>
      </c>
      <c r="C49" s="85"/>
      <c r="D49" s="85"/>
      <c r="E49" s="89">
        <f>Pivot!N6</f>
        <v>5.4799999999999995</v>
      </c>
      <c r="F49" s="89">
        <f>Pivot!O6</f>
        <v>51</v>
      </c>
      <c r="G49" s="86">
        <f t="shared" si="24"/>
        <v>-51</v>
      </c>
      <c r="H49" s="88" t="str">
        <f t="shared" si="25"/>
        <v/>
      </c>
      <c r="I49" s="85"/>
      <c r="J49" s="143">
        <f>Pivot!P6</f>
        <v>0</v>
      </c>
      <c r="K49" s="89">
        <f t="shared" si="26"/>
        <v>9.3065693430656946</v>
      </c>
      <c r="L49" s="90">
        <f t="shared" si="27"/>
        <v>-5.4799999999999995</v>
      </c>
      <c r="M49" s="90">
        <f t="shared" si="28"/>
        <v>-0.68499999999999994</v>
      </c>
      <c r="N49" s="85"/>
    </row>
    <row r="50" spans="1:14" ht="15.75" customHeight="1">
      <c r="A50" s="117" t="s">
        <v>167</v>
      </c>
      <c r="B50" s="86">
        <f t="shared" si="22"/>
        <v>0</v>
      </c>
      <c r="C50" s="85"/>
      <c r="D50" s="85"/>
      <c r="E50" s="89">
        <f>Pivot!N7</f>
        <v>2.6569000000000003</v>
      </c>
      <c r="F50" s="89">
        <f>Pivot!O7</f>
        <v>0</v>
      </c>
      <c r="G50" s="86">
        <f t="shared" si="24"/>
        <v>0</v>
      </c>
      <c r="H50" s="88" t="str">
        <f t="shared" si="25"/>
        <v/>
      </c>
      <c r="I50" s="85"/>
      <c r="J50" s="143">
        <f>Pivot!P7</f>
        <v>0</v>
      </c>
      <c r="K50" s="89">
        <f t="shared" si="26"/>
        <v>0</v>
      </c>
      <c r="L50" s="90" t="str">
        <f t="shared" si="27"/>
        <v/>
      </c>
      <c r="M50" s="90" t="str">
        <f t="shared" si="28"/>
        <v/>
      </c>
      <c r="N50" s="85"/>
    </row>
    <row r="51" spans="1:14" ht="15.75" customHeight="1">
      <c r="A51" s="117" t="s">
        <v>168</v>
      </c>
      <c r="B51" s="86">
        <f t="shared" si="22"/>
        <v>0</v>
      </c>
      <c r="C51" s="85"/>
      <c r="D51" s="85"/>
      <c r="E51" s="89">
        <f>Pivot!N8</f>
        <v>25.811600000000002</v>
      </c>
      <c r="F51" s="89">
        <f>Pivot!O8</f>
        <v>346</v>
      </c>
      <c r="G51" s="86">
        <f t="shared" si="24"/>
        <v>-346</v>
      </c>
      <c r="H51" s="88" t="str">
        <f t="shared" si="25"/>
        <v/>
      </c>
      <c r="I51" s="85"/>
      <c r="J51" s="143">
        <f>Pivot!P8</f>
        <v>0</v>
      </c>
      <c r="K51" s="89">
        <f t="shared" si="26"/>
        <v>13.404825737265414</v>
      </c>
      <c r="L51" s="90">
        <f t="shared" si="27"/>
        <v>-25.811600000000002</v>
      </c>
      <c r="M51" s="90">
        <f t="shared" si="28"/>
        <v>-3.2264500000000003</v>
      </c>
      <c r="N51" s="85"/>
    </row>
    <row r="52" spans="1:14" ht="15.75" customHeight="1">
      <c r="A52" s="117" t="s">
        <v>79</v>
      </c>
      <c r="B52" s="86">
        <f t="shared" si="22"/>
        <v>0</v>
      </c>
      <c r="C52" s="85"/>
      <c r="D52" s="85"/>
      <c r="E52" s="89" t="str">
        <f>Pivot!N9</f>
        <v/>
      </c>
      <c r="F52" s="89" t="str">
        <f>Pivot!O9</f>
        <v/>
      </c>
      <c r="G52" s="86" t="str">
        <f t="shared" si="24"/>
        <v/>
      </c>
      <c r="H52" s="88" t="str">
        <f t="shared" si="25"/>
        <v/>
      </c>
      <c r="I52" s="85"/>
      <c r="J52" s="143" t="str">
        <f>Pivot!P9</f>
        <v/>
      </c>
      <c r="K52" s="89" t="str">
        <f t="shared" si="26"/>
        <v/>
      </c>
      <c r="L52" s="90" t="str">
        <f t="shared" si="27"/>
        <v/>
      </c>
      <c r="M52" s="90" t="str">
        <f t="shared" si="28"/>
        <v/>
      </c>
      <c r="N52" s="85"/>
    </row>
    <row r="53" spans="1:14" ht="15.75" customHeight="1">
      <c r="A53" s="117" t="s">
        <v>42</v>
      </c>
      <c r="B53" s="86">
        <f t="shared" si="22"/>
        <v>0</v>
      </c>
      <c r="C53" s="85"/>
      <c r="D53" s="85"/>
      <c r="E53" s="89" t="str">
        <f>Pivot!N10</f>
        <v/>
      </c>
      <c r="F53" s="89" t="str">
        <f>Pivot!O10</f>
        <v/>
      </c>
      <c r="G53" s="86" t="str">
        <f t="shared" si="24"/>
        <v/>
      </c>
      <c r="H53" s="88" t="str">
        <f t="shared" si="25"/>
        <v/>
      </c>
      <c r="I53" s="85"/>
      <c r="J53" s="143" t="str">
        <f>Pivot!P10</f>
        <v/>
      </c>
      <c r="K53" s="89" t="str">
        <f t="shared" si="26"/>
        <v/>
      </c>
      <c r="L53" s="90" t="str">
        <f t="shared" si="27"/>
        <v/>
      </c>
      <c r="M53" s="90" t="str">
        <f t="shared" si="28"/>
        <v/>
      </c>
      <c r="N53" s="85"/>
    </row>
    <row r="54" spans="1:14" ht="15.75" customHeight="1">
      <c r="A54" s="106"/>
      <c r="B54" s="86"/>
      <c r="C54" s="85"/>
      <c r="D54" s="85"/>
      <c r="E54" s="89" t="str">
        <f>Pivot!N11</f>
        <v/>
      </c>
      <c r="F54" s="89" t="str">
        <f>Pivot!O11</f>
        <v/>
      </c>
      <c r="G54" s="86"/>
      <c r="H54" s="88"/>
      <c r="I54" s="85"/>
      <c r="J54" s="143" t="str">
        <f>Pivot!P11</f>
        <v/>
      </c>
      <c r="K54" s="89" t="str">
        <f t="shared" si="26"/>
        <v/>
      </c>
      <c r="L54" s="90"/>
      <c r="M54" s="90"/>
      <c r="N54" s="85"/>
    </row>
    <row r="55" spans="1:14" ht="15.75" customHeight="1">
      <c r="A55" s="107" t="s">
        <v>151</v>
      </c>
      <c r="B55" s="86" t="e">
        <f t="shared" si="22"/>
        <v>#VALUE!</v>
      </c>
      <c r="C55" s="91">
        <f>SUM(C45:C53)</f>
        <v>0</v>
      </c>
      <c r="D55" s="91"/>
      <c r="E55" s="120">
        <f>SUM(E45:E54)</f>
        <v>70.254199999999997</v>
      </c>
      <c r="F55" s="121">
        <f>SUM(F45:F54)</f>
        <v>893</v>
      </c>
      <c r="G55" s="86" t="str">
        <f t="shared" si="24"/>
        <v/>
      </c>
      <c r="H55" s="88" t="str">
        <f t="shared" si="25"/>
        <v/>
      </c>
      <c r="I55" s="91" t="str">
        <f>IFERROR(AVERAGE(I45:I53),"")</f>
        <v/>
      </c>
      <c r="J55" s="144">
        <f>SUM(J45:J54)</f>
        <v>12</v>
      </c>
      <c r="K55" s="120">
        <f>IFERROR(AVERAGE(K45:K54),"")</f>
        <v>9.7288693116662373</v>
      </c>
      <c r="L55" s="90" t="str">
        <f>IFERROR(G55/K55,"")</f>
        <v/>
      </c>
      <c r="M55" s="90" t="str">
        <f t="shared" si="28"/>
        <v/>
      </c>
      <c r="N55" s="85"/>
    </row>
  </sheetData>
  <mergeCells count="4">
    <mergeCell ref="A1:N1"/>
    <mergeCell ref="A15:N15"/>
    <mergeCell ref="A29:N29"/>
    <mergeCell ref="A43:N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5C6C-0E83-4C21-96CF-8A7ED0551DD9}">
  <dimension ref="A1"/>
  <sheetViews>
    <sheetView workbookViewId="0"/>
  </sheetViews>
  <sheetFormatPr defaultRowHeight="13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42C2FB-B545-4A45-94E0-31353FCC87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Links</vt:lpstr>
      <vt:lpstr>SLA</vt:lpstr>
      <vt:lpstr>reference</vt:lpstr>
      <vt:lpstr>Campaign Report</vt:lpstr>
      <vt:lpstr>Pivot</vt:lpstr>
      <vt:lpstr>Completion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Alodia Keith C. Bendicio</cp:lastModifiedBy>
  <cp:revision/>
  <dcterms:created xsi:type="dcterms:W3CDTF">2024-09-19T00:02:53Z</dcterms:created>
  <dcterms:modified xsi:type="dcterms:W3CDTF">2025-10-20T08:13:43Z</dcterms:modified>
  <cp:category/>
  <cp:contentStatus/>
</cp:coreProperties>
</file>